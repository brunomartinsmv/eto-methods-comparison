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fisicambiental-main\"/>
    </mc:Choice>
  </mc:AlternateContent>
  <xr:revisionPtr revIDLastSave="0" documentId="13_ncr:1_{219825BA-D989-4949-93B7-8AF256F82361}" xr6:coauthVersionLast="47" xr6:coauthVersionMax="47" xr10:uidLastSave="{00000000-0000-0000-0000-000000000000}"/>
  <bookViews>
    <workbookView xWindow="-120" yWindow="-120" windowWidth="24240" windowHeight="13290" xr2:uid="{EAB56A4A-85C3-4175-B49B-5C395F248901}"/>
  </bookViews>
  <sheets>
    <sheet name="Piracicaba" sheetId="1" r:id="rId1"/>
    <sheet name="Manaus" sheetId="5" r:id="rId2"/>
    <sheet name="Petrolina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71" i="1" l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6" i="1"/>
  <c r="AN15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6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41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11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280" i="1"/>
  <c r="AN273" i="1"/>
  <c r="AN274" i="1"/>
  <c r="AN275" i="1"/>
  <c r="AN276" i="1"/>
  <c r="AN277" i="1"/>
  <c r="AN278" i="1"/>
  <c r="AN279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50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19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18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58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2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97" i="1"/>
  <c r="AN9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67" i="1"/>
  <c r="AN68" i="1"/>
  <c r="AN69" i="1"/>
  <c r="AN70" i="1"/>
  <c r="AN71" i="1"/>
  <c r="AN72" i="1"/>
  <c r="AN73" i="1"/>
  <c r="AN74" i="1"/>
  <c r="AN75" i="1"/>
  <c r="AN76" i="1"/>
  <c r="AN66" i="1"/>
  <c r="AN63" i="1"/>
  <c r="AN64" i="1"/>
  <c r="AN65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37" i="1"/>
  <c r="AN36" i="1"/>
  <c r="AN35" i="1"/>
  <c r="AN34" i="1"/>
  <c r="AN33" i="1"/>
  <c r="AN32" i="1"/>
  <c r="AN31" i="1"/>
  <c r="AN30" i="1"/>
  <c r="AN29" i="1"/>
  <c r="AN28" i="1"/>
  <c r="AN27" i="1"/>
  <c r="AN26" i="1"/>
  <c r="AN25" i="1"/>
  <c r="AN24" i="1"/>
  <c r="AN23" i="1"/>
  <c r="AN22" i="1"/>
  <c r="AN21" i="1"/>
  <c r="AN20" i="1"/>
  <c r="AN19" i="1"/>
  <c r="AN18" i="1"/>
  <c r="AN17" i="1"/>
  <c r="AN16" i="1"/>
  <c r="AN14" i="1"/>
  <c r="AN13" i="1"/>
  <c r="AN12" i="1"/>
  <c r="AN11" i="1"/>
  <c r="AN10" i="1"/>
  <c r="AN9" i="1"/>
  <c r="AN8" i="1"/>
  <c r="AN7" i="1"/>
  <c r="AN6" i="1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6" i="5"/>
  <c r="R371" i="5"/>
  <c r="R370" i="5"/>
  <c r="R369" i="5"/>
  <c r="R368" i="5"/>
  <c r="R367" i="5"/>
  <c r="R366" i="5"/>
  <c r="R365" i="5"/>
  <c r="R364" i="5"/>
  <c r="R363" i="5"/>
  <c r="R362" i="5"/>
  <c r="R361" i="5"/>
  <c r="R360" i="5"/>
  <c r="R359" i="5"/>
  <c r="R358" i="5"/>
  <c r="R357" i="5"/>
  <c r="R356" i="5"/>
  <c r="R355" i="5"/>
  <c r="R354" i="5"/>
  <c r="R353" i="5"/>
  <c r="R352" i="5"/>
  <c r="R351" i="5"/>
  <c r="R350" i="5"/>
  <c r="R349" i="5"/>
  <c r="R348" i="5"/>
  <c r="R347" i="5"/>
  <c r="R346" i="5"/>
  <c r="R345" i="5"/>
  <c r="R344" i="5"/>
  <c r="R343" i="5"/>
  <c r="R342" i="5"/>
  <c r="R341" i="5"/>
  <c r="R340" i="5"/>
  <c r="R339" i="5"/>
  <c r="R338" i="5"/>
  <c r="R337" i="5"/>
  <c r="R336" i="5"/>
  <c r="R335" i="5"/>
  <c r="R334" i="5"/>
  <c r="R333" i="5"/>
  <c r="R332" i="5"/>
  <c r="R331" i="5"/>
  <c r="R330" i="5"/>
  <c r="R329" i="5"/>
  <c r="R328" i="5"/>
  <c r="R327" i="5"/>
  <c r="R326" i="5"/>
  <c r="R325" i="5"/>
  <c r="R324" i="5"/>
  <c r="R323" i="5"/>
  <c r="R322" i="5"/>
  <c r="R321" i="5"/>
  <c r="R320" i="5"/>
  <c r="R319" i="5"/>
  <c r="R318" i="5"/>
  <c r="R317" i="5"/>
  <c r="R316" i="5"/>
  <c r="R315" i="5"/>
  <c r="R314" i="5"/>
  <c r="R313" i="5"/>
  <c r="R312" i="5"/>
  <c r="R311" i="5"/>
  <c r="R310" i="5"/>
  <c r="R309" i="5"/>
  <c r="R308" i="5"/>
  <c r="R307" i="5"/>
  <c r="R306" i="5"/>
  <c r="R305" i="5"/>
  <c r="R304" i="5"/>
  <c r="R303" i="5"/>
  <c r="R302" i="5"/>
  <c r="R301" i="5"/>
  <c r="R300" i="5"/>
  <c r="R299" i="5"/>
  <c r="R298" i="5"/>
  <c r="R297" i="5"/>
  <c r="R296" i="5"/>
  <c r="R295" i="5"/>
  <c r="R294" i="5"/>
  <c r="R293" i="5"/>
  <c r="R292" i="5"/>
  <c r="R291" i="5"/>
  <c r="R290" i="5"/>
  <c r="R289" i="5"/>
  <c r="R288" i="5"/>
  <c r="R287" i="5"/>
  <c r="R286" i="5"/>
  <c r="R285" i="5"/>
  <c r="R284" i="5"/>
  <c r="R283" i="5"/>
  <c r="R282" i="5"/>
  <c r="R281" i="5"/>
  <c r="R280" i="5"/>
  <c r="R279" i="5"/>
  <c r="R278" i="5"/>
  <c r="R277" i="5"/>
  <c r="R276" i="5"/>
  <c r="R275" i="5"/>
  <c r="R274" i="5"/>
  <c r="R273" i="5"/>
  <c r="R272" i="5"/>
  <c r="R271" i="5"/>
  <c r="R270" i="5"/>
  <c r="R269" i="5"/>
  <c r="R268" i="5"/>
  <c r="R267" i="5"/>
  <c r="R266" i="5"/>
  <c r="R265" i="5"/>
  <c r="R264" i="5"/>
  <c r="R263" i="5"/>
  <c r="R262" i="5"/>
  <c r="R261" i="5"/>
  <c r="R260" i="5"/>
  <c r="R259" i="5"/>
  <c r="R258" i="5"/>
  <c r="R257" i="5"/>
  <c r="R256" i="5"/>
  <c r="R255" i="5"/>
  <c r="R254" i="5"/>
  <c r="R253" i="5"/>
  <c r="R252" i="5"/>
  <c r="R251" i="5"/>
  <c r="R250" i="5"/>
  <c r="R249" i="5"/>
  <c r="R248" i="5"/>
  <c r="R247" i="5"/>
  <c r="R246" i="5"/>
  <c r="R245" i="5"/>
  <c r="R244" i="5"/>
  <c r="R243" i="5"/>
  <c r="R242" i="5"/>
  <c r="R241" i="5"/>
  <c r="R240" i="5"/>
  <c r="R239" i="5"/>
  <c r="R238" i="5"/>
  <c r="R237" i="5"/>
  <c r="R236" i="5"/>
  <c r="R235" i="5"/>
  <c r="R234" i="5"/>
  <c r="R233" i="5"/>
  <c r="R232" i="5"/>
  <c r="R231" i="5"/>
  <c r="R230" i="5"/>
  <c r="R229" i="5"/>
  <c r="R228" i="5"/>
  <c r="R227" i="5"/>
  <c r="R226" i="5"/>
  <c r="R225" i="5"/>
  <c r="R224" i="5"/>
  <c r="R223" i="5"/>
  <c r="R222" i="5"/>
  <c r="R221" i="5"/>
  <c r="R220" i="5"/>
  <c r="R219" i="5"/>
  <c r="R218" i="5"/>
  <c r="R217" i="5"/>
  <c r="R216" i="5"/>
  <c r="R215" i="5"/>
  <c r="R214" i="5"/>
  <c r="R213" i="5"/>
  <c r="R212" i="5"/>
  <c r="R211" i="5"/>
  <c r="R210" i="5"/>
  <c r="R209" i="5"/>
  <c r="R208" i="5"/>
  <c r="R207" i="5"/>
  <c r="R206" i="5"/>
  <c r="R205" i="5"/>
  <c r="R204" i="5"/>
  <c r="R203" i="5"/>
  <c r="R202" i="5"/>
  <c r="R201" i="5"/>
  <c r="R200" i="5"/>
  <c r="R199" i="5"/>
  <c r="R198" i="5"/>
  <c r="R197" i="5"/>
  <c r="R196" i="5"/>
  <c r="R195" i="5"/>
  <c r="R194" i="5"/>
  <c r="R193" i="5"/>
  <c r="R192" i="5"/>
  <c r="R191" i="5"/>
  <c r="R190" i="5"/>
  <c r="R189" i="5"/>
  <c r="R188" i="5"/>
  <c r="R187" i="5"/>
  <c r="R186" i="5"/>
  <c r="R185" i="5"/>
  <c r="R184" i="5"/>
  <c r="R183" i="5"/>
  <c r="R182" i="5"/>
  <c r="R181" i="5"/>
  <c r="R180" i="5"/>
  <c r="R179" i="5"/>
  <c r="R178" i="5"/>
  <c r="R177" i="5"/>
  <c r="R176" i="5"/>
  <c r="R175" i="5"/>
  <c r="R174" i="5"/>
  <c r="R173" i="5"/>
  <c r="R172" i="5"/>
  <c r="R171" i="5"/>
  <c r="R170" i="5"/>
  <c r="R169" i="5"/>
  <c r="R168" i="5"/>
  <c r="R167" i="5"/>
  <c r="R166" i="5"/>
  <c r="R165" i="5"/>
  <c r="R164" i="5"/>
  <c r="R163" i="5"/>
  <c r="R162" i="5"/>
  <c r="R161" i="5"/>
  <c r="R160" i="5"/>
  <c r="R159" i="5"/>
  <c r="R158" i="5"/>
  <c r="R157" i="5"/>
  <c r="R156" i="5"/>
  <c r="R155" i="5"/>
  <c r="R154" i="5"/>
  <c r="R153" i="5"/>
  <c r="R152" i="5"/>
  <c r="R151" i="5"/>
  <c r="R150" i="5"/>
  <c r="R149" i="5"/>
  <c r="R148" i="5"/>
  <c r="R147" i="5"/>
  <c r="R146" i="5"/>
  <c r="R145" i="5"/>
  <c r="R144" i="5"/>
  <c r="R143" i="5"/>
  <c r="R142" i="5"/>
  <c r="R141" i="5"/>
  <c r="R140" i="5"/>
  <c r="R139" i="5"/>
  <c r="R138" i="5"/>
  <c r="R137" i="5"/>
  <c r="R136" i="5"/>
  <c r="R135" i="5"/>
  <c r="R134" i="5"/>
  <c r="R133" i="5"/>
  <c r="R132" i="5"/>
  <c r="R131" i="5"/>
  <c r="R130" i="5"/>
  <c r="R129" i="5"/>
  <c r="R128" i="5"/>
  <c r="R127" i="5"/>
  <c r="R126" i="5"/>
  <c r="R125" i="5"/>
  <c r="R124" i="5"/>
  <c r="R123" i="5"/>
  <c r="R122" i="5"/>
  <c r="R121" i="5"/>
  <c r="R120" i="5"/>
  <c r="R119" i="5"/>
  <c r="R118" i="5"/>
  <c r="R117" i="5"/>
  <c r="R116" i="5"/>
  <c r="R115" i="5"/>
  <c r="R114" i="5"/>
  <c r="R113" i="5"/>
  <c r="R112" i="5"/>
  <c r="R111" i="5"/>
  <c r="R110" i="5"/>
  <c r="R109" i="5"/>
  <c r="R108" i="5"/>
  <c r="R107" i="5"/>
  <c r="R106" i="5"/>
  <c r="R105" i="5"/>
  <c r="R104" i="5"/>
  <c r="R103" i="5"/>
  <c r="R102" i="5"/>
  <c r="R101" i="5"/>
  <c r="R100" i="5"/>
  <c r="R99" i="5"/>
  <c r="R98" i="5"/>
  <c r="R97" i="5"/>
  <c r="R96" i="5"/>
  <c r="R95" i="5"/>
  <c r="R94" i="5"/>
  <c r="R93" i="5"/>
  <c r="R92" i="5"/>
  <c r="R91" i="5"/>
  <c r="R90" i="5"/>
  <c r="R89" i="5"/>
  <c r="R88" i="5"/>
  <c r="R87" i="5"/>
  <c r="R86" i="5"/>
  <c r="R85" i="5"/>
  <c r="R84" i="5"/>
  <c r="R83" i="5"/>
  <c r="R82" i="5"/>
  <c r="R81" i="5"/>
  <c r="R80" i="5"/>
  <c r="R79" i="5"/>
  <c r="R78" i="5"/>
  <c r="R77" i="5"/>
  <c r="R76" i="5"/>
  <c r="R75" i="5"/>
  <c r="R74" i="5"/>
  <c r="R73" i="5"/>
  <c r="R72" i="5"/>
  <c r="R71" i="5"/>
  <c r="R70" i="5"/>
  <c r="R69" i="5"/>
  <c r="R68" i="5"/>
  <c r="R67" i="5"/>
  <c r="R66" i="5"/>
  <c r="R65" i="5"/>
  <c r="R64" i="5"/>
  <c r="R63" i="5"/>
  <c r="R62" i="5"/>
  <c r="R61" i="5"/>
  <c r="R60" i="5"/>
  <c r="R59" i="5"/>
  <c r="R58" i="5"/>
  <c r="R57" i="5"/>
  <c r="R56" i="5"/>
  <c r="R55" i="5"/>
  <c r="R54" i="5"/>
  <c r="R53" i="5"/>
  <c r="R52" i="5"/>
  <c r="R51" i="5"/>
  <c r="R50" i="5"/>
  <c r="R49" i="5"/>
  <c r="R48" i="5"/>
  <c r="R47" i="5"/>
  <c r="R46" i="5"/>
  <c r="R45" i="5"/>
  <c r="R44" i="5"/>
  <c r="R43" i="5"/>
  <c r="R42" i="5"/>
  <c r="R41" i="5"/>
  <c r="R40" i="5"/>
  <c r="R39" i="5"/>
  <c r="R38" i="5"/>
  <c r="R37" i="5"/>
  <c r="R36" i="5"/>
  <c r="R35" i="5"/>
  <c r="R34" i="5"/>
  <c r="R33" i="5"/>
  <c r="R32" i="5"/>
  <c r="R31" i="5"/>
  <c r="R30" i="5"/>
  <c r="R29" i="5"/>
  <c r="R28" i="5"/>
  <c r="R27" i="5"/>
  <c r="R26" i="5"/>
  <c r="R25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R8" i="5"/>
  <c r="R7" i="5"/>
  <c r="R6" i="5"/>
  <c r="R1" i="5" s="1"/>
  <c r="N127" i="5"/>
  <c r="N126" i="5"/>
  <c r="N125" i="5"/>
  <c r="N124" i="5"/>
  <c r="N123" i="5"/>
  <c r="N122" i="5"/>
  <c r="N121" i="5"/>
  <c r="N120" i="5"/>
  <c r="N119" i="5"/>
  <c r="N118" i="5"/>
  <c r="N117" i="5"/>
  <c r="N116" i="5"/>
  <c r="N115" i="5"/>
  <c r="N114" i="5"/>
  <c r="N113" i="5"/>
  <c r="N112" i="5"/>
  <c r="N111" i="5"/>
  <c r="N110" i="5"/>
  <c r="N109" i="5"/>
  <c r="N108" i="5"/>
  <c r="N107" i="5"/>
  <c r="N106" i="5"/>
  <c r="N105" i="5"/>
  <c r="N104" i="5"/>
  <c r="N103" i="5"/>
  <c r="N102" i="5"/>
  <c r="N101" i="5"/>
  <c r="N100" i="5"/>
  <c r="N99" i="5"/>
  <c r="N98" i="5"/>
  <c r="N97" i="5"/>
  <c r="N96" i="5"/>
  <c r="N95" i="5"/>
  <c r="N94" i="5"/>
  <c r="N93" i="5"/>
  <c r="N92" i="5"/>
  <c r="N91" i="5"/>
  <c r="N90" i="5"/>
  <c r="N89" i="5"/>
  <c r="N88" i="5"/>
  <c r="N87" i="5"/>
  <c r="N86" i="5"/>
  <c r="N85" i="5"/>
  <c r="N84" i="5"/>
  <c r="N83" i="5"/>
  <c r="N82" i="5"/>
  <c r="N81" i="5"/>
  <c r="N80" i="5"/>
  <c r="N79" i="5"/>
  <c r="N78" i="5"/>
  <c r="N77" i="5"/>
  <c r="N76" i="5"/>
  <c r="N75" i="5"/>
  <c r="N74" i="5"/>
  <c r="N73" i="5"/>
  <c r="N72" i="5"/>
  <c r="N71" i="5"/>
  <c r="N70" i="5"/>
  <c r="N69" i="5"/>
  <c r="N68" i="5"/>
  <c r="N67" i="5"/>
  <c r="N66" i="5"/>
  <c r="N65" i="5"/>
  <c r="N64" i="5"/>
  <c r="N63" i="5"/>
  <c r="N62" i="5"/>
  <c r="N61" i="5"/>
  <c r="N60" i="5"/>
  <c r="N59" i="5"/>
  <c r="N58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6" i="1"/>
  <c r="X16" i="5"/>
  <c r="X16" i="1"/>
  <c r="AL7" i="5"/>
  <c r="S7" i="5" s="1"/>
  <c r="AL8" i="5"/>
  <c r="S8" i="5" s="1"/>
  <c r="AL9" i="5"/>
  <c r="S9" i="5" s="1"/>
  <c r="AL10" i="5"/>
  <c r="S10" i="5" s="1"/>
  <c r="AL11" i="5"/>
  <c r="S11" i="5" s="1"/>
  <c r="AL12" i="5"/>
  <c r="S12" i="5" s="1"/>
  <c r="AL13" i="5"/>
  <c r="S13" i="5" s="1"/>
  <c r="AL14" i="5"/>
  <c r="S14" i="5" s="1"/>
  <c r="AL15" i="5"/>
  <c r="S15" i="5" s="1"/>
  <c r="AL16" i="5"/>
  <c r="S16" i="5" s="1"/>
  <c r="AL17" i="5"/>
  <c r="S17" i="5" s="1"/>
  <c r="AL18" i="5"/>
  <c r="S18" i="5" s="1"/>
  <c r="AL19" i="5"/>
  <c r="S19" i="5" s="1"/>
  <c r="AL20" i="5"/>
  <c r="S20" i="5" s="1"/>
  <c r="AL21" i="5"/>
  <c r="S21" i="5" s="1"/>
  <c r="AL22" i="5"/>
  <c r="S22" i="5" s="1"/>
  <c r="AL23" i="5"/>
  <c r="S23" i="5" s="1"/>
  <c r="AL24" i="5"/>
  <c r="S24" i="5" s="1"/>
  <c r="AL25" i="5"/>
  <c r="S25" i="5" s="1"/>
  <c r="AL26" i="5"/>
  <c r="S26" i="5" s="1"/>
  <c r="AL27" i="5"/>
  <c r="S27" i="5" s="1"/>
  <c r="AL28" i="5"/>
  <c r="S28" i="5" s="1"/>
  <c r="AL29" i="5"/>
  <c r="S29" i="5" s="1"/>
  <c r="AL30" i="5"/>
  <c r="S30" i="5" s="1"/>
  <c r="AL31" i="5"/>
  <c r="S31" i="5" s="1"/>
  <c r="AL32" i="5"/>
  <c r="S32" i="5" s="1"/>
  <c r="AL33" i="5"/>
  <c r="S33" i="5" s="1"/>
  <c r="AL34" i="5"/>
  <c r="S34" i="5" s="1"/>
  <c r="AL35" i="5"/>
  <c r="S35" i="5" s="1"/>
  <c r="AL36" i="5"/>
  <c r="S36" i="5" s="1"/>
  <c r="AL37" i="5"/>
  <c r="S37" i="5" s="1"/>
  <c r="AL38" i="5"/>
  <c r="S38" i="5" s="1"/>
  <c r="AL39" i="5"/>
  <c r="S39" i="5" s="1"/>
  <c r="AL40" i="5"/>
  <c r="S40" i="5" s="1"/>
  <c r="AL41" i="5"/>
  <c r="S41" i="5" s="1"/>
  <c r="AL42" i="5"/>
  <c r="S42" i="5" s="1"/>
  <c r="AL43" i="5"/>
  <c r="S43" i="5" s="1"/>
  <c r="AL44" i="5"/>
  <c r="S44" i="5" s="1"/>
  <c r="AL45" i="5"/>
  <c r="S45" i="5" s="1"/>
  <c r="AL46" i="5"/>
  <c r="S46" i="5" s="1"/>
  <c r="AL47" i="5"/>
  <c r="S47" i="5" s="1"/>
  <c r="AL48" i="5"/>
  <c r="S48" i="5" s="1"/>
  <c r="AL49" i="5"/>
  <c r="S49" i="5" s="1"/>
  <c r="AL50" i="5"/>
  <c r="S50" i="5" s="1"/>
  <c r="AL51" i="5"/>
  <c r="S51" i="5" s="1"/>
  <c r="AL52" i="5"/>
  <c r="S52" i="5" s="1"/>
  <c r="AL53" i="5"/>
  <c r="S53" i="5" s="1"/>
  <c r="AL54" i="5"/>
  <c r="S54" i="5" s="1"/>
  <c r="AL55" i="5"/>
  <c r="S55" i="5" s="1"/>
  <c r="AL56" i="5"/>
  <c r="S56" i="5" s="1"/>
  <c r="AL57" i="5"/>
  <c r="S57" i="5" s="1"/>
  <c r="AL58" i="5"/>
  <c r="S58" i="5" s="1"/>
  <c r="AL59" i="5"/>
  <c r="S59" i="5" s="1"/>
  <c r="AL60" i="5"/>
  <c r="S60" i="5" s="1"/>
  <c r="AL61" i="5"/>
  <c r="S61" i="5" s="1"/>
  <c r="AL62" i="5"/>
  <c r="S62" i="5" s="1"/>
  <c r="AL63" i="5"/>
  <c r="S63" i="5" s="1"/>
  <c r="AL64" i="5"/>
  <c r="S64" i="5" s="1"/>
  <c r="AL65" i="5"/>
  <c r="S65" i="5" s="1"/>
  <c r="AL66" i="5"/>
  <c r="S66" i="5" s="1"/>
  <c r="AL67" i="5"/>
  <c r="S67" i="5" s="1"/>
  <c r="AL68" i="5"/>
  <c r="S68" i="5" s="1"/>
  <c r="AL69" i="5"/>
  <c r="S69" i="5" s="1"/>
  <c r="AL70" i="5"/>
  <c r="S70" i="5" s="1"/>
  <c r="AL71" i="5"/>
  <c r="S71" i="5" s="1"/>
  <c r="AL72" i="5"/>
  <c r="S72" i="5" s="1"/>
  <c r="AL73" i="5"/>
  <c r="S73" i="5" s="1"/>
  <c r="AL74" i="5"/>
  <c r="S74" i="5" s="1"/>
  <c r="AL75" i="5"/>
  <c r="S75" i="5" s="1"/>
  <c r="AL76" i="5"/>
  <c r="S76" i="5" s="1"/>
  <c r="AL77" i="5"/>
  <c r="S77" i="5" s="1"/>
  <c r="AL78" i="5"/>
  <c r="S78" i="5" s="1"/>
  <c r="AL79" i="5"/>
  <c r="S79" i="5" s="1"/>
  <c r="AL80" i="5"/>
  <c r="S80" i="5" s="1"/>
  <c r="AL81" i="5"/>
  <c r="S81" i="5" s="1"/>
  <c r="AL82" i="5"/>
  <c r="S82" i="5" s="1"/>
  <c r="AL83" i="5"/>
  <c r="S83" i="5" s="1"/>
  <c r="AL84" i="5"/>
  <c r="S84" i="5" s="1"/>
  <c r="AL85" i="5"/>
  <c r="S85" i="5" s="1"/>
  <c r="AL86" i="5"/>
  <c r="S86" i="5" s="1"/>
  <c r="AL87" i="5"/>
  <c r="S87" i="5" s="1"/>
  <c r="AL88" i="5"/>
  <c r="S88" i="5" s="1"/>
  <c r="AL89" i="5"/>
  <c r="S89" i="5" s="1"/>
  <c r="AL90" i="5"/>
  <c r="S90" i="5" s="1"/>
  <c r="AL91" i="5"/>
  <c r="S91" i="5" s="1"/>
  <c r="AL92" i="5"/>
  <c r="S92" i="5" s="1"/>
  <c r="AL93" i="5"/>
  <c r="S93" i="5" s="1"/>
  <c r="AL94" i="5"/>
  <c r="S94" i="5" s="1"/>
  <c r="AL95" i="5"/>
  <c r="S95" i="5" s="1"/>
  <c r="AL96" i="5"/>
  <c r="S96" i="5" s="1"/>
  <c r="AL97" i="5"/>
  <c r="S97" i="5" s="1"/>
  <c r="AL98" i="5"/>
  <c r="S98" i="5" s="1"/>
  <c r="AL99" i="5"/>
  <c r="S99" i="5" s="1"/>
  <c r="AL100" i="5"/>
  <c r="S100" i="5" s="1"/>
  <c r="AL101" i="5"/>
  <c r="S101" i="5" s="1"/>
  <c r="AL102" i="5"/>
  <c r="S102" i="5" s="1"/>
  <c r="AL103" i="5"/>
  <c r="S103" i="5" s="1"/>
  <c r="AL104" i="5"/>
  <c r="S104" i="5" s="1"/>
  <c r="AL105" i="5"/>
  <c r="S105" i="5" s="1"/>
  <c r="AL106" i="5"/>
  <c r="S106" i="5" s="1"/>
  <c r="AL107" i="5"/>
  <c r="S107" i="5" s="1"/>
  <c r="AL108" i="5"/>
  <c r="S108" i="5" s="1"/>
  <c r="AL109" i="5"/>
  <c r="S109" i="5" s="1"/>
  <c r="AL110" i="5"/>
  <c r="S110" i="5" s="1"/>
  <c r="AL111" i="5"/>
  <c r="S111" i="5" s="1"/>
  <c r="AL112" i="5"/>
  <c r="S112" i="5" s="1"/>
  <c r="AL113" i="5"/>
  <c r="S113" i="5" s="1"/>
  <c r="AL114" i="5"/>
  <c r="S114" i="5" s="1"/>
  <c r="AL115" i="5"/>
  <c r="S115" i="5" s="1"/>
  <c r="AL116" i="5"/>
  <c r="S116" i="5" s="1"/>
  <c r="AL117" i="5"/>
  <c r="S117" i="5" s="1"/>
  <c r="AL118" i="5"/>
  <c r="S118" i="5" s="1"/>
  <c r="AL119" i="5"/>
  <c r="S119" i="5" s="1"/>
  <c r="AL120" i="5"/>
  <c r="S120" i="5" s="1"/>
  <c r="AL121" i="5"/>
  <c r="S121" i="5" s="1"/>
  <c r="AL122" i="5"/>
  <c r="S122" i="5" s="1"/>
  <c r="AL123" i="5"/>
  <c r="S123" i="5" s="1"/>
  <c r="AL124" i="5"/>
  <c r="S124" i="5" s="1"/>
  <c r="AL125" i="5"/>
  <c r="S125" i="5" s="1"/>
  <c r="AL126" i="5"/>
  <c r="S126" i="5" s="1"/>
  <c r="AL127" i="5"/>
  <c r="S127" i="5" s="1"/>
  <c r="AL128" i="5"/>
  <c r="S128" i="5" s="1"/>
  <c r="AL129" i="5"/>
  <c r="S129" i="5" s="1"/>
  <c r="AL130" i="5"/>
  <c r="S130" i="5" s="1"/>
  <c r="AL131" i="5"/>
  <c r="S131" i="5" s="1"/>
  <c r="AL132" i="5"/>
  <c r="S132" i="5" s="1"/>
  <c r="AL133" i="5"/>
  <c r="S133" i="5" s="1"/>
  <c r="AL134" i="5"/>
  <c r="S134" i="5" s="1"/>
  <c r="AL135" i="5"/>
  <c r="S135" i="5" s="1"/>
  <c r="AL136" i="5"/>
  <c r="S136" i="5" s="1"/>
  <c r="AL137" i="5"/>
  <c r="S137" i="5" s="1"/>
  <c r="AL138" i="5"/>
  <c r="S138" i="5" s="1"/>
  <c r="AL139" i="5"/>
  <c r="S139" i="5" s="1"/>
  <c r="AL140" i="5"/>
  <c r="S140" i="5" s="1"/>
  <c r="AL141" i="5"/>
  <c r="S141" i="5" s="1"/>
  <c r="AL142" i="5"/>
  <c r="S142" i="5" s="1"/>
  <c r="AL143" i="5"/>
  <c r="S143" i="5" s="1"/>
  <c r="AL144" i="5"/>
  <c r="S144" i="5" s="1"/>
  <c r="AL145" i="5"/>
  <c r="S145" i="5" s="1"/>
  <c r="AL146" i="5"/>
  <c r="S146" i="5" s="1"/>
  <c r="AL147" i="5"/>
  <c r="S147" i="5" s="1"/>
  <c r="AL148" i="5"/>
  <c r="S148" i="5" s="1"/>
  <c r="AL149" i="5"/>
  <c r="S149" i="5" s="1"/>
  <c r="AL150" i="5"/>
  <c r="S150" i="5" s="1"/>
  <c r="AL151" i="5"/>
  <c r="S151" i="5" s="1"/>
  <c r="AL152" i="5"/>
  <c r="S152" i="5" s="1"/>
  <c r="AL153" i="5"/>
  <c r="S153" i="5" s="1"/>
  <c r="AL154" i="5"/>
  <c r="S154" i="5" s="1"/>
  <c r="AL155" i="5"/>
  <c r="S155" i="5" s="1"/>
  <c r="AL156" i="5"/>
  <c r="S156" i="5" s="1"/>
  <c r="AL157" i="5"/>
  <c r="S157" i="5" s="1"/>
  <c r="AL158" i="5"/>
  <c r="S158" i="5" s="1"/>
  <c r="AL159" i="5"/>
  <c r="S159" i="5" s="1"/>
  <c r="AL160" i="5"/>
  <c r="S160" i="5" s="1"/>
  <c r="AL161" i="5"/>
  <c r="S161" i="5" s="1"/>
  <c r="AL162" i="5"/>
  <c r="S162" i="5" s="1"/>
  <c r="AL163" i="5"/>
  <c r="S163" i="5" s="1"/>
  <c r="AL164" i="5"/>
  <c r="S164" i="5" s="1"/>
  <c r="AL165" i="5"/>
  <c r="S165" i="5" s="1"/>
  <c r="AL166" i="5"/>
  <c r="S166" i="5" s="1"/>
  <c r="AL167" i="5"/>
  <c r="S167" i="5" s="1"/>
  <c r="AL168" i="5"/>
  <c r="S168" i="5" s="1"/>
  <c r="AL169" i="5"/>
  <c r="S169" i="5" s="1"/>
  <c r="AL170" i="5"/>
  <c r="S170" i="5" s="1"/>
  <c r="AL171" i="5"/>
  <c r="S171" i="5" s="1"/>
  <c r="AL172" i="5"/>
  <c r="S172" i="5" s="1"/>
  <c r="AL173" i="5"/>
  <c r="S173" i="5" s="1"/>
  <c r="AL174" i="5"/>
  <c r="S174" i="5" s="1"/>
  <c r="AL175" i="5"/>
  <c r="S175" i="5" s="1"/>
  <c r="AL176" i="5"/>
  <c r="S176" i="5" s="1"/>
  <c r="AL177" i="5"/>
  <c r="S177" i="5" s="1"/>
  <c r="AL178" i="5"/>
  <c r="S178" i="5" s="1"/>
  <c r="AL179" i="5"/>
  <c r="S179" i="5" s="1"/>
  <c r="AL180" i="5"/>
  <c r="S180" i="5" s="1"/>
  <c r="AL181" i="5"/>
  <c r="S181" i="5" s="1"/>
  <c r="AL182" i="5"/>
  <c r="S182" i="5" s="1"/>
  <c r="AL183" i="5"/>
  <c r="S183" i="5" s="1"/>
  <c r="AL184" i="5"/>
  <c r="S184" i="5" s="1"/>
  <c r="AL185" i="5"/>
  <c r="S185" i="5" s="1"/>
  <c r="AL186" i="5"/>
  <c r="S186" i="5" s="1"/>
  <c r="AL187" i="5"/>
  <c r="S187" i="5" s="1"/>
  <c r="AL188" i="5"/>
  <c r="S188" i="5" s="1"/>
  <c r="AL189" i="5"/>
  <c r="S189" i="5" s="1"/>
  <c r="AL190" i="5"/>
  <c r="S190" i="5" s="1"/>
  <c r="AL191" i="5"/>
  <c r="S191" i="5" s="1"/>
  <c r="AL192" i="5"/>
  <c r="S192" i="5" s="1"/>
  <c r="AL193" i="5"/>
  <c r="S193" i="5" s="1"/>
  <c r="AL194" i="5"/>
  <c r="S194" i="5" s="1"/>
  <c r="AL195" i="5"/>
  <c r="S195" i="5" s="1"/>
  <c r="AL196" i="5"/>
  <c r="S196" i="5" s="1"/>
  <c r="AL197" i="5"/>
  <c r="S197" i="5" s="1"/>
  <c r="AL198" i="5"/>
  <c r="S198" i="5" s="1"/>
  <c r="AL199" i="5"/>
  <c r="S199" i="5" s="1"/>
  <c r="AL200" i="5"/>
  <c r="S200" i="5" s="1"/>
  <c r="AL201" i="5"/>
  <c r="S201" i="5" s="1"/>
  <c r="AL202" i="5"/>
  <c r="S202" i="5" s="1"/>
  <c r="AL203" i="5"/>
  <c r="S203" i="5" s="1"/>
  <c r="AL204" i="5"/>
  <c r="S204" i="5" s="1"/>
  <c r="AL205" i="5"/>
  <c r="S205" i="5" s="1"/>
  <c r="AL206" i="5"/>
  <c r="S206" i="5" s="1"/>
  <c r="AL207" i="5"/>
  <c r="S207" i="5" s="1"/>
  <c r="AL208" i="5"/>
  <c r="S208" i="5" s="1"/>
  <c r="AL209" i="5"/>
  <c r="S209" i="5" s="1"/>
  <c r="AL210" i="5"/>
  <c r="S210" i="5" s="1"/>
  <c r="AL211" i="5"/>
  <c r="S211" i="5" s="1"/>
  <c r="AL212" i="5"/>
  <c r="S212" i="5" s="1"/>
  <c r="AL213" i="5"/>
  <c r="S213" i="5" s="1"/>
  <c r="AL214" i="5"/>
  <c r="S214" i="5" s="1"/>
  <c r="AL215" i="5"/>
  <c r="S215" i="5" s="1"/>
  <c r="AL216" i="5"/>
  <c r="S216" i="5" s="1"/>
  <c r="AL217" i="5"/>
  <c r="S217" i="5" s="1"/>
  <c r="AL218" i="5"/>
  <c r="S218" i="5" s="1"/>
  <c r="AL219" i="5"/>
  <c r="S219" i="5" s="1"/>
  <c r="AL220" i="5"/>
  <c r="S220" i="5" s="1"/>
  <c r="AL221" i="5"/>
  <c r="S221" i="5" s="1"/>
  <c r="AL222" i="5"/>
  <c r="S222" i="5" s="1"/>
  <c r="AL223" i="5"/>
  <c r="S223" i="5" s="1"/>
  <c r="AL224" i="5"/>
  <c r="S224" i="5" s="1"/>
  <c r="AL225" i="5"/>
  <c r="S225" i="5" s="1"/>
  <c r="AL226" i="5"/>
  <c r="S226" i="5" s="1"/>
  <c r="AL227" i="5"/>
  <c r="S227" i="5" s="1"/>
  <c r="AL228" i="5"/>
  <c r="S228" i="5" s="1"/>
  <c r="AL229" i="5"/>
  <c r="S229" i="5" s="1"/>
  <c r="AL230" i="5"/>
  <c r="S230" i="5" s="1"/>
  <c r="AL231" i="5"/>
  <c r="S231" i="5" s="1"/>
  <c r="AL232" i="5"/>
  <c r="S232" i="5" s="1"/>
  <c r="AL233" i="5"/>
  <c r="S233" i="5" s="1"/>
  <c r="AL234" i="5"/>
  <c r="S234" i="5" s="1"/>
  <c r="AL235" i="5"/>
  <c r="S235" i="5" s="1"/>
  <c r="AL236" i="5"/>
  <c r="S236" i="5" s="1"/>
  <c r="AL237" i="5"/>
  <c r="S237" i="5" s="1"/>
  <c r="AL238" i="5"/>
  <c r="S238" i="5" s="1"/>
  <c r="AL239" i="5"/>
  <c r="S239" i="5" s="1"/>
  <c r="AL240" i="5"/>
  <c r="S240" i="5" s="1"/>
  <c r="AL241" i="5"/>
  <c r="S241" i="5" s="1"/>
  <c r="AL242" i="5"/>
  <c r="S242" i="5" s="1"/>
  <c r="AL243" i="5"/>
  <c r="S243" i="5" s="1"/>
  <c r="AL244" i="5"/>
  <c r="S244" i="5" s="1"/>
  <c r="AL245" i="5"/>
  <c r="S245" i="5" s="1"/>
  <c r="AL246" i="5"/>
  <c r="S246" i="5" s="1"/>
  <c r="AL247" i="5"/>
  <c r="S247" i="5" s="1"/>
  <c r="AL248" i="5"/>
  <c r="S248" i="5" s="1"/>
  <c r="AL249" i="5"/>
  <c r="S249" i="5" s="1"/>
  <c r="AL250" i="5"/>
  <c r="S250" i="5" s="1"/>
  <c r="AL251" i="5"/>
  <c r="S251" i="5" s="1"/>
  <c r="AL252" i="5"/>
  <c r="S252" i="5" s="1"/>
  <c r="AL253" i="5"/>
  <c r="S253" i="5" s="1"/>
  <c r="AL254" i="5"/>
  <c r="S254" i="5" s="1"/>
  <c r="AL255" i="5"/>
  <c r="S255" i="5" s="1"/>
  <c r="AL256" i="5"/>
  <c r="S256" i="5" s="1"/>
  <c r="AL257" i="5"/>
  <c r="S257" i="5" s="1"/>
  <c r="AL258" i="5"/>
  <c r="S258" i="5" s="1"/>
  <c r="AL259" i="5"/>
  <c r="S259" i="5" s="1"/>
  <c r="AL260" i="5"/>
  <c r="S260" i="5" s="1"/>
  <c r="AL261" i="5"/>
  <c r="S261" i="5" s="1"/>
  <c r="AL262" i="5"/>
  <c r="S262" i="5" s="1"/>
  <c r="AL263" i="5"/>
  <c r="S263" i="5" s="1"/>
  <c r="AL264" i="5"/>
  <c r="S264" i="5" s="1"/>
  <c r="AL265" i="5"/>
  <c r="S265" i="5" s="1"/>
  <c r="AL266" i="5"/>
  <c r="S266" i="5" s="1"/>
  <c r="AL267" i="5"/>
  <c r="S267" i="5" s="1"/>
  <c r="AL268" i="5"/>
  <c r="S268" i="5" s="1"/>
  <c r="AL269" i="5"/>
  <c r="S269" i="5" s="1"/>
  <c r="AL270" i="5"/>
  <c r="S270" i="5" s="1"/>
  <c r="AL271" i="5"/>
  <c r="S271" i="5" s="1"/>
  <c r="AL272" i="5"/>
  <c r="S272" i="5" s="1"/>
  <c r="AL273" i="5"/>
  <c r="S273" i="5" s="1"/>
  <c r="AL274" i="5"/>
  <c r="S274" i="5" s="1"/>
  <c r="AL275" i="5"/>
  <c r="S275" i="5" s="1"/>
  <c r="AL276" i="5"/>
  <c r="S276" i="5" s="1"/>
  <c r="AL277" i="5"/>
  <c r="S277" i="5" s="1"/>
  <c r="AL278" i="5"/>
  <c r="S278" i="5" s="1"/>
  <c r="AL279" i="5"/>
  <c r="S279" i="5" s="1"/>
  <c r="AL280" i="5"/>
  <c r="S280" i="5" s="1"/>
  <c r="AL281" i="5"/>
  <c r="S281" i="5" s="1"/>
  <c r="AL282" i="5"/>
  <c r="S282" i="5" s="1"/>
  <c r="AL283" i="5"/>
  <c r="S283" i="5" s="1"/>
  <c r="AL284" i="5"/>
  <c r="S284" i="5" s="1"/>
  <c r="AL285" i="5"/>
  <c r="S285" i="5" s="1"/>
  <c r="AL286" i="5"/>
  <c r="S286" i="5" s="1"/>
  <c r="AL287" i="5"/>
  <c r="S287" i="5" s="1"/>
  <c r="AL288" i="5"/>
  <c r="S288" i="5" s="1"/>
  <c r="AL289" i="5"/>
  <c r="S289" i="5" s="1"/>
  <c r="AL290" i="5"/>
  <c r="S290" i="5" s="1"/>
  <c r="AL291" i="5"/>
  <c r="S291" i="5" s="1"/>
  <c r="AL292" i="5"/>
  <c r="S292" i="5" s="1"/>
  <c r="AL293" i="5"/>
  <c r="S293" i="5" s="1"/>
  <c r="AL294" i="5"/>
  <c r="S294" i="5" s="1"/>
  <c r="AL295" i="5"/>
  <c r="S295" i="5" s="1"/>
  <c r="AL296" i="5"/>
  <c r="S296" i="5" s="1"/>
  <c r="AL297" i="5"/>
  <c r="S297" i="5" s="1"/>
  <c r="AL298" i="5"/>
  <c r="S298" i="5" s="1"/>
  <c r="AL299" i="5"/>
  <c r="S299" i="5" s="1"/>
  <c r="AL300" i="5"/>
  <c r="S300" i="5" s="1"/>
  <c r="AL301" i="5"/>
  <c r="S301" i="5" s="1"/>
  <c r="AL302" i="5"/>
  <c r="S302" i="5" s="1"/>
  <c r="AL303" i="5"/>
  <c r="S303" i="5" s="1"/>
  <c r="AL304" i="5"/>
  <c r="S304" i="5" s="1"/>
  <c r="AL305" i="5"/>
  <c r="S305" i="5" s="1"/>
  <c r="AL306" i="5"/>
  <c r="S306" i="5" s="1"/>
  <c r="AL307" i="5"/>
  <c r="S307" i="5" s="1"/>
  <c r="AL308" i="5"/>
  <c r="S308" i="5" s="1"/>
  <c r="AL309" i="5"/>
  <c r="S309" i="5" s="1"/>
  <c r="AL310" i="5"/>
  <c r="S310" i="5" s="1"/>
  <c r="AL311" i="5"/>
  <c r="S311" i="5" s="1"/>
  <c r="AL312" i="5"/>
  <c r="S312" i="5" s="1"/>
  <c r="AL313" i="5"/>
  <c r="S313" i="5" s="1"/>
  <c r="AL314" i="5"/>
  <c r="S314" i="5" s="1"/>
  <c r="AL315" i="5"/>
  <c r="S315" i="5" s="1"/>
  <c r="AL316" i="5"/>
  <c r="S316" i="5" s="1"/>
  <c r="AL317" i="5"/>
  <c r="S317" i="5" s="1"/>
  <c r="AL318" i="5"/>
  <c r="S318" i="5" s="1"/>
  <c r="AL319" i="5"/>
  <c r="S319" i="5" s="1"/>
  <c r="AL320" i="5"/>
  <c r="S320" i="5" s="1"/>
  <c r="AL321" i="5"/>
  <c r="S321" i="5" s="1"/>
  <c r="AL322" i="5"/>
  <c r="S322" i="5" s="1"/>
  <c r="AL323" i="5"/>
  <c r="S323" i="5" s="1"/>
  <c r="AL324" i="5"/>
  <c r="S324" i="5" s="1"/>
  <c r="AL325" i="5"/>
  <c r="S325" i="5" s="1"/>
  <c r="AL326" i="5"/>
  <c r="S326" i="5" s="1"/>
  <c r="AL327" i="5"/>
  <c r="S327" i="5" s="1"/>
  <c r="AL328" i="5"/>
  <c r="S328" i="5" s="1"/>
  <c r="AL329" i="5"/>
  <c r="S329" i="5" s="1"/>
  <c r="AL330" i="5"/>
  <c r="S330" i="5" s="1"/>
  <c r="AL331" i="5"/>
  <c r="S331" i="5" s="1"/>
  <c r="AL332" i="5"/>
  <c r="S332" i="5" s="1"/>
  <c r="AL333" i="5"/>
  <c r="S333" i="5" s="1"/>
  <c r="AL334" i="5"/>
  <c r="S334" i="5" s="1"/>
  <c r="AL335" i="5"/>
  <c r="S335" i="5" s="1"/>
  <c r="AL336" i="5"/>
  <c r="S336" i="5" s="1"/>
  <c r="AL337" i="5"/>
  <c r="S337" i="5" s="1"/>
  <c r="AL338" i="5"/>
  <c r="S338" i="5" s="1"/>
  <c r="AL339" i="5"/>
  <c r="S339" i="5" s="1"/>
  <c r="AL340" i="5"/>
  <c r="S340" i="5" s="1"/>
  <c r="AL341" i="5"/>
  <c r="S341" i="5" s="1"/>
  <c r="AL342" i="5"/>
  <c r="S342" i="5" s="1"/>
  <c r="AL343" i="5"/>
  <c r="S343" i="5" s="1"/>
  <c r="AL344" i="5"/>
  <c r="S344" i="5" s="1"/>
  <c r="AL345" i="5"/>
  <c r="S345" i="5" s="1"/>
  <c r="AL346" i="5"/>
  <c r="S346" i="5" s="1"/>
  <c r="AL347" i="5"/>
  <c r="S347" i="5" s="1"/>
  <c r="AL348" i="5"/>
  <c r="S348" i="5" s="1"/>
  <c r="AL349" i="5"/>
  <c r="S349" i="5" s="1"/>
  <c r="AL350" i="5"/>
  <c r="S350" i="5" s="1"/>
  <c r="AL351" i="5"/>
  <c r="S351" i="5" s="1"/>
  <c r="AL352" i="5"/>
  <c r="S352" i="5" s="1"/>
  <c r="AL353" i="5"/>
  <c r="S353" i="5" s="1"/>
  <c r="AL354" i="5"/>
  <c r="S354" i="5" s="1"/>
  <c r="AL355" i="5"/>
  <c r="S355" i="5" s="1"/>
  <c r="AL356" i="5"/>
  <c r="S356" i="5" s="1"/>
  <c r="AL357" i="5"/>
  <c r="S357" i="5" s="1"/>
  <c r="AL358" i="5"/>
  <c r="S358" i="5" s="1"/>
  <c r="AL359" i="5"/>
  <c r="S359" i="5" s="1"/>
  <c r="AL360" i="5"/>
  <c r="S360" i="5" s="1"/>
  <c r="AL361" i="5"/>
  <c r="S361" i="5" s="1"/>
  <c r="AL362" i="5"/>
  <c r="S362" i="5" s="1"/>
  <c r="AL363" i="5"/>
  <c r="S363" i="5" s="1"/>
  <c r="AL364" i="5"/>
  <c r="S364" i="5" s="1"/>
  <c r="AL365" i="5"/>
  <c r="S365" i="5" s="1"/>
  <c r="AL366" i="5"/>
  <c r="S366" i="5" s="1"/>
  <c r="AL367" i="5"/>
  <c r="S367" i="5" s="1"/>
  <c r="AL368" i="5"/>
  <c r="S368" i="5" s="1"/>
  <c r="AL369" i="5"/>
  <c r="S369" i="5" s="1"/>
  <c r="AL370" i="5"/>
  <c r="S370" i="5" s="1"/>
  <c r="AL371" i="5"/>
  <c r="S371" i="5" s="1"/>
  <c r="X17" i="5"/>
  <c r="Y17" i="5" s="1"/>
  <c r="P17" i="5" s="1"/>
  <c r="X15" i="5"/>
  <c r="Y15" i="5" s="1"/>
  <c r="P15" i="5" s="1"/>
  <c r="X14" i="5"/>
  <c r="Y14" i="5" s="1"/>
  <c r="P14" i="5" s="1"/>
  <c r="X13" i="5"/>
  <c r="AB13" i="5" s="1"/>
  <c r="X12" i="5"/>
  <c r="AB12" i="5" s="1"/>
  <c r="X11" i="5"/>
  <c r="Y11" i="5" s="1"/>
  <c r="P11" i="5" s="1"/>
  <c r="X10" i="5"/>
  <c r="Y10" i="5" s="1"/>
  <c r="P10" i="5" s="1"/>
  <c r="X9" i="5"/>
  <c r="AB9" i="5" s="1"/>
  <c r="X8" i="5"/>
  <c r="AB8" i="5" s="1"/>
  <c r="X7" i="5"/>
  <c r="AB7" i="5" s="1"/>
  <c r="X6" i="5"/>
  <c r="AG7" i="5"/>
  <c r="AG8" i="5"/>
  <c r="AG9" i="5"/>
  <c r="AG10" i="5"/>
  <c r="AG11" i="5"/>
  <c r="AG12" i="5"/>
  <c r="AG13" i="5"/>
  <c r="AG14" i="5"/>
  <c r="AG15" i="5"/>
  <c r="AG16" i="5"/>
  <c r="AG17" i="5"/>
  <c r="AG18" i="5"/>
  <c r="AG19" i="5"/>
  <c r="AG20" i="5"/>
  <c r="AG21" i="5"/>
  <c r="AG22" i="5"/>
  <c r="AG23" i="5"/>
  <c r="AG24" i="5"/>
  <c r="AG25" i="5"/>
  <c r="AG26" i="5"/>
  <c r="AG27" i="5"/>
  <c r="AG28" i="5"/>
  <c r="AG29" i="5"/>
  <c r="AG30" i="5"/>
  <c r="AG31" i="5"/>
  <c r="AG32" i="5"/>
  <c r="AG33" i="5"/>
  <c r="AG34" i="5"/>
  <c r="AG35" i="5"/>
  <c r="AG36" i="5"/>
  <c r="AG37" i="5"/>
  <c r="AG38" i="5"/>
  <c r="AG39" i="5"/>
  <c r="AG40" i="5"/>
  <c r="AG41" i="5"/>
  <c r="AG42" i="5"/>
  <c r="AG43" i="5"/>
  <c r="AG44" i="5"/>
  <c r="AG45" i="5"/>
  <c r="AG46" i="5"/>
  <c r="AG47" i="5"/>
  <c r="AG48" i="5"/>
  <c r="AG49" i="5"/>
  <c r="AG50" i="5"/>
  <c r="AG51" i="5"/>
  <c r="AG52" i="5"/>
  <c r="AG53" i="5"/>
  <c r="AG54" i="5"/>
  <c r="AG55" i="5"/>
  <c r="AG56" i="5"/>
  <c r="AG57" i="5"/>
  <c r="AG58" i="5"/>
  <c r="AG59" i="5"/>
  <c r="AG60" i="5"/>
  <c r="AG61" i="5"/>
  <c r="AG62" i="5"/>
  <c r="AG63" i="5"/>
  <c r="AG64" i="5"/>
  <c r="AG65" i="5"/>
  <c r="AG66" i="5"/>
  <c r="AG67" i="5"/>
  <c r="AG68" i="5"/>
  <c r="AG69" i="5"/>
  <c r="AG70" i="5"/>
  <c r="AG71" i="5"/>
  <c r="AG72" i="5"/>
  <c r="AG73" i="5"/>
  <c r="AG74" i="5"/>
  <c r="AG75" i="5"/>
  <c r="AG76" i="5"/>
  <c r="AG77" i="5"/>
  <c r="AG78" i="5"/>
  <c r="AG79" i="5"/>
  <c r="AG80" i="5"/>
  <c r="AG81" i="5"/>
  <c r="AG82" i="5"/>
  <c r="AG83" i="5"/>
  <c r="AG84" i="5"/>
  <c r="AG85" i="5"/>
  <c r="AG86" i="5"/>
  <c r="AG87" i="5"/>
  <c r="AG88" i="5"/>
  <c r="AG89" i="5"/>
  <c r="AG90" i="5"/>
  <c r="AG91" i="5"/>
  <c r="AG92" i="5"/>
  <c r="AG93" i="5"/>
  <c r="AG94" i="5"/>
  <c r="AG95" i="5"/>
  <c r="AG96" i="5"/>
  <c r="AG97" i="5"/>
  <c r="AG98" i="5"/>
  <c r="AG99" i="5"/>
  <c r="AG100" i="5"/>
  <c r="AG101" i="5"/>
  <c r="AG102" i="5"/>
  <c r="AG103" i="5"/>
  <c r="AG104" i="5"/>
  <c r="AG105" i="5"/>
  <c r="AG106" i="5"/>
  <c r="AG107" i="5"/>
  <c r="AG108" i="5"/>
  <c r="AG109" i="5"/>
  <c r="AG110" i="5"/>
  <c r="AG111" i="5"/>
  <c r="AG112" i="5"/>
  <c r="AG113" i="5"/>
  <c r="AG114" i="5"/>
  <c r="AG115" i="5"/>
  <c r="AG116" i="5"/>
  <c r="AG117" i="5"/>
  <c r="AG118" i="5"/>
  <c r="AG119" i="5"/>
  <c r="AG120" i="5"/>
  <c r="AG121" i="5"/>
  <c r="AG122" i="5"/>
  <c r="AG123" i="5"/>
  <c r="AG124" i="5"/>
  <c r="AG125" i="5"/>
  <c r="AG126" i="5"/>
  <c r="AG127" i="5"/>
  <c r="AG128" i="5"/>
  <c r="AG129" i="5"/>
  <c r="AG130" i="5"/>
  <c r="AG131" i="5"/>
  <c r="AG132" i="5"/>
  <c r="AG133" i="5"/>
  <c r="AG134" i="5"/>
  <c r="AG135" i="5"/>
  <c r="AG136" i="5"/>
  <c r="AG137" i="5"/>
  <c r="AG138" i="5"/>
  <c r="AG139" i="5"/>
  <c r="AG140" i="5"/>
  <c r="AG141" i="5"/>
  <c r="AG142" i="5"/>
  <c r="AG143" i="5"/>
  <c r="AG144" i="5"/>
  <c r="AG145" i="5"/>
  <c r="AG146" i="5"/>
  <c r="AG147" i="5"/>
  <c r="AG148" i="5"/>
  <c r="AG149" i="5"/>
  <c r="AG150" i="5"/>
  <c r="AG151" i="5"/>
  <c r="AG152" i="5"/>
  <c r="AG153" i="5"/>
  <c r="AG154" i="5"/>
  <c r="AG155" i="5"/>
  <c r="AG156" i="5"/>
  <c r="AG157" i="5"/>
  <c r="AG158" i="5"/>
  <c r="AG159" i="5"/>
  <c r="AG160" i="5"/>
  <c r="AG161" i="5"/>
  <c r="AG162" i="5"/>
  <c r="AG163" i="5"/>
  <c r="AG164" i="5"/>
  <c r="AG165" i="5"/>
  <c r="AG166" i="5"/>
  <c r="AG167" i="5"/>
  <c r="AG168" i="5"/>
  <c r="AG169" i="5"/>
  <c r="AG170" i="5"/>
  <c r="AG171" i="5"/>
  <c r="AG172" i="5"/>
  <c r="AG173" i="5"/>
  <c r="AG174" i="5"/>
  <c r="AG175" i="5"/>
  <c r="AG176" i="5"/>
  <c r="AG177" i="5"/>
  <c r="AG178" i="5"/>
  <c r="AG179" i="5"/>
  <c r="AG180" i="5"/>
  <c r="AG181" i="5"/>
  <c r="AG182" i="5"/>
  <c r="AG183" i="5"/>
  <c r="AG184" i="5"/>
  <c r="AG185" i="5"/>
  <c r="AG186" i="5"/>
  <c r="AG187" i="5"/>
  <c r="AG188" i="5"/>
  <c r="AG189" i="5"/>
  <c r="AG190" i="5"/>
  <c r="AG191" i="5"/>
  <c r="AG192" i="5"/>
  <c r="AG193" i="5"/>
  <c r="AG194" i="5"/>
  <c r="AG195" i="5"/>
  <c r="AG196" i="5"/>
  <c r="AG197" i="5"/>
  <c r="AG198" i="5"/>
  <c r="AG199" i="5"/>
  <c r="AG200" i="5"/>
  <c r="AG201" i="5"/>
  <c r="AG202" i="5"/>
  <c r="AG203" i="5"/>
  <c r="AG204" i="5"/>
  <c r="AG205" i="5"/>
  <c r="AG206" i="5"/>
  <c r="AG207" i="5"/>
  <c r="AG208" i="5"/>
  <c r="AG209" i="5"/>
  <c r="AG210" i="5"/>
  <c r="AG211" i="5"/>
  <c r="AG212" i="5"/>
  <c r="AG213" i="5"/>
  <c r="AG214" i="5"/>
  <c r="AG215" i="5"/>
  <c r="AG216" i="5"/>
  <c r="AG217" i="5"/>
  <c r="AG218" i="5"/>
  <c r="AG219" i="5"/>
  <c r="AG220" i="5"/>
  <c r="AG221" i="5"/>
  <c r="AG222" i="5"/>
  <c r="AG223" i="5"/>
  <c r="AG224" i="5"/>
  <c r="AG225" i="5"/>
  <c r="AG226" i="5"/>
  <c r="AG227" i="5"/>
  <c r="AG228" i="5"/>
  <c r="AG229" i="5"/>
  <c r="AG230" i="5"/>
  <c r="AG231" i="5"/>
  <c r="AG232" i="5"/>
  <c r="AG233" i="5"/>
  <c r="AG234" i="5"/>
  <c r="AG235" i="5"/>
  <c r="AG236" i="5"/>
  <c r="AG237" i="5"/>
  <c r="AG238" i="5"/>
  <c r="AG239" i="5"/>
  <c r="AG240" i="5"/>
  <c r="AG241" i="5"/>
  <c r="AG242" i="5"/>
  <c r="AG243" i="5"/>
  <c r="AG244" i="5"/>
  <c r="AG245" i="5"/>
  <c r="AG246" i="5"/>
  <c r="AG247" i="5"/>
  <c r="AG248" i="5"/>
  <c r="AG249" i="5"/>
  <c r="AG250" i="5"/>
  <c r="AG251" i="5"/>
  <c r="AG252" i="5"/>
  <c r="AG253" i="5"/>
  <c r="AG254" i="5"/>
  <c r="AG255" i="5"/>
  <c r="AG256" i="5"/>
  <c r="AG257" i="5"/>
  <c r="AG258" i="5"/>
  <c r="AG259" i="5"/>
  <c r="AG260" i="5"/>
  <c r="AG261" i="5"/>
  <c r="AG262" i="5"/>
  <c r="AG263" i="5"/>
  <c r="AG264" i="5"/>
  <c r="AG265" i="5"/>
  <c r="AG266" i="5"/>
  <c r="AG267" i="5"/>
  <c r="AG268" i="5"/>
  <c r="AG269" i="5"/>
  <c r="AG270" i="5"/>
  <c r="AG271" i="5"/>
  <c r="AG272" i="5"/>
  <c r="AG273" i="5"/>
  <c r="AG274" i="5"/>
  <c r="AG275" i="5"/>
  <c r="AG276" i="5"/>
  <c r="AG277" i="5"/>
  <c r="AG278" i="5"/>
  <c r="AG279" i="5"/>
  <c r="AG280" i="5"/>
  <c r="AG281" i="5"/>
  <c r="AG282" i="5"/>
  <c r="AG283" i="5"/>
  <c r="AG284" i="5"/>
  <c r="AG285" i="5"/>
  <c r="AG286" i="5"/>
  <c r="AG287" i="5"/>
  <c r="AG288" i="5"/>
  <c r="AG289" i="5"/>
  <c r="AG290" i="5"/>
  <c r="AG291" i="5"/>
  <c r="AG292" i="5"/>
  <c r="AG293" i="5"/>
  <c r="AG294" i="5"/>
  <c r="AG295" i="5"/>
  <c r="AG296" i="5"/>
  <c r="AG297" i="5"/>
  <c r="AG298" i="5"/>
  <c r="AG299" i="5"/>
  <c r="AG300" i="5"/>
  <c r="AG301" i="5"/>
  <c r="AG302" i="5"/>
  <c r="AG303" i="5"/>
  <c r="AG304" i="5"/>
  <c r="AG305" i="5"/>
  <c r="AG306" i="5"/>
  <c r="AG307" i="5"/>
  <c r="AG308" i="5"/>
  <c r="AG309" i="5"/>
  <c r="AG310" i="5"/>
  <c r="AG311" i="5"/>
  <c r="AG312" i="5"/>
  <c r="AG313" i="5"/>
  <c r="AG314" i="5"/>
  <c r="AG315" i="5"/>
  <c r="AG316" i="5"/>
  <c r="AG317" i="5"/>
  <c r="AG318" i="5"/>
  <c r="AG319" i="5"/>
  <c r="AG320" i="5"/>
  <c r="AG321" i="5"/>
  <c r="AG322" i="5"/>
  <c r="AG323" i="5"/>
  <c r="AG324" i="5"/>
  <c r="AG325" i="5"/>
  <c r="AG326" i="5"/>
  <c r="AG327" i="5"/>
  <c r="AG328" i="5"/>
  <c r="AG329" i="5"/>
  <c r="AG330" i="5"/>
  <c r="AG331" i="5"/>
  <c r="AG332" i="5"/>
  <c r="AG333" i="5"/>
  <c r="AG334" i="5"/>
  <c r="AG335" i="5"/>
  <c r="AG336" i="5"/>
  <c r="AG337" i="5"/>
  <c r="AG338" i="5"/>
  <c r="AG339" i="5"/>
  <c r="AG340" i="5"/>
  <c r="AG341" i="5"/>
  <c r="AG342" i="5"/>
  <c r="AG343" i="5"/>
  <c r="AG344" i="5"/>
  <c r="AG345" i="5"/>
  <c r="AG346" i="5"/>
  <c r="AG347" i="5"/>
  <c r="AG348" i="5"/>
  <c r="AG349" i="5"/>
  <c r="AG350" i="5"/>
  <c r="AG351" i="5"/>
  <c r="AG352" i="5"/>
  <c r="AG353" i="5"/>
  <c r="AG354" i="5"/>
  <c r="AG355" i="5"/>
  <c r="AG356" i="5"/>
  <c r="AG357" i="5"/>
  <c r="AG358" i="5"/>
  <c r="AG359" i="5"/>
  <c r="AG360" i="5"/>
  <c r="AG361" i="5"/>
  <c r="AG362" i="5"/>
  <c r="AG363" i="5"/>
  <c r="AG364" i="5"/>
  <c r="AG365" i="5"/>
  <c r="AG366" i="5"/>
  <c r="AG367" i="5"/>
  <c r="AG368" i="5"/>
  <c r="AG369" i="5"/>
  <c r="AG370" i="5"/>
  <c r="AG371" i="5"/>
  <c r="AF7" i="5"/>
  <c r="AF8" i="5"/>
  <c r="AF9" i="5"/>
  <c r="AH9" i="5" s="1"/>
  <c r="AF10" i="5"/>
  <c r="AH10" i="5" s="1"/>
  <c r="AF11" i="5"/>
  <c r="AH11" i="5" s="1"/>
  <c r="AF12" i="5"/>
  <c r="AH12" i="5" s="1"/>
  <c r="AF13" i="5"/>
  <c r="AH13" i="5" s="1"/>
  <c r="AF14" i="5"/>
  <c r="AH14" i="5" s="1"/>
  <c r="AF15" i="5"/>
  <c r="AH15" i="5" s="1"/>
  <c r="AF16" i="5"/>
  <c r="AF17" i="5"/>
  <c r="AH17" i="5" s="1"/>
  <c r="AF18" i="5"/>
  <c r="AF19" i="5"/>
  <c r="AF20" i="5"/>
  <c r="AF21" i="5"/>
  <c r="AH21" i="5" s="1"/>
  <c r="AF22" i="5"/>
  <c r="AH22" i="5" s="1"/>
  <c r="AF23" i="5"/>
  <c r="AH23" i="5" s="1"/>
  <c r="AF24" i="5"/>
  <c r="AH24" i="5" s="1"/>
  <c r="AF25" i="5"/>
  <c r="AH25" i="5" s="1"/>
  <c r="AF26" i="5"/>
  <c r="AH26" i="5" s="1"/>
  <c r="AF27" i="5"/>
  <c r="AH27" i="5" s="1"/>
  <c r="AF28" i="5"/>
  <c r="AF29" i="5"/>
  <c r="AH29" i="5" s="1"/>
  <c r="AF30" i="5"/>
  <c r="AF31" i="5"/>
  <c r="AF32" i="5"/>
  <c r="AF33" i="5"/>
  <c r="AH33" i="5" s="1"/>
  <c r="AF34" i="5"/>
  <c r="AH34" i="5" s="1"/>
  <c r="AF35" i="5"/>
  <c r="AH35" i="5" s="1"/>
  <c r="AF36" i="5"/>
  <c r="AH36" i="5" s="1"/>
  <c r="AF37" i="5"/>
  <c r="AH37" i="5" s="1"/>
  <c r="AF38" i="5"/>
  <c r="AH38" i="5" s="1"/>
  <c r="AF39" i="5"/>
  <c r="AH39" i="5" s="1"/>
  <c r="AF40" i="5"/>
  <c r="AF41" i="5"/>
  <c r="AH41" i="5" s="1"/>
  <c r="AF42" i="5"/>
  <c r="AF43" i="5"/>
  <c r="AF44" i="5"/>
  <c r="AF45" i="5"/>
  <c r="AH45" i="5" s="1"/>
  <c r="AF46" i="5"/>
  <c r="AH46" i="5" s="1"/>
  <c r="AF47" i="5"/>
  <c r="AH47" i="5" s="1"/>
  <c r="AF48" i="5"/>
  <c r="AH48" i="5" s="1"/>
  <c r="AF49" i="5"/>
  <c r="AH49" i="5" s="1"/>
  <c r="AF50" i="5"/>
  <c r="AH50" i="5" s="1"/>
  <c r="AF51" i="5"/>
  <c r="AH51" i="5" s="1"/>
  <c r="AF52" i="5"/>
  <c r="AF53" i="5"/>
  <c r="AH53" i="5" s="1"/>
  <c r="AF54" i="5"/>
  <c r="AF55" i="5"/>
  <c r="AF56" i="5"/>
  <c r="AF57" i="5"/>
  <c r="AH57" i="5" s="1"/>
  <c r="AF58" i="5"/>
  <c r="AH58" i="5" s="1"/>
  <c r="AF59" i="5"/>
  <c r="AH59" i="5" s="1"/>
  <c r="AF60" i="5"/>
  <c r="AH60" i="5" s="1"/>
  <c r="AF61" i="5"/>
  <c r="AH61" i="5" s="1"/>
  <c r="AF62" i="5"/>
  <c r="AH62" i="5" s="1"/>
  <c r="AF63" i="5"/>
  <c r="AH63" i="5" s="1"/>
  <c r="AF64" i="5"/>
  <c r="AF65" i="5"/>
  <c r="AH65" i="5" s="1"/>
  <c r="AF66" i="5"/>
  <c r="AF67" i="5"/>
  <c r="AF68" i="5"/>
  <c r="AF69" i="5"/>
  <c r="AH69" i="5" s="1"/>
  <c r="AF70" i="5"/>
  <c r="AH70" i="5" s="1"/>
  <c r="AF71" i="5"/>
  <c r="AH71" i="5" s="1"/>
  <c r="AF72" i="5"/>
  <c r="AH72" i="5" s="1"/>
  <c r="AF73" i="5"/>
  <c r="AH73" i="5" s="1"/>
  <c r="AF74" i="5"/>
  <c r="AH74" i="5" s="1"/>
  <c r="AF75" i="5"/>
  <c r="AH75" i="5" s="1"/>
  <c r="AF76" i="5"/>
  <c r="AF77" i="5"/>
  <c r="AH77" i="5" s="1"/>
  <c r="AF78" i="5"/>
  <c r="AF79" i="5"/>
  <c r="AF80" i="5"/>
  <c r="AF81" i="5"/>
  <c r="AH81" i="5" s="1"/>
  <c r="AF82" i="5"/>
  <c r="AH82" i="5" s="1"/>
  <c r="AF83" i="5"/>
  <c r="AH83" i="5" s="1"/>
  <c r="AF84" i="5"/>
  <c r="AH84" i="5" s="1"/>
  <c r="AF85" i="5"/>
  <c r="AH85" i="5" s="1"/>
  <c r="AF86" i="5"/>
  <c r="AH86" i="5" s="1"/>
  <c r="AF87" i="5"/>
  <c r="AH87" i="5" s="1"/>
  <c r="AF88" i="5"/>
  <c r="AF89" i="5"/>
  <c r="AH89" i="5" s="1"/>
  <c r="AF90" i="5"/>
  <c r="AF91" i="5"/>
  <c r="AF92" i="5"/>
  <c r="AF93" i="5"/>
  <c r="AH93" i="5" s="1"/>
  <c r="AF94" i="5"/>
  <c r="AH94" i="5" s="1"/>
  <c r="AF95" i="5"/>
  <c r="AH95" i="5" s="1"/>
  <c r="AF96" i="5"/>
  <c r="AH96" i="5" s="1"/>
  <c r="AF97" i="5"/>
  <c r="AH97" i="5" s="1"/>
  <c r="AF98" i="5"/>
  <c r="AH98" i="5" s="1"/>
  <c r="AF99" i="5"/>
  <c r="AH99" i="5" s="1"/>
  <c r="AF100" i="5"/>
  <c r="AF101" i="5"/>
  <c r="AH101" i="5" s="1"/>
  <c r="AF102" i="5"/>
  <c r="AF103" i="5"/>
  <c r="AF104" i="5"/>
  <c r="AF105" i="5"/>
  <c r="AH105" i="5" s="1"/>
  <c r="AF106" i="5"/>
  <c r="AF107" i="5"/>
  <c r="AH107" i="5" s="1"/>
  <c r="AF108" i="5"/>
  <c r="AH108" i="5" s="1"/>
  <c r="AF109" i="5"/>
  <c r="AH109" i="5" s="1"/>
  <c r="AF110" i="5"/>
  <c r="AH110" i="5" s="1"/>
  <c r="AF111" i="5"/>
  <c r="AH111" i="5" s="1"/>
  <c r="AF112" i="5"/>
  <c r="AF113" i="5"/>
  <c r="AH113" i="5" s="1"/>
  <c r="AF114" i="5"/>
  <c r="AF115" i="5"/>
  <c r="AF116" i="5"/>
  <c r="AF117" i="5"/>
  <c r="AH117" i="5" s="1"/>
  <c r="AF118" i="5"/>
  <c r="AH118" i="5" s="1"/>
  <c r="AF119" i="5"/>
  <c r="AH119" i="5" s="1"/>
  <c r="AF120" i="5"/>
  <c r="AH120" i="5" s="1"/>
  <c r="AF121" i="5"/>
  <c r="AH121" i="5" s="1"/>
  <c r="AF122" i="5"/>
  <c r="AH122" i="5" s="1"/>
  <c r="AF123" i="5"/>
  <c r="AH123" i="5" s="1"/>
  <c r="AF124" i="5"/>
  <c r="AF125" i="5"/>
  <c r="AH125" i="5" s="1"/>
  <c r="AF126" i="5"/>
  <c r="AF127" i="5"/>
  <c r="AF128" i="5"/>
  <c r="AF129" i="5"/>
  <c r="AH129" i="5" s="1"/>
  <c r="AF130" i="5"/>
  <c r="AH130" i="5" s="1"/>
  <c r="AF131" i="5"/>
  <c r="AH131" i="5" s="1"/>
  <c r="AF132" i="5"/>
  <c r="AH132" i="5" s="1"/>
  <c r="AF133" i="5"/>
  <c r="AH133" i="5" s="1"/>
  <c r="AF134" i="5"/>
  <c r="AH134" i="5" s="1"/>
  <c r="AF135" i="5"/>
  <c r="AH135" i="5" s="1"/>
  <c r="AF136" i="5"/>
  <c r="AF137" i="5"/>
  <c r="AH137" i="5" s="1"/>
  <c r="AF138" i="5"/>
  <c r="AF139" i="5"/>
  <c r="AF140" i="5"/>
  <c r="AF141" i="5"/>
  <c r="AH141" i="5" s="1"/>
  <c r="AF142" i="5"/>
  <c r="AF143" i="5"/>
  <c r="AH143" i="5" s="1"/>
  <c r="AF144" i="5"/>
  <c r="AH144" i="5" s="1"/>
  <c r="AF145" i="5"/>
  <c r="AH145" i="5" s="1"/>
  <c r="AF146" i="5"/>
  <c r="AH146" i="5" s="1"/>
  <c r="AF147" i="5"/>
  <c r="AH147" i="5" s="1"/>
  <c r="AF148" i="5"/>
  <c r="AF149" i="5"/>
  <c r="AH149" i="5" s="1"/>
  <c r="AF150" i="5"/>
  <c r="AF151" i="5"/>
  <c r="AF152" i="5"/>
  <c r="AF153" i="5"/>
  <c r="AH153" i="5" s="1"/>
  <c r="AF154" i="5"/>
  <c r="AF155" i="5"/>
  <c r="AH155" i="5" s="1"/>
  <c r="AF156" i="5"/>
  <c r="AH156" i="5" s="1"/>
  <c r="AF157" i="5"/>
  <c r="AH157" i="5" s="1"/>
  <c r="AF158" i="5"/>
  <c r="AH158" i="5" s="1"/>
  <c r="AF159" i="5"/>
  <c r="AH159" i="5" s="1"/>
  <c r="AF160" i="5"/>
  <c r="AF161" i="5"/>
  <c r="AH161" i="5" s="1"/>
  <c r="AF162" i="5"/>
  <c r="AF163" i="5"/>
  <c r="AF164" i="5"/>
  <c r="AF165" i="5"/>
  <c r="AH165" i="5" s="1"/>
  <c r="AF166" i="5"/>
  <c r="AH166" i="5" s="1"/>
  <c r="AF167" i="5"/>
  <c r="AH167" i="5" s="1"/>
  <c r="AF168" i="5"/>
  <c r="AH168" i="5" s="1"/>
  <c r="AF169" i="5"/>
  <c r="AH169" i="5" s="1"/>
  <c r="AF170" i="5"/>
  <c r="AH170" i="5" s="1"/>
  <c r="AF171" i="5"/>
  <c r="AH171" i="5" s="1"/>
  <c r="AF172" i="5"/>
  <c r="AF173" i="5"/>
  <c r="AH173" i="5" s="1"/>
  <c r="AF174" i="5"/>
  <c r="AF175" i="5"/>
  <c r="AF176" i="5"/>
  <c r="AF177" i="5"/>
  <c r="AH177" i="5" s="1"/>
  <c r="AF178" i="5"/>
  <c r="AH178" i="5" s="1"/>
  <c r="AF179" i="5"/>
  <c r="AH179" i="5" s="1"/>
  <c r="AF180" i="5"/>
  <c r="AH180" i="5" s="1"/>
  <c r="AF181" i="5"/>
  <c r="AH181" i="5" s="1"/>
  <c r="AF182" i="5"/>
  <c r="AH182" i="5" s="1"/>
  <c r="AF183" i="5"/>
  <c r="AH183" i="5" s="1"/>
  <c r="AF184" i="5"/>
  <c r="AF185" i="5"/>
  <c r="AH185" i="5" s="1"/>
  <c r="AF186" i="5"/>
  <c r="AF187" i="5"/>
  <c r="AF188" i="5"/>
  <c r="AF189" i="5"/>
  <c r="AH189" i="5" s="1"/>
  <c r="AF190" i="5"/>
  <c r="AH190" i="5" s="1"/>
  <c r="AF191" i="5"/>
  <c r="AH191" i="5" s="1"/>
  <c r="AF192" i="5"/>
  <c r="AH192" i="5" s="1"/>
  <c r="AF193" i="5"/>
  <c r="AH193" i="5" s="1"/>
  <c r="AF194" i="5"/>
  <c r="AH194" i="5" s="1"/>
  <c r="AF195" i="5"/>
  <c r="AH195" i="5" s="1"/>
  <c r="AF196" i="5"/>
  <c r="AF197" i="5"/>
  <c r="AH197" i="5" s="1"/>
  <c r="AF198" i="5"/>
  <c r="AF199" i="5"/>
  <c r="AF200" i="5"/>
  <c r="AF201" i="5"/>
  <c r="AH201" i="5" s="1"/>
  <c r="AF202" i="5"/>
  <c r="AH202" i="5" s="1"/>
  <c r="AF203" i="5"/>
  <c r="AH203" i="5" s="1"/>
  <c r="AF204" i="5"/>
  <c r="AH204" i="5" s="1"/>
  <c r="AF205" i="5"/>
  <c r="AH205" i="5" s="1"/>
  <c r="AF206" i="5"/>
  <c r="AH206" i="5" s="1"/>
  <c r="AF207" i="5"/>
  <c r="AH207" i="5" s="1"/>
  <c r="AF208" i="5"/>
  <c r="AF209" i="5"/>
  <c r="AH209" i="5" s="1"/>
  <c r="AF210" i="5"/>
  <c r="AF211" i="5"/>
  <c r="AF212" i="5"/>
  <c r="AF213" i="5"/>
  <c r="AH213" i="5" s="1"/>
  <c r="AF214" i="5"/>
  <c r="AF215" i="5"/>
  <c r="AH215" i="5" s="1"/>
  <c r="AF216" i="5"/>
  <c r="AH216" i="5" s="1"/>
  <c r="AF217" i="5"/>
  <c r="AH217" i="5" s="1"/>
  <c r="AF218" i="5"/>
  <c r="AH218" i="5" s="1"/>
  <c r="AF219" i="5"/>
  <c r="AH219" i="5" s="1"/>
  <c r="AF220" i="5"/>
  <c r="AF221" i="5"/>
  <c r="AH221" i="5" s="1"/>
  <c r="AF222" i="5"/>
  <c r="AF223" i="5"/>
  <c r="AF224" i="5"/>
  <c r="AF225" i="5"/>
  <c r="AH225" i="5" s="1"/>
  <c r="AF226" i="5"/>
  <c r="AF227" i="5"/>
  <c r="AH227" i="5" s="1"/>
  <c r="AF228" i="5"/>
  <c r="AH228" i="5" s="1"/>
  <c r="AF229" i="5"/>
  <c r="AH229" i="5" s="1"/>
  <c r="AF230" i="5"/>
  <c r="AH230" i="5" s="1"/>
  <c r="AF231" i="5"/>
  <c r="AH231" i="5" s="1"/>
  <c r="AF232" i="5"/>
  <c r="AF233" i="5"/>
  <c r="AH233" i="5" s="1"/>
  <c r="AF234" i="5"/>
  <c r="AF235" i="5"/>
  <c r="AF236" i="5"/>
  <c r="AF237" i="5"/>
  <c r="AH237" i="5" s="1"/>
  <c r="AF238" i="5"/>
  <c r="AF239" i="5"/>
  <c r="AH239" i="5" s="1"/>
  <c r="AF240" i="5"/>
  <c r="AH240" i="5" s="1"/>
  <c r="AF241" i="5"/>
  <c r="AH241" i="5" s="1"/>
  <c r="AF242" i="5"/>
  <c r="AH242" i="5" s="1"/>
  <c r="AF243" i="5"/>
  <c r="AH243" i="5" s="1"/>
  <c r="AF244" i="5"/>
  <c r="AF245" i="5"/>
  <c r="AH245" i="5" s="1"/>
  <c r="AF246" i="5"/>
  <c r="AF247" i="5"/>
  <c r="AF248" i="5"/>
  <c r="AF249" i="5"/>
  <c r="AH249" i="5" s="1"/>
  <c r="AF250" i="5"/>
  <c r="AH250" i="5" s="1"/>
  <c r="AF251" i="5"/>
  <c r="AH251" i="5" s="1"/>
  <c r="AF252" i="5"/>
  <c r="AH252" i="5" s="1"/>
  <c r="AF253" i="5"/>
  <c r="AH253" i="5" s="1"/>
  <c r="AF254" i="5"/>
  <c r="AH254" i="5" s="1"/>
  <c r="AF255" i="5"/>
  <c r="AH255" i="5" s="1"/>
  <c r="AF256" i="5"/>
  <c r="AF257" i="5"/>
  <c r="AH257" i="5" s="1"/>
  <c r="AF258" i="5"/>
  <c r="AF259" i="5"/>
  <c r="AF260" i="5"/>
  <c r="AF261" i="5"/>
  <c r="AH261" i="5" s="1"/>
  <c r="AF262" i="5"/>
  <c r="AH262" i="5" s="1"/>
  <c r="AF263" i="5"/>
  <c r="AH263" i="5" s="1"/>
  <c r="AF264" i="5"/>
  <c r="AH264" i="5" s="1"/>
  <c r="AF265" i="5"/>
  <c r="AH265" i="5" s="1"/>
  <c r="AF266" i="5"/>
  <c r="AH266" i="5" s="1"/>
  <c r="AF267" i="5"/>
  <c r="AH267" i="5" s="1"/>
  <c r="AF268" i="5"/>
  <c r="AF269" i="5"/>
  <c r="AH269" i="5" s="1"/>
  <c r="AF270" i="5"/>
  <c r="AF271" i="5"/>
  <c r="AF272" i="5"/>
  <c r="AF273" i="5"/>
  <c r="AH273" i="5" s="1"/>
  <c r="AF274" i="5"/>
  <c r="AH274" i="5" s="1"/>
  <c r="AF275" i="5"/>
  <c r="AH275" i="5" s="1"/>
  <c r="AF276" i="5"/>
  <c r="AH276" i="5" s="1"/>
  <c r="AF277" i="5"/>
  <c r="AH277" i="5" s="1"/>
  <c r="AF278" i="5"/>
  <c r="AH278" i="5" s="1"/>
  <c r="AF279" i="5"/>
  <c r="AH279" i="5" s="1"/>
  <c r="AF280" i="5"/>
  <c r="AF281" i="5"/>
  <c r="AH281" i="5" s="1"/>
  <c r="AF282" i="5"/>
  <c r="AH282" i="5" s="1"/>
  <c r="AF283" i="5"/>
  <c r="AF284" i="5"/>
  <c r="AF285" i="5"/>
  <c r="AH285" i="5" s="1"/>
  <c r="AF286" i="5"/>
  <c r="AF287" i="5"/>
  <c r="AH287" i="5" s="1"/>
  <c r="AF288" i="5"/>
  <c r="AH288" i="5" s="1"/>
  <c r="AF289" i="5"/>
  <c r="AH289" i="5" s="1"/>
  <c r="AF290" i="5"/>
  <c r="AH290" i="5" s="1"/>
  <c r="AF291" i="5"/>
  <c r="AH291" i="5" s="1"/>
  <c r="AF292" i="5"/>
  <c r="AF293" i="5"/>
  <c r="AH293" i="5" s="1"/>
  <c r="AF294" i="5"/>
  <c r="AH294" i="5" s="1"/>
  <c r="AF295" i="5"/>
  <c r="AF296" i="5"/>
  <c r="AF297" i="5"/>
  <c r="AH297" i="5" s="1"/>
  <c r="AF298" i="5"/>
  <c r="AF299" i="5"/>
  <c r="AH299" i="5" s="1"/>
  <c r="AF300" i="5"/>
  <c r="AH300" i="5" s="1"/>
  <c r="AF301" i="5"/>
  <c r="AH301" i="5" s="1"/>
  <c r="AF302" i="5"/>
  <c r="AH302" i="5" s="1"/>
  <c r="AF303" i="5"/>
  <c r="AH303" i="5" s="1"/>
  <c r="AF304" i="5"/>
  <c r="AF305" i="5"/>
  <c r="AH305" i="5" s="1"/>
  <c r="AF306" i="5"/>
  <c r="AH306" i="5" s="1"/>
  <c r="AF307" i="5"/>
  <c r="AF308" i="5"/>
  <c r="AF309" i="5"/>
  <c r="AH309" i="5" s="1"/>
  <c r="AF310" i="5"/>
  <c r="AF311" i="5"/>
  <c r="AH311" i="5" s="1"/>
  <c r="AF312" i="5"/>
  <c r="AH312" i="5" s="1"/>
  <c r="AF313" i="5"/>
  <c r="AH313" i="5" s="1"/>
  <c r="AF314" i="5"/>
  <c r="AH314" i="5" s="1"/>
  <c r="AF315" i="5"/>
  <c r="AH315" i="5" s="1"/>
  <c r="AF316" i="5"/>
  <c r="AF317" i="5"/>
  <c r="AH317" i="5" s="1"/>
  <c r="AF318" i="5"/>
  <c r="AH318" i="5" s="1"/>
  <c r="AF319" i="5"/>
  <c r="AF320" i="5"/>
  <c r="AF321" i="5"/>
  <c r="AH321" i="5" s="1"/>
  <c r="AF322" i="5"/>
  <c r="AH322" i="5" s="1"/>
  <c r="AF323" i="5"/>
  <c r="AH323" i="5" s="1"/>
  <c r="AF324" i="5"/>
  <c r="AH324" i="5" s="1"/>
  <c r="AF325" i="5"/>
  <c r="AH325" i="5" s="1"/>
  <c r="AF326" i="5"/>
  <c r="AH326" i="5" s="1"/>
  <c r="AF327" i="5"/>
  <c r="AH327" i="5" s="1"/>
  <c r="AF328" i="5"/>
  <c r="AF329" i="5"/>
  <c r="AH329" i="5" s="1"/>
  <c r="AF330" i="5"/>
  <c r="AH330" i="5" s="1"/>
  <c r="AF331" i="5"/>
  <c r="AF332" i="5"/>
  <c r="AF333" i="5"/>
  <c r="AH333" i="5" s="1"/>
  <c r="AF334" i="5"/>
  <c r="AH334" i="5" s="1"/>
  <c r="AF335" i="5"/>
  <c r="AH335" i="5" s="1"/>
  <c r="AF336" i="5"/>
  <c r="AH336" i="5" s="1"/>
  <c r="AF337" i="5"/>
  <c r="AH337" i="5" s="1"/>
  <c r="AF338" i="5"/>
  <c r="AH338" i="5" s="1"/>
  <c r="AF339" i="5"/>
  <c r="AH339" i="5" s="1"/>
  <c r="AF340" i="5"/>
  <c r="AF341" i="5"/>
  <c r="AH341" i="5" s="1"/>
  <c r="AF342" i="5"/>
  <c r="AH342" i="5" s="1"/>
  <c r="AF343" i="5"/>
  <c r="AF344" i="5"/>
  <c r="AF345" i="5"/>
  <c r="AH345" i="5" s="1"/>
  <c r="AF346" i="5"/>
  <c r="AH346" i="5" s="1"/>
  <c r="AF347" i="5"/>
  <c r="AH347" i="5" s="1"/>
  <c r="AF348" i="5"/>
  <c r="AH348" i="5" s="1"/>
  <c r="AF349" i="5"/>
  <c r="AH349" i="5" s="1"/>
  <c r="AF350" i="5"/>
  <c r="AH350" i="5" s="1"/>
  <c r="AF351" i="5"/>
  <c r="AH351" i="5" s="1"/>
  <c r="AF352" i="5"/>
  <c r="AF353" i="5"/>
  <c r="AH353" i="5" s="1"/>
  <c r="AF354" i="5"/>
  <c r="AH354" i="5" s="1"/>
  <c r="AF355" i="5"/>
  <c r="AF356" i="5"/>
  <c r="AF357" i="5"/>
  <c r="AH357" i="5" s="1"/>
  <c r="AF358" i="5"/>
  <c r="AF359" i="5"/>
  <c r="AH359" i="5" s="1"/>
  <c r="AF360" i="5"/>
  <c r="AH360" i="5" s="1"/>
  <c r="AF361" i="5"/>
  <c r="AH361" i="5" s="1"/>
  <c r="AF362" i="5"/>
  <c r="AH362" i="5" s="1"/>
  <c r="AF363" i="5"/>
  <c r="AH363" i="5" s="1"/>
  <c r="AF364" i="5"/>
  <c r="AF365" i="5"/>
  <c r="AH365" i="5" s="1"/>
  <c r="AF366" i="5"/>
  <c r="AH366" i="5" s="1"/>
  <c r="AF367" i="5"/>
  <c r="AF368" i="5"/>
  <c r="AF369" i="5"/>
  <c r="AH369" i="5" s="1"/>
  <c r="AF370" i="5"/>
  <c r="AF371" i="5"/>
  <c r="AH371" i="5" s="1"/>
  <c r="AE7" i="5"/>
  <c r="AE8" i="5"/>
  <c r="AE9" i="5"/>
  <c r="AE10" i="5"/>
  <c r="AE11" i="5"/>
  <c r="AE12" i="5"/>
  <c r="AE13" i="5"/>
  <c r="AJ13" i="5" s="1"/>
  <c r="AE14" i="5"/>
  <c r="AE15" i="5"/>
  <c r="AE16" i="5"/>
  <c r="AE17" i="5"/>
  <c r="AE18" i="5"/>
  <c r="AE19" i="5"/>
  <c r="AE20" i="5"/>
  <c r="AE21" i="5"/>
  <c r="AE22" i="5"/>
  <c r="AE23" i="5"/>
  <c r="AE24" i="5"/>
  <c r="AJ24" i="5" s="1"/>
  <c r="AE25" i="5"/>
  <c r="AJ25" i="5" s="1"/>
  <c r="AE26" i="5"/>
  <c r="AE27" i="5"/>
  <c r="AE28" i="5"/>
  <c r="AE29" i="5"/>
  <c r="AE30" i="5"/>
  <c r="AE31" i="5"/>
  <c r="AE32" i="5"/>
  <c r="AE33" i="5"/>
  <c r="AE34" i="5"/>
  <c r="AE35" i="5"/>
  <c r="AE36" i="5"/>
  <c r="AE37" i="5"/>
  <c r="AJ37" i="5" s="1"/>
  <c r="AE38" i="5"/>
  <c r="AE39" i="5"/>
  <c r="AE40" i="5"/>
  <c r="AE41" i="5"/>
  <c r="AE42" i="5"/>
  <c r="AE43" i="5"/>
  <c r="AE44" i="5"/>
  <c r="AE45" i="5"/>
  <c r="AJ45" i="5" s="1"/>
  <c r="AE46" i="5"/>
  <c r="AE47" i="5"/>
  <c r="AE48" i="5"/>
  <c r="AE49" i="5"/>
  <c r="AJ49" i="5" s="1"/>
  <c r="AE50" i="5"/>
  <c r="AE51" i="5"/>
  <c r="AE52" i="5"/>
  <c r="AE53" i="5"/>
  <c r="AE54" i="5"/>
  <c r="AE55" i="5"/>
  <c r="AE56" i="5"/>
  <c r="AE57" i="5"/>
  <c r="AE58" i="5"/>
  <c r="AE59" i="5"/>
  <c r="AE60" i="5"/>
  <c r="AE61" i="5"/>
  <c r="AJ61" i="5" s="1"/>
  <c r="AE62" i="5"/>
  <c r="AE63" i="5"/>
  <c r="AE64" i="5"/>
  <c r="AE65" i="5"/>
  <c r="AE66" i="5"/>
  <c r="AE67" i="5"/>
  <c r="AE68" i="5"/>
  <c r="AE69" i="5"/>
  <c r="AE70" i="5"/>
  <c r="AE71" i="5"/>
  <c r="AE72" i="5"/>
  <c r="AE73" i="5"/>
  <c r="AJ73" i="5" s="1"/>
  <c r="AE74" i="5"/>
  <c r="AE75" i="5"/>
  <c r="AE76" i="5"/>
  <c r="AE77" i="5"/>
  <c r="AE78" i="5"/>
  <c r="AE79" i="5"/>
  <c r="AE80" i="5"/>
  <c r="AE81" i="5"/>
  <c r="AJ81" i="5" s="1"/>
  <c r="AE82" i="5"/>
  <c r="AE83" i="5"/>
  <c r="AE84" i="5"/>
  <c r="AJ84" i="5" s="1"/>
  <c r="AE85" i="5"/>
  <c r="AJ85" i="5" s="1"/>
  <c r="AE86" i="5"/>
  <c r="AE87" i="5"/>
  <c r="AE88" i="5"/>
  <c r="AE89" i="5"/>
  <c r="AE90" i="5"/>
  <c r="AE91" i="5"/>
  <c r="AE92" i="5"/>
  <c r="AE93" i="5"/>
  <c r="AE94" i="5"/>
  <c r="AE95" i="5"/>
  <c r="AE96" i="5"/>
  <c r="AE97" i="5"/>
  <c r="AE98" i="5"/>
  <c r="AE99" i="5"/>
  <c r="AE100" i="5"/>
  <c r="AE101" i="5"/>
  <c r="AE102" i="5"/>
  <c r="AE103" i="5"/>
  <c r="AE104" i="5"/>
  <c r="AE105" i="5"/>
  <c r="AE106" i="5"/>
  <c r="AE107" i="5"/>
  <c r="AE108" i="5"/>
  <c r="AE109" i="5"/>
  <c r="AE110" i="5"/>
  <c r="AE111" i="5"/>
  <c r="AE112" i="5"/>
  <c r="AE113" i="5"/>
  <c r="AE114" i="5"/>
  <c r="AE115" i="5"/>
  <c r="AE116" i="5"/>
  <c r="AE117" i="5"/>
  <c r="AE118" i="5"/>
  <c r="AE119" i="5"/>
  <c r="AE120" i="5"/>
  <c r="AE121" i="5"/>
  <c r="AE122" i="5"/>
  <c r="AE123" i="5"/>
  <c r="AE124" i="5"/>
  <c r="AE125" i="5"/>
  <c r="AE126" i="5"/>
  <c r="AE127" i="5"/>
  <c r="AE128" i="5"/>
  <c r="AE129" i="5"/>
  <c r="AJ129" i="5" s="1"/>
  <c r="AE130" i="5"/>
  <c r="AE131" i="5"/>
  <c r="AE132" i="5"/>
  <c r="AE133" i="5"/>
  <c r="AE134" i="5"/>
  <c r="AE135" i="5"/>
  <c r="AE136" i="5"/>
  <c r="AE137" i="5"/>
  <c r="AE138" i="5"/>
  <c r="AE139" i="5"/>
  <c r="AE140" i="5"/>
  <c r="AE141" i="5"/>
  <c r="AE142" i="5"/>
  <c r="AE143" i="5"/>
  <c r="AE144" i="5"/>
  <c r="AE145" i="5"/>
  <c r="AE146" i="5"/>
  <c r="AE147" i="5"/>
  <c r="AE148" i="5"/>
  <c r="AE149" i="5"/>
  <c r="AE150" i="5"/>
  <c r="AE151" i="5"/>
  <c r="AE152" i="5"/>
  <c r="AE153" i="5"/>
  <c r="AE154" i="5"/>
  <c r="AE155" i="5"/>
  <c r="AE156" i="5"/>
  <c r="AE157" i="5"/>
  <c r="AE158" i="5"/>
  <c r="AE159" i="5"/>
  <c r="AE160" i="5"/>
  <c r="AE161" i="5"/>
  <c r="AE162" i="5"/>
  <c r="AE163" i="5"/>
  <c r="AE164" i="5"/>
  <c r="AE165" i="5"/>
  <c r="AE166" i="5"/>
  <c r="AE167" i="5"/>
  <c r="AE168" i="5"/>
  <c r="AE169" i="5"/>
  <c r="AE170" i="5"/>
  <c r="AE171" i="5"/>
  <c r="AE172" i="5"/>
  <c r="AE173" i="5"/>
  <c r="AE174" i="5"/>
  <c r="AE175" i="5"/>
  <c r="AE176" i="5"/>
  <c r="AE177" i="5"/>
  <c r="AE178" i="5"/>
  <c r="AE179" i="5"/>
  <c r="AE180" i="5"/>
  <c r="AE181" i="5"/>
  <c r="AE182" i="5"/>
  <c r="AE183" i="5"/>
  <c r="AE184" i="5"/>
  <c r="AE185" i="5"/>
  <c r="AE186" i="5"/>
  <c r="AE187" i="5"/>
  <c r="AE188" i="5"/>
  <c r="AE189" i="5"/>
  <c r="AE190" i="5"/>
  <c r="AE191" i="5"/>
  <c r="AE192" i="5"/>
  <c r="AE193" i="5"/>
  <c r="AE194" i="5"/>
  <c r="AE195" i="5"/>
  <c r="AE196" i="5"/>
  <c r="AE197" i="5"/>
  <c r="AE198" i="5"/>
  <c r="AE199" i="5"/>
  <c r="AE200" i="5"/>
  <c r="AE201" i="5"/>
  <c r="AE202" i="5"/>
  <c r="AE203" i="5"/>
  <c r="AE204" i="5"/>
  <c r="AE205" i="5"/>
  <c r="AE206" i="5"/>
  <c r="AE207" i="5"/>
  <c r="AE208" i="5"/>
  <c r="AE209" i="5"/>
  <c r="AE210" i="5"/>
  <c r="AE211" i="5"/>
  <c r="AE212" i="5"/>
  <c r="AE213" i="5"/>
  <c r="AE214" i="5"/>
  <c r="AE215" i="5"/>
  <c r="AE216" i="5"/>
  <c r="AE217" i="5"/>
  <c r="AE218" i="5"/>
  <c r="AE219" i="5"/>
  <c r="AE220" i="5"/>
  <c r="AE221" i="5"/>
  <c r="AE222" i="5"/>
  <c r="AE223" i="5"/>
  <c r="AE224" i="5"/>
  <c r="AE225" i="5"/>
  <c r="AE226" i="5"/>
  <c r="AE227" i="5"/>
  <c r="AE228" i="5"/>
  <c r="AE229" i="5"/>
  <c r="AE230" i="5"/>
  <c r="AE231" i="5"/>
  <c r="AE232" i="5"/>
  <c r="AE233" i="5"/>
  <c r="AE234" i="5"/>
  <c r="AE235" i="5"/>
  <c r="AE236" i="5"/>
  <c r="AE237" i="5"/>
  <c r="AE238" i="5"/>
  <c r="AE239" i="5"/>
  <c r="AE240" i="5"/>
  <c r="AE241" i="5"/>
  <c r="AE242" i="5"/>
  <c r="AE243" i="5"/>
  <c r="AE244" i="5"/>
  <c r="AE245" i="5"/>
  <c r="AE246" i="5"/>
  <c r="AE247" i="5"/>
  <c r="AE248" i="5"/>
  <c r="AE249" i="5"/>
  <c r="AE250" i="5"/>
  <c r="AE251" i="5"/>
  <c r="AE252" i="5"/>
  <c r="AE253" i="5"/>
  <c r="AE254" i="5"/>
  <c r="AE255" i="5"/>
  <c r="AE256" i="5"/>
  <c r="AE257" i="5"/>
  <c r="AE258" i="5"/>
  <c r="AE259" i="5"/>
  <c r="AE260" i="5"/>
  <c r="AE261" i="5"/>
  <c r="AE262" i="5"/>
  <c r="AE263" i="5"/>
  <c r="AE264" i="5"/>
  <c r="AE265" i="5"/>
  <c r="AE266" i="5"/>
  <c r="AE267" i="5"/>
  <c r="AE268" i="5"/>
  <c r="AE269" i="5"/>
  <c r="AE270" i="5"/>
  <c r="AE271" i="5"/>
  <c r="AE272" i="5"/>
  <c r="AE273" i="5"/>
  <c r="AE274" i="5"/>
  <c r="AE275" i="5"/>
  <c r="AE276" i="5"/>
  <c r="AE277" i="5"/>
  <c r="AE278" i="5"/>
  <c r="AE279" i="5"/>
  <c r="AE280" i="5"/>
  <c r="AE281" i="5"/>
  <c r="AE282" i="5"/>
  <c r="AJ282" i="5" s="1"/>
  <c r="AE283" i="5"/>
  <c r="AE284" i="5"/>
  <c r="AE285" i="5"/>
  <c r="AE286" i="5"/>
  <c r="AE287" i="5"/>
  <c r="AE288" i="5"/>
  <c r="AE289" i="5"/>
  <c r="AE290" i="5"/>
  <c r="AE291" i="5"/>
  <c r="AE292" i="5"/>
  <c r="AE293" i="5"/>
  <c r="AE294" i="5"/>
  <c r="AJ294" i="5" s="1"/>
  <c r="AE295" i="5"/>
  <c r="AE296" i="5"/>
  <c r="AE297" i="5"/>
  <c r="AE298" i="5"/>
  <c r="AE299" i="5"/>
  <c r="AE300" i="5"/>
  <c r="AE301" i="5"/>
  <c r="AE302" i="5"/>
  <c r="AE303" i="5"/>
  <c r="AE304" i="5"/>
  <c r="AE305" i="5"/>
  <c r="AE306" i="5"/>
  <c r="AJ306" i="5" s="1"/>
  <c r="AE307" i="5"/>
  <c r="AE308" i="5"/>
  <c r="AE309" i="5"/>
  <c r="AE310" i="5"/>
  <c r="AE311" i="5"/>
  <c r="AE312" i="5"/>
  <c r="AE313" i="5"/>
  <c r="AE314" i="5"/>
  <c r="AE315" i="5"/>
  <c r="AE316" i="5"/>
  <c r="AE317" i="5"/>
  <c r="AE318" i="5"/>
  <c r="AJ318" i="5" s="1"/>
  <c r="AE319" i="5"/>
  <c r="AE320" i="5"/>
  <c r="AE321" i="5"/>
  <c r="AE322" i="5"/>
  <c r="AE323" i="5"/>
  <c r="AE324" i="5"/>
  <c r="AE325" i="5"/>
  <c r="AE326" i="5"/>
  <c r="AE327" i="5"/>
  <c r="AE328" i="5"/>
  <c r="AE329" i="5"/>
  <c r="AE330" i="5"/>
  <c r="AJ330" i="5" s="1"/>
  <c r="AE331" i="5"/>
  <c r="AE332" i="5"/>
  <c r="AE333" i="5"/>
  <c r="AE334" i="5"/>
  <c r="AE335" i="5"/>
  <c r="AE336" i="5"/>
  <c r="AJ336" i="5" s="1"/>
  <c r="AE337" i="5"/>
  <c r="AE338" i="5"/>
  <c r="AE339" i="5"/>
  <c r="AE340" i="5"/>
  <c r="AE341" i="5"/>
  <c r="AE342" i="5"/>
  <c r="AJ342" i="5" s="1"/>
  <c r="AE343" i="5"/>
  <c r="AE344" i="5"/>
  <c r="AE345" i="5"/>
  <c r="AE346" i="5"/>
  <c r="AE347" i="5"/>
  <c r="AE348" i="5"/>
  <c r="AE349" i="5"/>
  <c r="AE350" i="5"/>
  <c r="AE351" i="5"/>
  <c r="AE352" i="5"/>
  <c r="AE353" i="5"/>
  <c r="AE354" i="5"/>
  <c r="AJ354" i="5" s="1"/>
  <c r="AE355" i="5"/>
  <c r="AE356" i="5"/>
  <c r="AE357" i="5"/>
  <c r="AE358" i="5"/>
  <c r="AE359" i="5"/>
  <c r="AE360" i="5"/>
  <c r="AE361" i="5"/>
  <c r="AE362" i="5"/>
  <c r="AE363" i="5"/>
  <c r="AE364" i="5"/>
  <c r="AE365" i="5"/>
  <c r="AE366" i="5"/>
  <c r="AJ366" i="5" s="1"/>
  <c r="AE367" i="5"/>
  <c r="AE368" i="5"/>
  <c r="AE369" i="5"/>
  <c r="AE370" i="5"/>
  <c r="AE371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35" i="5"/>
  <c r="AD36" i="5"/>
  <c r="AD37" i="5"/>
  <c r="AD38" i="5"/>
  <c r="AD39" i="5"/>
  <c r="AD40" i="5"/>
  <c r="AD41" i="5"/>
  <c r="AD42" i="5"/>
  <c r="AD43" i="5"/>
  <c r="AD44" i="5"/>
  <c r="AD45" i="5"/>
  <c r="AD46" i="5"/>
  <c r="AD47" i="5"/>
  <c r="AD48" i="5"/>
  <c r="AD49" i="5"/>
  <c r="AD50" i="5"/>
  <c r="AD51" i="5"/>
  <c r="AD52" i="5"/>
  <c r="AD53" i="5"/>
  <c r="AD54" i="5"/>
  <c r="AD55" i="5"/>
  <c r="AD56" i="5"/>
  <c r="AD57" i="5"/>
  <c r="AD58" i="5"/>
  <c r="AD59" i="5"/>
  <c r="AD60" i="5"/>
  <c r="AD61" i="5"/>
  <c r="AD62" i="5"/>
  <c r="AD63" i="5"/>
  <c r="AD64" i="5"/>
  <c r="AD65" i="5"/>
  <c r="AD66" i="5"/>
  <c r="AD67" i="5"/>
  <c r="AD68" i="5"/>
  <c r="AD69" i="5"/>
  <c r="AD70" i="5"/>
  <c r="AD71" i="5"/>
  <c r="AD72" i="5"/>
  <c r="AD73" i="5"/>
  <c r="AD74" i="5"/>
  <c r="AD75" i="5"/>
  <c r="AD76" i="5"/>
  <c r="AD77" i="5"/>
  <c r="AD78" i="5"/>
  <c r="AD79" i="5"/>
  <c r="AD80" i="5"/>
  <c r="AD81" i="5"/>
  <c r="AD82" i="5"/>
  <c r="AD83" i="5"/>
  <c r="AD84" i="5"/>
  <c r="AD85" i="5"/>
  <c r="AD86" i="5"/>
  <c r="AD87" i="5"/>
  <c r="AD88" i="5"/>
  <c r="AD89" i="5"/>
  <c r="AD90" i="5"/>
  <c r="AD91" i="5"/>
  <c r="AD92" i="5"/>
  <c r="AD93" i="5"/>
  <c r="AD94" i="5"/>
  <c r="AD95" i="5"/>
  <c r="AD96" i="5"/>
  <c r="AD97" i="5"/>
  <c r="AD98" i="5"/>
  <c r="AD99" i="5"/>
  <c r="AD100" i="5"/>
  <c r="AD101" i="5"/>
  <c r="AD102" i="5"/>
  <c r="AD103" i="5"/>
  <c r="AD104" i="5"/>
  <c r="AD105" i="5"/>
  <c r="AD106" i="5"/>
  <c r="AD107" i="5"/>
  <c r="AD108" i="5"/>
  <c r="AD109" i="5"/>
  <c r="AD110" i="5"/>
  <c r="AD111" i="5"/>
  <c r="AD112" i="5"/>
  <c r="AD113" i="5"/>
  <c r="AD114" i="5"/>
  <c r="AD115" i="5"/>
  <c r="AD116" i="5"/>
  <c r="AD117" i="5"/>
  <c r="AD118" i="5"/>
  <c r="AD119" i="5"/>
  <c r="AD120" i="5"/>
  <c r="AD121" i="5"/>
  <c r="AD122" i="5"/>
  <c r="AD123" i="5"/>
  <c r="AD124" i="5"/>
  <c r="AD125" i="5"/>
  <c r="AD126" i="5"/>
  <c r="AD127" i="5"/>
  <c r="AD128" i="5"/>
  <c r="AD129" i="5"/>
  <c r="AD130" i="5"/>
  <c r="AD131" i="5"/>
  <c r="AD132" i="5"/>
  <c r="AD133" i="5"/>
  <c r="AD134" i="5"/>
  <c r="AD135" i="5"/>
  <c r="AD136" i="5"/>
  <c r="AD137" i="5"/>
  <c r="AD138" i="5"/>
  <c r="AD139" i="5"/>
  <c r="AD140" i="5"/>
  <c r="AD141" i="5"/>
  <c r="AD142" i="5"/>
  <c r="AD143" i="5"/>
  <c r="AD144" i="5"/>
  <c r="AD145" i="5"/>
  <c r="AD146" i="5"/>
  <c r="AD147" i="5"/>
  <c r="AD148" i="5"/>
  <c r="AD149" i="5"/>
  <c r="AD150" i="5"/>
  <c r="AD151" i="5"/>
  <c r="AD152" i="5"/>
  <c r="AD153" i="5"/>
  <c r="AD154" i="5"/>
  <c r="AD155" i="5"/>
  <c r="AD156" i="5"/>
  <c r="AD157" i="5"/>
  <c r="AD158" i="5"/>
  <c r="AD159" i="5"/>
  <c r="AD160" i="5"/>
  <c r="AD161" i="5"/>
  <c r="AD162" i="5"/>
  <c r="AD163" i="5"/>
  <c r="AD164" i="5"/>
  <c r="AD165" i="5"/>
  <c r="AD166" i="5"/>
  <c r="AD167" i="5"/>
  <c r="AD168" i="5"/>
  <c r="AD169" i="5"/>
  <c r="AD170" i="5"/>
  <c r="AD171" i="5"/>
  <c r="AD172" i="5"/>
  <c r="AD173" i="5"/>
  <c r="AD174" i="5"/>
  <c r="AD175" i="5"/>
  <c r="AD176" i="5"/>
  <c r="AD177" i="5"/>
  <c r="AD178" i="5"/>
  <c r="AD179" i="5"/>
  <c r="AD180" i="5"/>
  <c r="AD181" i="5"/>
  <c r="AD182" i="5"/>
  <c r="AD183" i="5"/>
  <c r="AD184" i="5"/>
  <c r="AD185" i="5"/>
  <c r="AD186" i="5"/>
  <c r="AD187" i="5"/>
  <c r="AD188" i="5"/>
  <c r="AD189" i="5"/>
  <c r="AD190" i="5"/>
  <c r="AD191" i="5"/>
  <c r="AD192" i="5"/>
  <c r="AD193" i="5"/>
  <c r="AD194" i="5"/>
  <c r="AD195" i="5"/>
  <c r="AD196" i="5"/>
  <c r="AD197" i="5"/>
  <c r="AD198" i="5"/>
  <c r="AD199" i="5"/>
  <c r="AD200" i="5"/>
  <c r="AD201" i="5"/>
  <c r="AD202" i="5"/>
  <c r="AD203" i="5"/>
  <c r="AD204" i="5"/>
  <c r="AD205" i="5"/>
  <c r="AD206" i="5"/>
  <c r="AD207" i="5"/>
  <c r="AD208" i="5"/>
  <c r="AD209" i="5"/>
  <c r="AD210" i="5"/>
  <c r="AD211" i="5"/>
  <c r="AD212" i="5"/>
  <c r="AD213" i="5"/>
  <c r="AD214" i="5"/>
  <c r="AD215" i="5"/>
  <c r="AD216" i="5"/>
  <c r="AD217" i="5"/>
  <c r="AD218" i="5"/>
  <c r="AD219" i="5"/>
  <c r="AD220" i="5"/>
  <c r="AD221" i="5"/>
  <c r="AD222" i="5"/>
  <c r="AD223" i="5"/>
  <c r="AD224" i="5"/>
  <c r="AD225" i="5"/>
  <c r="AD226" i="5"/>
  <c r="AD227" i="5"/>
  <c r="AD228" i="5"/>
  <c r="AD229" i="5"/>
  <c r="AD230" i="5"/>
  <c r="AD231" i="5"/>
  <c r="AD232" i="5"/>
  <c r="AD233" i="5"/>
  <c r="AD234" i="5"/>
  <c r="AD235" i="5"/>
  <c r="AD236" i="5"/>
  <c r="AD237" i="5"/>
  <c r="AD238" i="5"/>
  <c r="AD239" i="5"/>
  <c r="AD240" i="5"/>
  <c r="AD241" i="5"/>
  <c r="AD242" i="5"/>
  <c r="AD243" i="5"/>
  <c r="AD244" i="5"/>
  <c r="AD245" i="5"/>
  <c r="AD246" i="5"/>
  <c r="AD247" i="5"/>
  <c r="AD248" i="5"/>
  <c r="AD249" i="5"/>
  <c r="AD250" i="5"/>
  <c r="AD251" i="5"/>
  <c r="AD252" i="5"/>
  <c r="AD253" i="5"/>
  <c r="AD254" i="5"/>
  <c r="AD255" i="5"/>
  <c r="AD256" i="5"/>
  <c r="AD257" i="5"/>
  <c r="AD258" i="5"/>
  <c r="AD259" i="5"/>
  <c r="AD260" i="5"/>
  <c r="AD261" i="5"/>
  <c r="AD262" i="5"/>
  <c r="AD263" i="5"/>
  <c r="AD264" i="5"/>
  <c r="AD265" i="5"/>
  <c r="AD266" i="5"/>
  <c r="AD267" i="5"/>
  <c r="AD268" i="5"/>
  <c r="AD269" i="5"/>
  <c r="AD270" i="5"/>
  <c r="AD271" i="5"/>
  <c r="AD272" i="5"/>
  <c r="AD273" i="5"/>
  <c r="AD274" i="5"/>
  <c r="AD275" i="5"/>
  <c r="AD276" i="5"/>
  <c r="AD277" i="5"/>
  <c r="AD278" i="5"/>
  <c r="AD279" i="5"/>
  <c r="AD280" i="5"/>
  <c r="AD281" i="5"/>
  <c r="AD282" i="5"/>
  <c r="AD283" i="5"/>
  <c r="AD284" i="5"/>
  <c r="AD285" i="5"/>
  <c r="AD286" i="5"/>
  <c r="AD287" i="5"/>
  <c r="AD288" i="5"/>
  <c r="AD289" i="5"/>
  <c r="AD290" i="5"/>
  <c r="AD291" i="5"/>
  <c r="AD292" i="5"/>
  <c r="AD293" i="5"/>
  <c r="AD294" i="5"/>
  <c r="AD295" i="5"/>
  <c r="AD296" i="5"/>
  <c r="AD297" i="5"/>
  <c r="AD298" i="5"/>
  <c r="AD299" i="5"/>
  <c r="AD300" i="5"/>
  <c r="AD301" i="5"/>
  <c r="AD302" i="5"/>
  <c r="AD303" i="5"/>
  <c r="AD304" i="5"/>
  <c r="AD305" i="5"/>
  <c r="AD306" i="5"/>
  <c r="AD307" i="5"/>
  <c r="AD308" i="5"/>
  <c r="AD309" i="5"/>
  <c r="AD310" i="5"/>
  <c r="AD311" i="5"/>
  <c r="AD312" i="5"/>
  <c r="AD313" i="5"/>
  <c r="AD314" i="5"/>
  <c r="AD315" i="5"/>
  <c r="AD316" i="5"/>
  <c r="AD317" i="5"/>
  <c r="AD318" i="5"/>
  <c r="AD319" i="5"/>
  <c r="AD320" i="5"/>
  <c r="AD321" i="5"/>
  <c r="AD322" i="5"/>
  <c r="AD323" i="5"/>
  <c r="AD324" i="5"/>
  <c r="AD325" i="5"/>
  <c r="AD326" i="5"/>
  <c r="AD327" i="5"/>
  <c r="AD328" i="5"/>
  <c r="AD329" i="5"/>
  <c r="AD330" i="5"/>
  <c r="AD331" i="5"/>
  <c r="AD332" i="5"/>
  <c r="AD333" i="5"/>
  <c r="AD334" i="5"/>
  <c r="AD335" i="5"/>
  <c r="AD336" i="5"/>
  <c r="AD337" i="5"/>
  <c r="AD338" i="5"/>
  <c r="AD339" i="5"/>
  <c r="AD340" i="5"/>
  <c r="AD341" i="5"/>
  <c r="AD342" i="5"/>
  <c r="AD343" i="5"/>
  <c r="AD344" i="5"/>
  <c r="AD345" i="5"/>
  <c r="AD346" i="5"/>
  <c r="AD347" i="5"/>
  <c r="AD348" i="5"/>
  <c r="AD349" i="5"/>
  <c r="AD350" i="5"/>
  <c r="AD351" i="5"/>
  <c r="AD352" i="5"/>
  <c r="AD353" i="5"/>
  <c r="AD354" i="5"/>
  <c r="AD355" i="5"/>
  <c r="AD356" i="5"/>
  <c r="AD357" i="5"/>
  <c r="AD358" i="5"/>
  <c r="AD359" i="5"/>
  <c r="AD360" i="5"/>
  <c r="AD361" i="5"/>
  <c r="AD362" i="5"/>
  <c r="AD363" i="5"/>
  <c r="AD364" i="5"/>
  <c r="AD365" i="5"/>
  <c r="AD366" i="5"/>
  <c r="AD367" i="5"/>
  <c r="AD368" i="5"/>
  <c r="AD369" i="5"/>
  <c r="AD370" i="5"/>
  <c r="AD371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AL6" i="5"/>
  <c r="S6" i="5" s="1"/>
  <c r="AG6" i="5"/>
  <c r="AF6" i="5"/>
  <c r="AE6" i="5"/>
  <c r="AD6" i="5"/>
  <c r="AB6" i="5"/>
  <c r="AC6" i="5" s="1"/>
  <c r="O6" i="5" s="1"/>
  <c r="Q6" i="5"/>
  <c r="P6" i="5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X15" i="1"/>
  <c r="Y15" i="1" s="1"/>
  <c r="X17" i="1"/>
  <c r="AB17" i="1" s="1"/>
  <c r="X14" i="1"/>
  <c r="Y14" i="1" s="1"/>
  <c r="X13" i="1"/>
  <c r="Y13" i="1" s="1"/>
  <c r="X12" i="1"/>
  <c r="Y12" i="1" s="1"/>
  <c r="X11" i="1"/>
  <c r="Y11" i="1" s="1"/>
  <c r="X10" i="1"/>
  <c r="Y10" i="1" s="1"/>
  <c r="X9" i="1"/>
  <c r="Y9" i="1" s="1"/>
  <c r="X8" i="1"/>
  <c r="Y8" i="1" s="1"/>
  <c r="X7" i="1"/>
  <c r="Y7" i="1" s="1"/>
  <c r="X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6" i="1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AC7" i="5"/>
  <c r="AC8" i="5"/>
  <c r="AC9" i="5"/>
  <c r="AC10" i="5"/>
  <c r="AC11" i="5"/>
  <c r="AC12" i="5"/>
  <c r="AC13" i="5"/>
  <c r="AC14" i="5"/>
  <c r="AC15" i="5"/>
  <c r="AC16" i="5"/>
  <c r="AC17" i="5"/>
  <c r="AC18" i="5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6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G6" i="1"/>
  <c r="AF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E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6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J283" i="5" l="1"/>
  <c r="AJ271" i="5"/>
  <c r="AJ259" i="5"/>
  <c r="AJ247" i="5"/>
  <c r="AJ151" i="5"/>
  <c r="AJ139" i="5"/>
  <c r="AJ127" i="5"/>
  <c r="AJ115" i="5"/>
  <c r="AJ103" i="5"/>
  <c r="AJ363" i="5"/>
  <c r="AJ351" i="5"/>
  <c r="AJ339" i="5"/>
  <c r="AJ327" i="5"/>
  <c r="AJ315" i="5"/>
  <c r="AK315" i="5" s="1"/>
  <c r="AJ303" i="5"/>
  <c r="AK303" i="5" s="1"/>
  <c r="AJ291" i="5"/>
  <c r="AK291" i="5" s="1"/>
  <c r="AJ279" i="5"/>
  <c r="AJ267" i="5"/>
  <c r="AJ255" i="5"/>
  <c r="AJ243" i="5"/>
  <c r="AJ231" i="5"/>
  <c r="AJ219" i="5"/>
  <c r="AJ207" i="5"/>
  <c r="AJ195" i="5"/>
  <c r="AJ183" i="5"/>
  <c r="AJ171" i="5"/>
  <c r="AJ159" i="5"/>
  <c r="AK159" i="5" s="1"/>
  <c r="AJ147" i="5"/>
  <c r="AK147" i="5" s="1"/>
  <c r="AJ135" i="5"/>
  <c r="AJ123" i="5"/>
  <c r="AJ111" i="5"/>
  <c r="AJ99" i="5"/>
  <c r="AJ87" i="5"/>
  <c r="AJ75" i="5"/>
  <c r="AJ63" i="5"/>
  <c r="AJ51" i="5"/>
  <c r="AJ39" i="5"/>
  <c r="AJ27" i="5"/>
  <c r="AJ15" i="5"/>
  <c r="AK15" i="5" s="1"/>
  <c r="AH368" i="5"/>
  <c r="AI368" i="5" s="1"/>
  <c r="AH356" i="5"/>
  <c r="AH344" i="5"/>
  <c r="AH332" i="5"/>
  <c r="AH320" i="5"/>
  <c r="AH308" i="5"/>
  <c r="AH296" i="5"/>
  <c r="AH284" i="5"/>
  <c r="AH272" i="5"/>
  <c r="AH260" i="5"/>
  <c r="AI260" i="5" s="1"/>
  <c r="AH248" i="5"/>
  <c r="AJ248" i="5" s="1"/>
  <c r="AK248" i="5" s="1"/>
  <c r="AH236" i="5"/>
  <c r="AJ236" i="5" s="1"/>
  <c r="AH224" i="5"/>
  <c r="AJ224" i="5" s="1"/>
  <c r="AK224" i="5" s="1"/>
  <c r="AH212" i="5"/>
  <c r="AH200" i="5"/>
  <c r="AH188" i="5"/>
  <c r="AH176" i="5"/>
  <c r="AH164" i="5"/>
  <c r="AH152" i="5"/>
  <c r="AH140" i="5"/>
  <c r="AH128" i="5"/>
  <c r="AH116" i="5"/>
  <c r="AJ116" i="5" s="1"/>
  <c r="AK116" i="5" s="1"/>
  <c r="AH104" i="5"/>
  <c r="AJ104" i="5" s="1"/>
  <c r="AK104" i="5" s="1"/>
  <c r="AH92" i="5"/>
  <c r="AJ92" i="5" s="1"/>
  <c r="AK92" i="5" s="1"/>
  <c r="AH80" i="5"/>
  <c r="AJ80" i="5" s="1"/>
  <c r="AK80" i="5" s="1"/>
  <c r="AH68" i="5"/>
  <c r="AH56" i="5"/>
  <c r="AH44" i="5"/>
  <c r="AH32" i="5"/>
  <c r="AH20" i="5"/>
  <c r="AH8" i="5"/>
  <c r="AJ362" i="5"/>
  <c r="AJ350" i="5"/>
  <c r="AJ338" i="5"/>
  <c r="AK338" i="5" s="1"/>
  <c r="AJ326" i="5"/>
  <c r="AK326" i="5" s="1"/>
  <c r="AJ314" i="5"/>
  <c r="AJ302" i="5"/>
  <c r="AJ290" i="5"/>
  <c r="AJ278" i="5"/>
  <c r="AJ266" i="5"/>
  <c r="AJ254" i="5"/>
  <c r="AJ242" i="5"/>
  <c r="AJ230" i="5"/>
  <c r="AJ218" i="5"/>
  <c r="AJ206" i="5"/>
  <c r="AJ194" i="5"/>
  <c r="AK194" i="5" s="1"/>
  <c r="AJ182" i="5"/>
  <c r="AK182" i="5" s="1"/>
  <c r="AJ170" i="5"/>
  <c r="AJ158" i="5"/>
  <c r="AJ146" i="5"/>
  <c r="AJ134" i="5"/>
  <c r="AJ122" i="5"/>
  <c r="AJ110" i="5"/>
  <c r="AJ98" i="5"/>
  <c r="AJ86" i="5"/>
  <c r="AJ74" i="5"/>
  <c r="AJ62" i="5"/>
  <c r="AJ50" i="5"/>
  <c r="AK50" i="5" s="1"/>
  <c r="AJ38" i="5"/>
  <c r="AK38" i="5" s="1"/>
  <c r="AJ26" i="5"/>
  <c r="AK26" i="5" s="1"/>
  <c r="AJ14" i="5"/>
  <c r="AK14" i="5" s="1"/>
  <c r="AH367" i="5"/>
  <c r="AJ367" i="5" s="1"/>
  <c r="AK367" i="5" s="1"/>
  <c r="AH355" i="5"/>
  <c r="AJ355" i="5" s="1"/>
  <c r="AK355" i="5" s="1"/>
  <c r="AH343" i="5"/>
  <c r="AJ343" i="5" s="1"/>
  <c r="AK343" i="5" s="1"/>
  <c r="AH331" i="5"/>
  <c r="AJ331" i="5" s="1"/>
  <c r="AK331" i="5" s="1"/>
  <c r="AH319" i="5"/>
  <c r="AJ319" i="5" s="1"/>
  <c r="AK319" i="5" s="1"/>
  <c r="AH307" i="5"/>
  <c r="AJ307" i="5" s="1"/>
  <c r="AK307" i="5" s="1"/>
  <c r="AH295" i="5"/>
  <c r="AJ295" i="5" s="1"/>
  <c r="AK295" i="5" s="1"/>
  <c r="AH283" i="5"/>
  <c r="AH271" i="5"/>
  <c r="AH259" i="5"/>
  <c r="AI259" i="5" s="1"/>
  <c r="AH247" i="5"/>
  <c r="AK247" i="5" s="1"/>
  <c r="AH235" i="5"/>
  <c r="AH223" i="5"/>
  <c r="AJ223" i="5" s="1"/>
  <c r="AK223" i="5" s="1"/>
  <c r="AH211" i="5"/>
  <c r="AJ211" i="5" s="1"/>
  <c r="AK211" i="5" s="1"/>
  <c r="AH199" i="5"/>
  <c r="AJ199" i="5" s="1"/>
  <c r="AK199" i="5" s="1"/>
  <c r="AH187" i="5"/>
  <c r="AJ187" i="5" s="1"/>
  <c r="AK187" i="5" s="1"/>
  <c r="AH175" i="5"/>
  <c r="AJ175" i="5" s="1"/>
  <c r="AK175" i="5" s="1"/>
  <c r="AH163" i="5"/>
  <c r="AJ163" i="5" s="1"/>
  <c r="AK163" i="5" s="1"/>
  <c r="AH151" i="5"/>
  <c r="AH139" i="5"/>
  <c r="AH127" i="5"/>
  <c r="AH115" i="5"/>
  <c r="AI115" i="5" s="1"/>
  <c r="AH103" i="5"/>
  <c r="AK103" i="5" s="1"/>
  <c r="AH91" i="5"/>
  <c r="AH79" i="5"/>
  <c r="AJ79" i="5" s="1"/>
  <c r="AK79" i="5" s="1"/>
  <c r="AH67" i="5"/>
  <c r="AJ67" i="5" s="1"/>
  <c r="AK67" i="5" s="1"/>
  <c r="AH55" i="5"/>
  <c r="AJ55" i="5" s="1"/>
  <c r="AK55" i="5" s="1"/>
  <c r="AH43" i="5"/>
  <c r="AJ43" i="5" s="1"/>
  <c r="AK43" i="5" s="1"/>
  <c r="AI274" i="5"/>
  <c r="AB15" i="5"/>
  <c r="AJ316" i="5"/>
  <c r="AK316" i="5" s="1"/>
  <c r="T316" i="5" s="1"/>
  <c r="AJ304" i="5"/>
  <c r="AK304" i="5" s="1"/>
  <c r="AJ292" i="5"/>
  <c r="AK292" i="5" s="1"/>
  <c r="AJ280" i="5"/>
  <c r="AJ160" i="5"/>
  <c r="AJ148" i="5"/>
  <c r="AK148" i="5" s="1"/>
  <c r="AJ136" i="5"/>
  <c r="AK136" i="5" s="1"/>
  <c r="AJ124" i="5"/>
  <c r="AK124" i="5" s="1"/>
  <c r="AJ112" i="5"/>
  <c r="AK112" i="5" s="1"/>
  <c r="AJ16" i="5"/>
  <c r="AB17" i="5"/>
  <c r="AI317" i="5"/>
  <c r="AH106" i="5"/>
  <c r="AJ106" i="5" s="1"/>
  <c r="AK106" i="5" s="1"/>
  <c r="AH364" i="5"/>
  <c r="AJ364" i="5" s="1"/>
  <c r="AH352" i="5"/>
  <c r="AH340" i="5"/>
  <c r="AH328" i="5"/>
  <c r="AH316" i="5"/>
  <c r="AI316" i="5" s="1"/>
  <c r="AH304" i="5"/>
  <c r="AH292" i="5"/>
  <c r="AH280" i="5"/>
  <c r="AH268" i="5"/>
  <c r="AJ268" i="5" s="1"/>
  <c r="AK268" i="5" s="1"/>
  <c r="AH256" i="5"/>
  <c r="AJ256" i="5" s="1"/>
  <c r="AK256" i="5" s="1"/>
  <c r="AH244" i="5"/>
  <c r="AJ244" i="5" s="1"/>
  <c r="AK244" i="5" s="1"/>
  <c r="AH232" i="5"/>
  <c r="AJ232" i="5" s="1"/>
  <c r="AH220" i="5"/>
  <c r="AJ220" i="5" s="1"/>
  <c r="AH208" i="5"/>
  <c r="AJ208" i="5" s="1"/>
  <c r="AH196" i="5"/>
  <c r="AJ196" i="5" s="1"/>
  <c r="AH184" i="5"/>
  <c r="AH172" i="5"/>
  <c r="AJ172" i="5" s="1"/>
  <c r="AK172" i="5" s="1"/>
  <c r="AH160" i="5"/>
  <c r="AH148" i="5"/>
  <c r="AH136" i="5"/>
  <c r="AH124" i="5"/>
  <c r="AH112" i="5"/>
  <c r="AH100" i="5"/>
  <c r="AJ100" i="5" s="1"/>
  <c r="AK100" i="5" s="1"/>
  <c r="AH88" i="5"/>
  <c r="AJ88" i="5" s="1"/>
  <c r="AH76" i="5"/>
  <c r="AJ76" i="5" s="1"/>
  <c r="AH64" i="5"/>
  <c r="AJ64" i="5" s="1"/>
  <c r="AK64" i="5" s="1"/>
  <c r="AH52" i="5"/>
  <c r="AJ52" i="5" s="1"/>
  <c r="AH40" i="5"/>
  <c r="AJ40" i="5" s="1"/>
  <c r="AH28" i="5"/>
  <c r="AJ28" i="5" s="1"/>
  <c r="AK28" i="5" s="1"/>
  <c r="AH16" i="5"/>
  <c r="AI145" i="5"/>
  <c r="AJ263" i="5"/>
  <c r="AJ251" i="5"/>
  <c r="AJ203" i="5"/>
  <c r="AJ191" i="5"/>
  <c r="AJ179" i="5"/>
  <c r="AJ131" i="5"/>
  <c r="AK131" i="5" s="1"/>
  <c r="AJ119" i="5"/>
  <c r="AK119" i="5" s="1"/>
  <c r="AJ107" i="5"/>
  <c r="AK107" i="5" s="1"/>
  <c r="AJ95" i="5"/>
  <c r="AK95" i="5" s="1"/>
  <c r="AJ71" i="5"/>
  <c r="AJ59" i="5"/>
  <c r="AJ47" i="5"/>
  <c r="AJ35" i="5"/>
  <c r="AJ23" i="5"/>
  <c r="AJ11" i="5"/>
  <c r="AJ334" i="5"/>
  <c r="AK334" i="5" s="1"/>
  <c r="AJ322" i="5"/>
  <c r="AK322" i="5" s="1"/>
  <c r="AJ274" i="5"/>
  <c r="AJ262" i="5"/>
  <c r="AK262" i="5" s="1"/>
  <c r="AJ250" i="5"/>
  <c r="AK250" i="5" s="1"/>
  <c r="AJ190" i="5"/>
  <c r="AJ178" i="5"/>
  <c r="AK178" i="5" s="1"/>
  <c r="AJ166" i="5"/>
  <c r="AJ118" i="5"/>
  <c r="AJ94" i="5"/>
  <c r="AJ82" i="5"/>
  <c r="AK82" i="5" s="1"/>
  <c r="AJ70" i="5"/>
  <c r="AK70" i="5" s="1"/>
  <c r="AJ46" i="5"/>
  <c r="AI87" i="5"/>
  <c r="Y12" i="5"/>
  <c r="P12" i="5" s="1"/>
  <c r="AI193" i="5"/>
  <c r="AJ198" i="5"/>
  <c r="AK198" i="5" s="1"/>
  <c r="AB14" i="5"/>
  <c r="AJ365" i="5"/>
  <c r="AJ353" i="5"/>
  <c r="AK353" i="5" s="1"/>
  <c r="AJ341" i="5"/>
  <c r="AK341" i="5" s="1"/>
  <c r="AJ329" i="5"/>
  <c r="AJ317" i="5"/>
  <c r="AK317" i="5" s="1"/>
  <c r="T317" i="5" s="1"/>
  <c r="AJ305" i="5"/>
  <c r="AK305" i="5" s="1"/>
  <c r="AJ293" i="5"/>
  <c r="AK293" i="5" s="1"/>
  <c r="T293" i="5" s="1"/>
  <c r="AJ281" i="5"/>
  <c r="AK281" i="5" s="1"/>
  <c r="AJ269" i="5"/>
  <c r="AJ257" i="5"/>
  <c r="AK257" i="5" s="1"/>
  <c r="AJ245" i="5"/>
  <c r="AJ233" i="5"/>
  <c r="AJ221" i="5"/>
  <c r="AJ209" i="5"/>
  <c r="AK209" i="5" s="1"/>
  <c r="AJ197" i="5"/>
  <c r="AK197" i="5" s="1"/>
  <c r="AJ185" i="5"/>
  <c r="AJ173" i="5"/>
  <c r="AK173" i="5" s="1"/>
  <c r="T173" i="5" s="1"/>
  <c r="AJ161" i="5"/>
  <c r="AK161" i="5" s="1"/>
  <c r="T161" i="5" s="1"/>
  <c r="AJ149" i="5"/>
  <c r="AK149" i="5" s="1"/>
  <c r="AJ137" i="5"/>
  <c r="AK137" i="5" s="1"/>
  <c r="T137" i="5" s="1"/>
  <c r="AJ125" i="5"/>
  <c r="AJ113" i="5"/>
  <c r="AJ101" i="5"/>
  <c r="AJ89" i="5"/>
  <c r="AJ77" i="5"/>
  <c r="AJ65" i="5"/>
  <c r="AK65" i="5" s="1"/>
  <c r="AJ53" i="5"/>
  <c r="AK53" i="5" s="1"/>
  <c r="AJ41" i="5"/>
  <c r="AJ29" i="5"/>
  <c r="AJ17" i="5"/>
  <c r="AH370" i="5"/>
  <c r="AI370" i="5" s="1"/>
  <c r="AH358" i="5"/>
  <c r="AI358" i="5" s="1"/>
  <c r="AH310" i="5"/>
  <c r="AI310" i="5" s="1"/>
  <c r="AH298" i="5"/>
  <c r="AJ298" i="5" s="1"/>
  <c r="AK298" i="5" s="1"/>
  <c r="AH286" i="5"/>
  <c r="AH238" i="5"/>
  <c r="AH226" i="5"/>
  <c r="AH214" i="5"/>
  <c r="AH154" i="5"/>
  <c r="AI154" i="5" s="1"/>
  <c r="AH142" i="5"/>
  <c r="AI332" i="5"/>
  <c r="AI212" i="5"/>
  <c r="AI32" i="5"/>
  <c r="AH31" i="5"/>
  <c r="AJ31" i="5" s="1"/>
  <c r="AK31" i="5" s="1"/>
  <c r="AH19" i="5"/>
  <c r="AJ19" i="5" s="1"/>
  <c r="AH7" i="5"/>
  <c r="AJ7" i="5" s="1"/>
  <c r="AK7" i="5" s="1"/>
  <c r="AJ361" i="5"/>
  <c r="AJ349" i="5"/>
  <c r="AJ337" i="5"/>
  <c r="AK337" i="5" s="1"/>
  <c r="AJ325" i="5"/>
  <c r="AK325" i="5" s="1"/>
  <c r="AJ313" i="5"/>
  <c r="AJ301" i="5"/>
  <c r="AK301" i="5" s="1"/>
  <c r="AJ289" i="5"/>
  <c r="AK289" i="5" s="1"/>
  <c r="AJ277" i="5"/>
  <c r="AJ265" i="5"/>
  <c r="AK265" i="5" s="1"/>
  <c r="AJ253" i="5"/>
  <c r="AJ241" i="5"/>
  <c r="AK241" i="5" s="1"/>
  <c r="AJ229" i="5"/>
  <c r="AJ217" i="5"/>
  <c r="AJ205" i="5"/>
  <c r="AJ193" i="5"/>
  <c r="AJ181" i="5"/>
  <c r="AK181" i="5" s="1"/>
  <c r="AJ169" i="5"/>
  <c r="AJ157" i="5"/>
  <c r="AK157" i="5" s="1"/>
  <c r="AJ145" i="5"/>
  <c r="AK145" i="5" s="1"/>
  <c r="T145" i="5" s="1"/>
  <c r="AJ133" i="5"/>
  <c r="AK133" i="5" s="1"/>
  <c r="AJ121" i="5"/>
  <c r="AK121" i="5" s="1"/>
  <c r="AJ109" i="5"/>
  <c r="AJ97" i="5"/>
  <c r="AK97" i="5" s="1"/>
  <c r="AH270" i="5"/>
  <c r="AJ270" i="5" s="1"/>
  <c r="AK270" i="5" s="1"/>
  <c r="AH258" i="5"/>
  <c r="AJ258" i="5" s="1"/>
  <c r="AK258" i="5" s="1"/>
  <c r="AH246" i="5"/>
  <c r="AH234" i="5"/>
  <c r="AH222" i="5"/>
  <c r="AI222" i="5" s="1"/>
  <c r="AH210" i="5"/>
  <c r="AJ210" i="5" s="1"/>
  <c r="AK210" i="5" s="1"/>
  <c r="AH198" i="5"/>
  <c r="AH186" i="5"/>
  <c r="AJ186" i="5" s="1"/>
  <c r="AK186" i="5" s="1"/>
  <c r="AH174" i="5"/>
  <c r="AJ174" i="5" s="1"/>
  <c r="AK174" i="5" s="1"/>
  <c r="AH162" i="5"/>
  <c r="AJ162" i="5" s="1"/>
  <c r="AH150" i="5"/>
  <c r="AJ150" i="5" s="1"/>
  <c r="AH138" i="5"/>
  <c r="AJ138" i="5" s="1"/>
  <c r="AH126" i="5"/>
  <c r="AJ126" i="5" s="1"/>
  <c r="AK126" i="5" s="1"/>
  <c r="AH114" i="5"/>
  <c r="AJ114" i="5" s="1"/>
  <c r="AK114" i="5" s="1"/>
  <c r="AH102" i="5"/>
  <c r="AJ102" i="5" s="1"/>
  <c r="AK102" i="5" s="1"/>
  <c r="AH90" i="5"/>
  <c r="AJ90" i="5" s="1"/>
  <c r="AK90" i="5" s="1"/>
  <c r="AH78" i="5"/>
  <c r="AH66" i="5"/>
  <c r="AJ66" i="5" s="1"/>
  <c r="AK66" i="5" s="1"/>
  <c r="AH54" i="5"/>
  <c r="AJ54" i="5" s="1"/>
  <c r="AK54" i="5" s="1"/>
  <c r="AH42" i="5"/>
  <c r="AJ42" i="5" s="1"/>
  <c r="AH30" i="5"/>
  <c r="AJ30" i="5" s="1"/>
  <c r="AK30" i="5" s="1"/>
  <c r="AH18" i="5"/>
  <c r="AJ18" i="5" s="1"/>
  <c r="AK18" i="5" s="1"/>
  <c r="AI371" i="5"/>
  <c r="AI359" i="5"/>
  <c r="AI347" i="5"/>
  <c r="AI335" i="5"/>
  <c r="AI323" i="5"/>
  <c r="AI311" i="5"/>
  <c r="AI299" i="5"/>
  <c r="AI287" i="5"/>
  <c r="AI275" i="5"/>
  <c r="AI239" i="5"/>
  <c r="AI227" i="5"/>
  <c r="AI215" i="5"/>
  <c r="AI167" i="5"/>
  <c r="AI155" i="5"/>
  <c r="AI143" i="5"/>
  <c r="AI83" i="5"/>
  <c r="AI286" i="5"/>
  <c r="AI238" i="5"/>
  <c r="AI226" i="5"/>
  <c r="AI356" i="5"/>
  <c r="AI284" i="5"/>
  <c r="AI140" i="5"/>
  <c r="AI80" i="5"/>
  <c r="AI20" i="5"/>
  <c r="AI130" i="5"/>
  <c r="AI357" i="5"/>
  <c r="AI345" i="5"/>
  <c r="AI321" i="5"/>
  <c r="AI309" i="5"/>
  <c r="AI297" i="5"/>
  <c r="AI285" i="5"/>
  <c r="AI261" i="5"/>
  <c r="AI249" i="5"/>
  <c r="AI237" i="5"/>
  <c r="AI225" i="5"/>
  <c r="AI213" i="5"/>
  <c r="AI201" i="5"/>
  <c r="AI189" i="5"/>
  <c r="AI177" i="5"/>
  <c r="AI165" i="5"/>
  <c r="AI153" i="5"/>
  <c r="AI141" i="5"/>
  <c r="AK129" i="5"/>
  <c r="AI129" i="5"/>
  <c r="T129" i="5" s="1"/>
  <c r="AI117" i="5"/>
  <c r="AI105" i="5"/>
  <c r="AI93" i="5"/>
  <c r="AK81" i="5"/>
  <c r="AI81" i="5"/>
  <c r="AI69" i="5"/>
  <c r="AI57" i="5"/>
  <c r="AK45" i="5"/>
  <c r="AI45" i="5"/>
  <c r="AI33" i="5"/>
  <c r="AI21" i="5"/>
  <c r="AI9" i="5"/>
  <c r="AK203" i="5"/>
  <c r="AI203" i="5"/>
  <c r="AI131" i="5"/>
  <c r="AK59" i="5"/>
  <c r="AI59" i="5"/>
  <c r="AI152" i="5"/>
  <c r="AI44" i="5"/>
  <c r="AI346" i="5"/>
  <c r="AI367" i="5"/>
  <c r="AI355" i="5"/>
  <c r="AI343" i="5"/>
  <c r="AI331" i="5"/>
  <c r="AI319" i="5"/>
  <c r="AI307" i="5"/>
  <c r="AK283" i="5"/>
  <c r="AI283" i="5"/>
  <c r="T283" i="5" s="1"/>
  <c r="AK271" i="5"/>
  <c r="AI271" i="5"/>
  <c r="AI223" i="5"/>
  <c r="AI211" i="5"/>
  <c r="AI199" i="5"/>
  <c r="AI187" i="5"/>
  <c r="AI175" i="5"/>
  <c r="AI163" i="5"/>
  <c r="AK151" i="5"/>
  <c r="AI151" i="5"/>
  <c r="AK139" i="5"/>
  <c r="AI139" i="5"/>
  <c r="T139" i="5" s="1"/>
  <c r="AK127" i="5"/>
  <c r="AI127" i="5"/>
  <c r="AI79" i="5"/>
  <c r="AI67" i="5"/>
  <c r="AI55" i="5"/>
  <c r="AI43" i="5"/>
  <c r="AI7" i="5"/>
  <c r="AI263" i="5"/>
  <c r="AK263" i="5"/>
  <c r="AK191" i="5"/>
  <c r="AI191" i="5"/>
  <c r="AI119" i="5"/>
  <c r="AK47" i="5"/>
  <c r="AI47" i="5"/>
  <c r="AI320" i="5"/>
  <c r="AI164" i="5"/>
  <c r="AK366" i="5"/>
  <c r="AI366" i="5"/>
  <c r="AK354" i="5"/>
  <c r="AI354" i="5"/>
  <c r="AK342" i="5"/>
  <c r="AI342" i="5"/>
  <c r="T342" i="5" s="1"/>
  <c r="AK330" i="5"/>
  <c r="AI330" i="5"/>
  <c r="AK318" i="5"/>
  <c r="AI318" i="5"/>
  <c r="AK306" i="5"/>
  <c r="AI306" i="5"/>
  <c r="AK294" i="5"/>
  <c r="AK282" i="5"/>
  <c r="AI282" i="5"/>
  <c r="T282" i="5" s="1"/>
  <c r="AI270" i="5"/>
  <c r="AI258" i="5"/>
  <c r="AI246" i="5"/>
  <c r="AI210" i="5"/>
  <c r="AI198" i="5"/>
  <c r="AI186" i="5"/>
  <c r="AI174" i="5"/>
  <c r="AI150" i="5"/>
  <c r="AI126" i="5"/>
  <c r="AI114" i="5"/>
  <c r="AI102" i="5"/>
  <c r="AI66" i="5"/>
  <c r="AI334" i="5"/>
  <c r="AI262" i="5"/>
  <c r="AK190" i="5"/>
  <c r="AI190" i="5"/>
  <c r="AK118" i="5"/>
  <c r="AI118" i="5"/>
  <c r="T118" i="5" s="1"/>
  <c r="AK46" i="5"/>
  <c r="AI46" i="5"/>
  <c r="AI295" i="5"/>
  <c r="AI58" i="5"/>
  <c r="AJ360" i="5"/>
  <c r="AK360" i="5" s="1"/>
  <c r="AJ348" i="5"/>
  <c r="AK348" i="5" s="1"/>
  <c r="AJ324" i="5"/>
  <c r="AK324" i="5" s="1"/>
  <c r="AJ312" i="5"/>
  <c r="AJ300" i="5"/>
  <c r="AJ288" i="5"/>
  <c r="AJ276" i="5"/>
  <c r="AK276" i="5" s="1"/>
  <c r="AJ264" i="5"/>
  <c r="AJ252" i="5"/>
  <c r="AJ240" i="5"/>
  <c r="AJ228" i="5"/>
  <c r="AJ216" i="5"/>
  <c r="AK216" i="5" s="1"/>
  <c r="AJ204" i="5"/>
  <c r="AK204" i="5" s="1"/>
  <c r="AJ192" i="5"/>
  <c r="AK192" i="5" s="1"/>
  <c r="AJ120" i="5"/>
  <c r="AK120" i="5" s="1"/>
  <c r="AK365" i="5"/>
  <c r="AI365" i="5"/>
  <c r="AI341" i="5"/>
  <c r="AK329" i="5"/>
  <c r="AI329" i="5"/>
  <c r="AI305" i="5"/>
  <c r="AI293" i="5"/>
  <c r="AI281" i="5"/>
  <c r="AK269" i="5"/>
  <c r="AI269" i="5"/>
  <c r="AI257" i="5"/>
  <c r="AK245" i="5"/>
  <c r="AI245" i="5"/>
  <c r="AK233" i="5"/>
  <c r="AK221" i="5"/>
  <c r="AI221" i="5"/>
  <c r="T221" i="5" s="1"/>
  <c r="AI209" i="5"/>
  <c r="AI197" i="5"/>
  <c r="AK185" i="5"/>
  <c r="AI185" i="5"/>
  <c r="AI173" i="5"/>
  <c r="AI161" i="5"/>
  <c r="AI149" i="5"/>
  <c r="AI137" i="5"/>
  <c r="AK125" i="5"/>
  <c r="AI125" i="5"/>
  <c r="T125" i="5" s="1"/>
  <c r="AK113" i="5"/>
  <c r="AI113" i="5"/>
  <c r="AK101" i="5"/>
  <c r="AI101" i="5"/>
  <c r="AK89" i="5"/>
  <c r="AI89" i="5"/>
  <c r="AK77" i="5"/>
  <c r="AI77" i="5"/>
  <c r="T77" i="5" s="1"/>
  <c r="AI65" i="5"/>
  <c r="AI53" i="5"/>
  <c r="AK41" i="5"/>
  <c r="AI41" i="5"/>
  <c r="AK29" i="5"/>
  <c r="T29" i="5" s="1"/>
  <c r="AK17" i="5"/>
  <c r="T17" i="5" s="1"/>
  <c r="AI17" i="5"/>
  <c r="AK251" i="5"/>
  <c r="AI251" i="5"/>
  <c r="T251" i="5" s="1"/>
  <c r="AK179" i="5"/>
  <c r="AI179" i="5"/>
  <c r="AI107" i="5"/>
  <c r="AK35" i="5"/>
  <c r="AI35" i="5"/>
  <c r="AI294" i="5"/>
  <c r="AJ371" i="5"/>
  <c r="AK371" i="5" s="1"/>
  <c r="AJ359" i="5"/>
  <c r="AK359" i="5" s="1"/>
  <c r="AJ347" i="5"/>
  <c r="AK347" i="5" s="1"/>
  <c r="AJ335" i="5"/>
  <c r="AK335" i="5" s="1"/>
  <c r="AJ323" i="5"/>
  <c r="AK323" i="5" s="1"/>
  <c r="AJ311" i="5"/>
  <c r="AK311" i="5" s="1"/>
  <c r="AJ299" i="5"/>
  <c r="AK299" i="5" s="1"/>
  <c r="AJ287" i="5"/>
  <c r="AK287" i="5" s="1"/>
  <c r="AJ275" i="5"/>
  <c r="AK275" i="5" s="1"/>
  <c r="AJ239" i="5"/>
  <c r="AK239" i="5" s="1"/>
  <c r="AJ227" i="5"/>
  <c r="AK227" i="5" s="1"/>
  <c r="AJ215" i="5"/>
  <c r="AK215" i="5" s="1"/>
  <c r="AJ167" i="5"/>
  <c r="AK167" i="5" s="1"/>
  <c r="AJ155" i="5"/>
  <c r="AK155" i="5" s="1"/>
  <c r="AJ143" i="5"/>
  <c r="AK143" i="5" s="1"/>
  <c r="AJ83" i="5"/>
  <c r="AK83" i="5" s="1"/>
  <c r="AI304" i="5"/>
  <c r="AI292" i="5"/>
  <c r="AK280" i="5"/>
  <c r="AI280" i="5"/>
  <c r="T280" i="5" s="1"/>
  <c r="AI268" i="5"/>
  <c r="AI244" i="5"/>
  <c r="AI172" i="5"/>
  <c r="AK160" i="5"/>
  <c r="AI160" i="5"/>
  <c r="AI148" i="5"/>
  <c r="AI136" i="5"/>
  <c r="AI124" i="5"/>
  <c r="AI112" i="5"/>
  <c r="AI100" i="5"/>
  <c r="AI28" i="5"/>
  <c r="AK16" i="5"/>
  <c r="AI16" i="5"/>
  <c r="AI322" i="5"/>
  <c r="AI250" i="5"/>
  <c r="AI178" i="5"/>
  <c r="AI106" i="5"/>
  <c r="AI34" i="5"/>
  <c r="AI200" i="5"/>
  <c r="AJ346" i="5"/>
  <c r="AK346" i="5" s="1"/>
  <c r="AJ310" i="5"/>
  <c r="AK310" i="5" s="1"/>
  <c r="AJ286" i="5"/>
  <c r="AK286" i="5" s="1"/>
  <c r="AJ238" i="5"/>
  <c r="AK238" i="5" s="1"/>
  <c r="AJ226" i="5"/>
  <c r="AK226" i="5" s="1"/>
  <c r="AJ202" i="5"/>
  <c r="AK202" i="5" s="1"/>
  <c r="AJ154" i="5"/>
  <c r="AK154" i="5" s="1"/>
  <c r="AJ130" i="5"/>
  <c r="AK130" i="5" s="1"/>
  <c r="AJ58" i="5"/>
  <c r="AK58" i="5" s="1"/>
  <c r="AI363" i="5"/>
  <c r="AK363" i="5"/>
  <c r="AK351" i="5"/>
  <c r="AI351" i="5"/>
  <c r="AI339" i="5"/>
  <c r="AK339" i="5"/>
  <c r="AK327" i="5"/>
  <c r="AI327" i="5"/>
  <c r="AI315" i="5"/>
  <c r="AI303" i="5"/>
  <c r="AI291" i="5"/>
  <c r="AI279" i="5"/>
  <c r="AK279" i="5"/>
  <c r="AK267" i="5"/>
  <c r="AI267" i="5"/>
  <c r="AK255" i="5"/>
  <c r="AI255" i="5"/>
  <c r="AK243" i="5"/>
  <c r="AI243" i="5"/>
  <c r="T243" i="5" s="1"/>
  <c r="AK231" i="5"/>
  <c r="AI231" i="5"/>
  <c r="T231" i="5" s="1"/>
  <c r="AK219" i="5"/>
  <c r="AI219" i="5"/>
  <c r="AK207" i="5"/>
  <c r="AI207" i="5"/>
  <c r="AK195" i="5"/>
  <c r="AK183" i="5"/>
  <c r="AI183" i="5"/>
  <c r="AK171" i="5"/>
  <c r="AI171" i="5"/>
  <c r="AI159" i="5"/>
  <c r="AI147" i="5"/>
  <c r="AK135" i="5"/>
  <c r="AI135" i="5"/>
  <c r="T135" i="5" s="1"/>
  <c r="AK123" i="5"/>
  <c r="AI123" i="5"/>
  <c r="T123" i="5" s="1"/>
  <c r="AI111" i="5"/>
  <c r="AK111" i="5"/>
  <c r="AI99" i="5"/>
  <c r="AK99" i="5"/>
  <c r="AK87" i="5"/>
  <c r="AK75" i="5"/>
  <c r="AI75" i="5"/>
  <c r="T75" i="5" s="1"/>
  <c r="AK63" i="5"/>
  <c r="AI63" i="5"/>
  <c r="AK51" i="5"/>
  <c r="AI51" i="5"/>
  <c r="AK39" i="5"/>
  <c r="AI39" i="5"/>
  <c r="AI27" i="5"/>
  <c r="AK27" i="5"/>
  <c r="AI15" i="5"/>
  <c r="AI95" i="5"/>
  <c r="AK23" i="5"/>
  <c r="AI23" i="5"/>
  <c r="AI273" i="5"/>
  <c r="AI29" i="5"/>
  <c r="AI296" i="5"/>
  <c r="AI116" i="5"/>
  <c r="AI56" i="5"/>
  <c r="AK274" i="5"/>
  <c r="T274" i="5" s="1"/>
  <c r="AJ369" i="5"/>
  <c r="AK369" i="5" s="1"/>
  <c r="AJ357" i="5"/>
  <c r="AK357" i="5" s="1"/>
  <c r="AJ345" i="5"/>
  <c r="AK345" i="5" s="1"/>
  <c r="AJ333" i="5"/>
  <c r="AK333" i="5" s="1"/>
  <c r="AJ321" i="5"/>
  <c r="AK321" i="5" s="1"/>
  <c r="AJ309" i="5"/>
  <c r="AK309" i="5" s="1"/>
  <c r="AJ297" i="5"/>
  <c r="AK297" i="5" s="1"/>
  <c r="AJ285" i="5"/>
  <c r="AK285" i="5" s="1"/>
  <c r="AJ273" i="5"/>
  <c r="AK273" i="5" s="1"/>
  <c r="AJ261" i="5"/>
  <c r="AK261" i="5" s="1"/>
  <c r="AJ249" i="5"/>
  <c r="AK249" i="5" s="1"/>
  <c r="AJ237" i="5"/>
  <c r="AK237" i="5" s="1"/>
  <c r="AJ225" i="5"/>
  <c r="AK225" i="5" s="1"/>
  <c r="AI362" i="5"/>
  <c r="AK362" i="5"/>
  <c r="AK350" i="5"/>
  <c r="AI350" i="5"/>
  <c r="AI338" i="5"/>
  <c r="AI326" i="5"/>
  <c r="AI314" i="5"/>
  <c r="AK314" i="5"/>
  <c r="AK302" i="5"/>
  <c r="AI302" i="5"/>
  <c r="AI290" i="5"/>
  <c r="AK290" i="5"/>
  <c r="AI278" i="5"/>
  <c r="AK278" i="5"/>
  <c r="AK266" i="5"/>
  <c r="AI266" i="5"/>
  <c r="AK254" i="5"/>
  <c r="AI254" i="5"/>
  <c r="T254" i="5" s="1"/>
  <c r="AK242" i="5"/>
  <c r="AI242" i="5"/>
  <c r="T242" i="5" s="1"/>
  <c r="AK230" i="5"/>
  <c r="AI230" i="5"/>
  <c r="AK218" i="5"/>
  <c r="AI218" i="5"/>
  <c r="AI206" i="5"/>
  <c r="AK206" i="5"/>
  <c r="AI194" i="5"/>
  <c r="AI182" i="5"/>
  <c r="AI170" i="5"/>
  <c r="AK170" i="5"/>
  <c r="AK158" i="5"/>
  <c r="AI158" i="5"/>
  <c r="AK146" i="5"/>
  <c r="AI146" i="5"/>
  <c r="AI134" i="5"/>
  <c r="AK134" i="5"/>
  <c r="AK122" i="5"/>
  <c r="AI122" i="5"/>
  <c r="AI110" i="5"/>
  <c r="AK110" i="5"/>
  <c r="AK98" i="5"/>
  <c r="AI98" i="5"/>
  <c r="T98" i="5" s="1"/>
  <c r="AI86" i="5"/>
  <c r="AK86" i="5"/>
  <c r="AK74" i="5"/>
  <c r="AI74" i="5"/>
  <c r="AK62" i="5"/>
  <c r="AI62" i="5"/>
  <c r="AI50" i="5"/>
  <c r="AI38" i="5"/>
  <c r="AI26" i="5"/>
  <c r="AI14" i="5"/>
  <c r="AK166" i="5"/>
  <c r="AI166" i="5"/>
  <c r="AK94" i="5"/>
  <c r="AI94" i="5"/>
  <c r="AI22" i="5"/>
  <c r="AI369" i="5"/>
  <c r="AI256" i="5"/>
  <c r="AI344" i="5"/>
  <c r="AI272" i="5"/>
  <c r="AI176" i="5"/>
  <c r="AK68" i="5"/>
  <c r="AI68" i="5"/>
  <c r="AI8" i="5"/>
  <c r="AI202" i="5"/>
  <c r="AJ356" i="5"/>
  <c r="AK356" i="5" s="1"/>
  <c r="AJ344" i="5"/>
  <c r="AK344" i="5" s="1"/>
  <c r="AJ332" i="5"/>
  <c r="AK332" i="5" s="1"/>
  <c r="AJ320" i="5"/>
  <c r="AK320" i="5" s="1"/>
  <c r="AJ308" i="5"/>
  <c r="AK308" i="5" s="1"/>
  <c r="AJ296" i="5"/>
  <c r="AK296" i="5" s="1"/>
  <c r="AJ284" i="5"/>
  <c r="AK284" i="5" s="1"/>
  <c r="AJ272" i="5"/>
  <c r="AK272" i="5" s="1"/>
  <c r="AJ212" i="5"/>
  <c r="AJ200" i="5"/>
  <c r="AK200" i="5" s="1"/>
  <c r="AJ188" i="5"/>
  <c r="AK188" i="5" s="1"/>
  <c r="AJ176" i="5"/>
  <c r="AK176" i="5" s="1"/>
  <c r="AJ164" i="5"/>
  <c r="AK164" i="5" s="1"/>
  <c r="AJ152" i="5"/>
  <c r="AK152" i="5" s="1"/>
  <c r="AJ140" i="5"/>
  <c r="AK140" i="5" s="1"/>
  <c r="AJ128" i="5"/>
  <c r="AK128" i="5" s="1"/>
  <c r="AJ68" i="5"/>
  <c r="AJ56" i="5"/>
  <c r="AK56" i="5" s="1"/>
  <c r="AJ44" i="5"/>
  <c r="AK44" i="5" s="1"/>
  <c r="AJ32" i="5"/>
  <c r="AK32" i="5" s="1"/>
  <c r="AJ20" i="5"/>
  <c r="AK20" i="5" s="1"/>
  <c r="AJ8" i="5"/>
  <c r="AK8" i="5" s="1"/>
  <c r="AK361" i="5"/>
  <c r="AI361" i="5"/>
  <c r="AK349" i="5"/>
  <c r="AI349" i="5"/>
  <c r="AI337" i="5"/>
  <c r="AI325" i="5"/>
  <c r="AK313" i="5"/>
  <c r="AI313" i="5"/>
  <c r="AI301" i="5"/>
  <c r="AI289" i="5"/>
  <c r="AK277" i="5"/>
  <c r="AI277" i="5"/>
  <c r="T277" i="5" s="1"/>
  <c r="AI265" i="5"/>
  <c r="AK253" i="5"/>
  <c r="AI241" i="5"/>
  <c r="AI229" i="5"/>
  <c r="AK229" i="5"/>
  <c r="AI217" i="5"/>
  <c r="AK217" i="5"/>
  <c r="AK205" i="5"/>
  <c r="AI205" i="5"/>
  <c r="AK193" i="5"/>
  <c r="AI181" i="5"/>
  <c r="AK169" i="5"/>
  <c r="AI169" i="5"/>
  <c r="AI157" i="5"/>
  <c r="AI133" i="5"/>
  <c r="AI121" i="5"/>
  <c r="AK109" i="5"/>
  <c r="AI109" i="5"/>
  <c r="T109" i="5" s="1"/>
  <c r="AI97" i="5"/>
  <c r="AK85" i="5"/>
  <c r="AI85" i="5"/>
  <c r="T85" i="5" s="1"/>
  <c r="AK73" i="5"/>
  <c r="AI73" i="5"/>
  <c r="AK61" i="5"/>
  <c r="AI61" i="5"/>
  <c r="AK49" i="5"/>
  <c r="AI49" i="5"/>
  <c r="AK37" i="5"/>
  <c r="AI37" i="5"/>
  <c r="T37" i="5" s="1"/>
  <c r="AK25" i="5"/>
  <c r="AI25" i="5"/>
  <c r="AK13" i="5"/>
  <c r="AI13" i="5"/>
  <c r="T13" i="5" s="1"/>
  <c r="AK11" i="5"/>
  <c r="AI11" i="5"/>
  <c r="AI253" i="5"/>
  <c r="T253" i="5" s="1"/>
  <c r="AK212" i="5"/>
  <c r="AI308" i="5"/>
  <c r="AI128" i="5"/>
  <c r="AI360" i="5"/>
  <c r="AI348" i="5"/>
  <c r="AK336" i="5"/>
  <c r="AI336" i="5"/>
  <c r="AI324" i="5"/>
  <c r="AK312" i="5"/>
  <c r="AI312" i="5"/>
  <c r="AK300" i="5"/>
  <c r="AI300" i="5"/>
  <c r="T300" i="5" s="1"/>
  <c r="AK288" i="5"/>
  <c r="AI288" i="5"/>
  <c r="T288" i="5" s="1"/>
  <c r="AI276" i="5"/>
  <c r="AI264" i="5"/>
  <c r="AK264" i="5"/>
  <c r="AK252" i="5"/>
  <c r="AI252" i="5"/>
  <c r="AK240" i="5"/>
  <c r="AI240" i="5"/>
  <c r="AI228" i="5"/>
  <c r="AK228" i="5"/>
  <c r="AI216" i="5"/>
  <c r="AI204" i="5"/>
  <c r="AI192" i="5"/>
  <c r="AI180" i="5"/>
  <c r="AI168" i="5"/>
  <c r="AI156" i="5"/>
  <c r="AI144" i="5"/>
  <c r="AI132" i="5"/>
  <c r="AI120" i="5"/>
  <c r="AI108" i="5"/>
  <c r="AI96" i="5"/>
  <c r="AI84" i="5"/>
  <c r="AK84" i="5"/>
  <c r="AI72" i="5"/>
  <c r="AI60" i="5"/>
  <c r="AI48" i="5"/>
  <c r="AI36" i="5"/>
  <c r="AK24" i="5"/>
  <c r="AI24" i="5"/>
  <c r="AI12" i="5"/>
  <c r="AI82" i="5"/>
  <c r="AI10" i="5"/>
  <c r="AI353" i="5"/>
  <c r="AI233" i="5"/>
  <c r="AK71" i="5"/>
  <c r="AI71" i="5"/>
  <c r="AI352" i="5"/>
  <c r="AI188" i="5"/>
  <c r="AH6" i="5"/>
  <c r="AJ6" i="5" s="1"/>
  <c r="AI70" i="5"/>
  <c r="AI333" i="5"/>
  <c r="AI195" i="5"/>
  <c r="AJ180" i="5"/>
  <c r="AK180" i="5" s="1"/>
  <c r="AJ168" i="5"/>
  <c r="AK168" i="5" s="1"/>
  <c r="AJ156" i="5"/>
  <c r="AK156" i="5" s="1"/>
  <c r="AJ144" i="5"/>
  <c r="AK144" i="5" s="1"/>
  <c r="AJ132" i="5"/>
  <c r="AK132" i="5" s="1"/>
  <c r="AJ108" i="5"/>
  <c r="AK108" i="5" s="1"/>
  <c r="AJ96" i="5"/>
  <c r="AK96" i="5" s="1"/>
  <c r="AJ72" i="5"/>
  <c r="AK72" i="5" s="1"/>
  <c r="AJ60" i="5"/>
  <c r="AK60" i="5" s="1"/>
  <c r="AJ48" i="5"/>
  <c r="AK48" i="5" s="1"/>
  <c r="AJ36" i="5"/>
  <c r="AK36" i="5" s="1"/>
  <c r="AJ12" i="5"/>
  <c r="AK12" i="5" s="1"/>
  <c r="AB10" i="5"/>
  <c r="X19" i="5"/>
  <c r="AJ34" i="5"/>
  <c r="AK34" i="5" s="1"/>
  <c r="AJ22" i="5"/>
  <c r="AK22" i="5" s="1"/>
  <c r="AJ10" i="5"/>
  <c r="AK10" i="5" s="1"/>
  <c r="Y6" i="5"/>
  <c r="AJ213" i="5"/>
  <c r="AK213" i="5" s="1"/>
  <c r="AJ201" i="5"/>
  <c r="AK201" i="5" s="1"/>
  <c r="AJ189" i="5"/>
  <c r="AK189" i="5" s="1"/>
  <c r="AJ177" i="5"/>
  <c r="AK177" i="5" s="1"/>
  <c r="AJ165" i="5"/>
  <c r="AK165" i="5" s="1"/>
  <c r="AJ153" i="5"/>
  <c r="AK153" i="5" s="1"/>
  <c r="AJ141" i="5"/>
  <c r="AK141" i="5" s="1"/>
  <c r="AJ117" i="5"/>
  <c r="AK117" i="5" s="1"/>
  <c r="AJ105" i="5"/>
  <c r="AK105" i="5" s="1"/>
  <c r="AJ93" i="5"/>
  <c r="AK93" i="5" s="1"/>
  <c r="AJ69" i="5"/>
  <c r="AK69" i="5" s="1"/>
  <c r="AJ57" i="5"/>
  <c r="AK57" i="5" s="1"/>
  <c r="AJ33" i="5"/>
  <c r="AK33" i="5" s="1"/>
  <c r="AJ21" i="5"/>
  <c r="AK21" i="5" s="1"/>
  <c r="AJ9" i="5"/>
  <c r="AK9" i="5" s="1"/>
  <c r="Q1" i="5"/>
  <c r="T365" i="5"/>
  <c r="T329" i="5"/>
  <c r="T245" i="5"/>
  <c r="T233" i="5"/>
  <c r="T101" i="5"/>
  <c r="T89" i="5"/>
  <c r="O13" i="5"/>
  <c r="O85" i="5"/>
  <c r="O344" i="5"/>
  <c r="O296" i="5"/>
  <c r="O229" i="5"/>
  <c r="O157" i="5"/>
  <c r="O337" i="5"/>
  <c r="O289" i="5"/>
  <c r="O228" i="5"/>
  <c r="O156" i="5"/>
  <c r="O84" i="5"/>
  <c r="O12" i="5"/>
  <c r="O336" i="5"/>
  <c r="O288" i="5"/>
  <c r="O217" i="5"/>
  <c r="O145" i="5"/>
  <c r="O73" i="5"/>
  <c r="O332" i="5"/>
  <c r="O284" i="5"/>
  <c r="O216" i="5"/>
  <c r="O144" i="5"/>
  <c r="O72" i="5"/>
  <c r="O325" i="5"/>
  <c r="O277" i="5"/>
  <c r="O205" i="5"/>
  <c r="O133" i="5"/>
  <c r="O61" i="5"/>
  <c r="O324" i="5"/>
  <c r="O276" i="5"/>
  <c r="O204" i="5"/>
  <c r="O132" i="5"/>
  <c r="O60" i="5"/>
  <c r="O368" i="5"/>
  <c r="O320" i="5"/>
  <c r="O265" i="5"/>
  <c r="O193" i="5"/>
  <c r="O121" i="5"/>
  <c r="O49" i="5"/>
  <c r="O361" i="5"/>
  <c r="O313" i="5"/>
  <c r="O264" i="5"/>
  <c r="O192" i="5"/>
  <c r="O120" i="5"/>
  <c r="O48" i="5"/>
  <c r="O360" i="5"/>
  <c r="O312" i="5"/>
  <c r="O253" i="5"/>
  <c r="O181" i="5"/>
  <c r="O109" i="5"/>
  <c r="O37" i="5"/>
  <c r="O356" i="5"/>
  <c r="O308" i="5"/>
  <c r="O252" i="5"/>
  <c r="O180" i="5"/>
  <c r="O108" i="5"/>
  <c r="O36" i="5"/>
  <c r="O349" i="5"/>
  <c r="O301" i="5"/>
  <c r="O241" i="5"/>
  <c r="O169" i="5"/>
  <c r="O97" i="5"/>
  <c r="O25" i="5"/>
  <c r="O348" i="5"/>
  <c r="O300" i="5"/>
  <c r="O240" i="5"/>
  <c r="O168" i="5"/>
  <c r="O96" i="5"/>
  <c r="O24" i="5"/>
  <c r="O362" i="5"/>
  <c r="O350" i="5"/>
  <c r="O338" i="5"/>
  <c r="O326" i="5"/>
  <c r="O314" i="5"/>
  <c r="O302" i="5"/>
  <c r="O290" i="5"/>
  <c r="O278" i="5"/>
  <c r="O266" i="5"/>
  <c r="O254" i="5"/>
  <c r="O242" i="5"/>
  <c r="O230" i="5"/>
  <c r="O218" i="5"/>
  <c r="O206" i="5"/>
  <c r="O194" i="5"/>
  <c r="O182" i="5"/>
  <c r="O170" i="5"/>
  <c r="O158" i="5"/>
  <c r="O146" i="5"/>
  <c r="O134" i="5"/>
  <c r="O122" i="5"/>
  <c r="O110" i="5"/>
  <c r="O98" i="5"/>
  <c r="O86" i="5"/>
  <c r="O74" i="5"/>
  <c r="O62" i="5"/>
  <c r="O50" i="5"/>
  <c r="O38" i="5"/>
  <c r="O26" i="5"/>
  <c r="O14" i="5"/>
  <c r="O371" i="5"/>
  <c r="O359" i="5"/>
  <c r="O347" i="5"/>
  <c r="O335" i="5"/>
  <c r="O323" i="5"/>
  <c r="O311" i="5"/>
  <c r="O299" i="5"/>
  <c r="O287" i="5"/>
  <c r="O275" i="5"/>
  <c r="O263" i="5"/>
  <c r="O251" i="5"/>
  <c r="O239" i="5"/>
  <c r="O227" i="5"/>
  <c r="O215" i="5"/>
  <c r="O203" i="5"/>
  <c r="O191" i="5"/>
  <c r="O179" i="5"/>
  <c r="O167" i="5"/>
  <c r="O155" i="5"/>
  <c r="O143" i="5"/>
  <c r="O131" i="5"/>
  <c r="O119" i="5"/>
  <c r="O107" i="5"/>
  <c r="O95" i="5"/>
  <c r="O83" i="5"/>
  <c r="O71" i="5"/>
  <c r="O59" i="5"/>
  <c r="O47" i="5"/>
  <c r="O35" i="5"/>
  <c r="O23" i="5"/>
  <c r="O11" i="5"/>
  <c r="Y7" i="5"/>
  <c r="Y13" i="5"/>
  <c r="P13" i="5" s="1"/>
  <c r="O370" i="5"/>
  <c r="O358" i="5"/>
  <c r="O346" i="5"/>
  <c r="O334" i="5"/>
  <c r="O322" i="5"/>
  <c r="O310" i="5"/>
  <c r="O298" i="5"/>
  <c r="O286" i="5"/>
  <c r="O274" i="5"/>
  <c r="O262" i="5"/>
  <c r="O250" i="5"/>
  <c r="O238" i="5"/>
  <c r="O226" i="5"/>
  <c r="O214" i="5"/>
  <c r="O202" i="5"/>
  <c r="O190" i="5"/>
  <c r="O178" i="5"/>
  <c r="O166" i="5"/>
  <c r="O154" i="5"/>
  <c r="O142" i="5"/>
  <c r="O130" i="5"/>
  <c r="O118" i="5"/>
  <c r="O106" i="5"/>
  <c r="O94" i="5"/>
  <c r="O82" i="5"/>
  <c r="O70" i="5"/>
  <c r="O58" i="5"/>
  <c r="O46" i="5"/>
  <c r="O34" i="5"/>
  <c r="O22" i="5"/>
  <c r="O10" i="5"/>
  <c r="O369" i="5"/>
  <c r="O357" i="5"/>
  <c r="O345" i="5"/>
  <c r="O333" i="5"/>
  <c r="O321" i="5"/>
  <c r="O309" i="5"/>
  <c r="O297" i="5"/>
  <c r="O285" i="5"/>
  <c r="O273" i="5"/>
  <c r="O261" i="5"/>
  <c r="O249" i="5"/>
  <c r="O237" i="5"/>
  <c r="O225" i="5"/>
  <c r="O213" i="5"/>
  <c r="O201" i="5"/>
  <c r="O189" i="5"/>
  <c r="O177" i="5"/>
  <c r="O165" i="5"/>
  <c r="O153" i="5"/>
  <c r="O141" i="5"/>
  <c r="O129" i="5"/>
  <c r="O117" i="5"/>
  <c r="O105" i="5"/>
  <c r="O93" i="5"/>
  <c r="O81" i="5"/>
  <c r="O69" i="5"/>
  <c r="O57" i="5"/>
  <c r="O45" i="5"/>
  <c r="O33" i="5"/>
  <c r="O21" i="5"/>
  <c r="O9" i="5"/>
  <c r="Y8" i="5"/>
  <c r="O272" i="5"/>
  <c r="O260" i="5"/>
  <c r="O248" i="5"/>
  <c r="O236" i="5"/>
  <c r="O224" i="5"/>
  <c r="O212" i="5"/>
  <c r="O200" i="5"/>
  <c r="O188" i="5"/>
  <c r="O176" i="5"/>
  <c r="O164" i="5"/>
  <c r="O152" i="5"/>
  <c r="O140" i="5"/>
  <c r="O128" i="5"/>
  <c r="O116" i="5"/>
  <c r="O104" i="5"/>
  <c r="O92" i="5"/>
  <c r="O80" i="5"/>
  <c r="O68" i="5"/>
  <c r="O56" i="5"/>
  <c r="O44" i="5"/>
  <c r="O32" i="5"/>
  <c r="O20" i="5"/>
  <c r="O8" i="5"/>
  <c r="O367" i="5"/>
  <c r="O355" i="5"/>
  <c r="O343" i="5"/>
  <c r="O331" i="5"/>
  <c r="O319" i="5"/>
  <c r="O307" i="5"/>
  <c r="O295" i="5"/>
  <c r="O283" i="5"/>
  <c r="O271" i="5"/>
  <c r="O259" i="5"/>
  <c r="O247" i="5"/>
  <c r="O235" i="5"/>
  <c r="O223" i="5"/>
  <c r="O211" i="5"/>
  <c r="O199" i="5"/>
  <c r="O187" i="5"/>
  <c r="O175" i="5"/>
  <c r="O163" i="5"/>
  <c r="O151" i="5"/>
  <c r="O139" i="5"/>
  <c r="O127" i="5"/>
  <c r="O115" i="5"/>
  <c r="O103" i="5"/>
  <c r="O91" i="5"/>
  <c r="O79" i="5"/>
  <c r="O67" i="5"/>
  <c r="O55" i="5"/>
  <c r="O43" i="5"/>
  <c r="O31" i="5"/>
  <c r="O19" i="5"/>
  <c r="O7" i="5"/>
  <c r="AB11" i="5"/>
  <c r="Y9" i="5"/>
  <c r="O366" i="5"/>
  <c r="O354" i="5"/>
  <c r="O342" i="5"/>
  <c r="O330" i="5"/>
  <c r="O318" i="5"/>
  <c r="O306" i="5"/>
  <c r="O294" i="5"/>
  <c r="O282" i="5"/>
  <c r="O270" i="5"/>
  <c r="O258" i="5"/>
  <c r="O246" i="5"/>
  <c r="O234" i="5"/>
  <c r="O222" i="5"/>
  <c r="O210" i="5"/>
  <c r="O198" i="5"/>
  <c r="O186" i="5"/>
  <c r="O174" i="5"/>
  <c r="O162" i="5"/>
  <c r="O150" i="5"/>
  <c r="O138" i="5"/>
  <c r="O126" i="5"/>
  <c r="O114" i="5"/>
  <c r="O102" i="5"/>
  <c r="O90" i="5"/>
  <c r="O78" i="5"/>
  <c r="O66" i="5"/>
  <c r="O54" i="5"/>
  <c r="O42" i="5"/>
  <c r="O30" i="5"/>
  <c r="O18" i="5"/>
  <c r="O365" i="5"/>
  <c r="O353" i="5"/>
  <c r="O341" i="5"/>
  <c r="O329" i="5"/>
  <c r="O317" i="5"/>
  <c r="O305" i="5"/>
  <c r="O293" i="5"/>
  <c r="O281" i="5"/>
  <c r="O269" i="5"/>
  <c r="O257" i="5"/>
  <c r="O245" i="5"/>
  <c r="O233" i="5"/>
  <c r="O221" i="5"/>
  <c r="O209" i="5"/>
  <c r="O197" i="5"/>
  <c r="O185" i="5"/>
  <c r="O173" i="5"/>
  <c r="O161" i="5"/>
  <c r="O149" i="5"/>
  <c r="O137" i="5"/>
  <c r="O125" i="5"/>
  <c r="O113" i="5"/>
  <c r="O101" i="5"/>
  <c r="O89" i="5"/>
  <c r="O77" i="5"/>
  <c r="O65" i="5"/>
  <c r="O53" i="5"/>
  <c r="O41" i="5"/>
  <c r="O29" i="5"/>
  <c r="O17" i="5"/>
  <c r="O364" i="5"/>
  <c r="O352" i="5"/>
  <c r="O340" i="5"/>
  <c r="O328" i="5"/>
  <c r="O316" i="5"/>
  <c r="O304" i="5"/>
  <c r="O292" i="5"/>
  <c r="O280" i="5"/>
  <c r="O268" i="5"/>
  <c r="O256" i="5"/>
  <c r="O244" i="5"/>
  <c r="O232" i="5"/>
  <c r="O220" i="5"/>
  <c r="O208" i="5"/>
  <c r="O196" i="5"/>
  <c r="O184" i="5"/>
  <c r="O172" i="5"/>
  <c r="O160" i="5"/>
  <c r="O148" i="5"/>
  <c r="O136" i="5"/>
  <c r="O124" i="5"/>
  <c r="O112" i="5"/>
  <c r="O100" i="5"/>
  <c r="O88" i="5"/>
  <c r="O76" i="5"/>
  <c r="O64" i="5"/>
  <c r="O52" i="5"/>
  <c r="O40" i="5"/>
  <c r="O28" i="5"/>
  <c r="O16" i="5"/>
  <c r="O363" i="5"/>
  <c r="O351" i="5"/>
  <c r="O339" i="5"/>
  <c r="O327" i="5"/>
  <c r="O315" i="5"/>
  <c r="O303" i="5"/>
  <c r="O291" i="5"/>
  <c r="O279" i="5"/>
  <c r="O267" i="5"/>
  <c r="O255" i="5"/>
  <c r="O243" i="5"/>
  <c r="O231" i="5"/>
  <c r="O219" i="5"/>
  <c r="O207" i="5"/>
  <c r="O195" i="5"/>
  <c r="O183" i="5"/>
  <c r="O171" i="5"/>
  <c r="O159" i="5"/>
  <c r="O147" i="5"/>
  <c r="O135" i="5"/>
  <c r="O123" i="5"/>
  <c r="O111" i="5"/>
  <c r="O99" i="5"/>
  <c r="O87" i="5"/>
  <c r="O75" i="5"/>
  <c r="O63" i="5"/>
  <c r="O51" i="5"/>
  <c r="O39" i="5"/>
  <c r="O27" i="5"/>
  <c r="O15" i="5"/>
  <c r="S1" i="5"/>
  <c r="AI6" i="5"/>
  <c r="AB7" i="1"/>
  <c r="AB9" i="1"/>
  <c r="AC9" i="1" s="1"/>
  <c r="AB11" i="1"/>
  <c r="AB13" i="1"/>
  <c r="AB12" i="1"/>
  <c r="AC12" i="1" s="1"/>
  <c r="AB6" i="1"/>
  <c r="AB15" i="1"/>
  <c r="AB14" i="1"/>
  <c r="AC14" i="1" s="1"/>
  <c r="Y6" i="1"/>
  <c r="Y17" i="1"/>
  <c r="AB10" i="1"/>
  <c r="AC10" i="1" s="1"/>
  <c r="AB8" i="1"/>
  <c r="AC8" i="1" s="1"/>
  <c r="AH368" i="1"/>
  <c r="AJ368" i="1" s="1"/>
  <c r="AK368" i="1" s="1"/>
  <c r="AH356" i="1"/>
  <c r="AH344" i="1"/>
  <c r="AH332" i="1"/>
  <c r="AJ332" i="1" s="1"/>
  <c r="AK332" i="1" s="1"/>
  <c r="AH320" i="1"/>
  <c r="AH308" i="1"/>
  <c r="AJ308" i="1" s="1"/>
  <c r="AK308" i="1" s="1"/>
  <c r="AH296" i="1"/>
  <c r="AJ296" i="1" s="1"/>
  <c r="AK296" i="1" s="1"/>
  <c r="AH284" i="1"/>
  <c r="AJ284" i="1" s="1"/>
  <c r="AK284" i="1" s="1"/>
  <c r="AH272" i="1"/>
  <c r="AJ272" i="1" s="1"/>
  <c r="AK272" i="1" s="1"/>
  <c r="AH260" i="1"/>
  <c r="AI260" i="1" s="1"/>
  <c r="AH248" i="1"/>
  <c r="AI248" i="1" s="1"/>
  <c r="AH236" i="1"/>
  <c r="AJ236" i="1" s="1"/>
  <c r="AK236" i="1" s="1"/>
  <c r="AH224" i="1"/>
  <c r="AJ224" i="1" s="1"/>
  <c r="AK224" i="1" s="1"/>
  <c r="AH212" i="1"/>
  <c r="AH200" i="1"/>
  <c r="AH188" i="1"/>
  <c r="AC7" i="1"/>
  <c r="AC13" i="1"/>
  <c r="AC15" i="1"/>
  <c r="AC6" i="1"/>
  <c r="AC17" i="1"/>
  <c r="U1" i="1"/>
  <c r="AH367" i="1"/>
  <c r="AJ367" i="1" s="1"/>
  <c r="AK367" i="1" s="1"/>
  <c r="AH355" i="1"/>
  <c r="AH343" i="1"/>
  <c r="AI343" i="1" s="1"/>
  <c r="AH331" i="1"/>
  <c r="AJ331" i="1" s="1"/>
  <c r="AK331" i="1" s="1"/>
  <c r="AH319" i="1"/>
  <c r="AJ319" i="1" s="1"/>
  <c r="AK319" i="1" s="1"/>
  <c r="AH307" i="1"/>
  <c r="AJ307" i="1" s="1"/>
  <c r="AK307" i="1" s="1"/>
  <c r="AH295" i="1"/>
  <c r="AJ295" i="1" s="1"/>
  <c r="AK295" i="1" s="1"/>
  <c r="AH283" i="1"/>
  <c r="AJ283" i="1" s="1"/>
  <c r="AK283" i="1" s="1"/>
  <c r="AH271" i="1"/>
  <c r="AJ271" i="1" s="1"/>
  <c r="AK271" i="1" s="1"/>
  <c r="AH259" i="1"/>
  <c r="AJ259" i="1" s="1"/>
  <c r="AK259" i="1" s="1"/>
  <c r="AH247" i="1"/>
  <c r="AJ247" i="1" s="1"/>
  <c r="AK247" i="1" s="1"/>
  <c r="AH235" i="1"/>
  <c r="AJ235" i="1" s="1"/>
  <c r="AK235" i="1" s="1"/>
  <c r="AH223" i="1"/>
  <c r="AI223" i="1" s="1"/>
  <c r="AH211" i="1"/>
  <c r="AJ211" i="1" s="1"/>
  <c r="AH199" i="1"/>
  <c r="AH187" i="1"/>
  <c r="AJ187" i="1" s="1"/>
  <c r="AK187" i="1" s="1"/>
  <c r="AH175" i="1"/>
  <c r="AJ175" i="1" s="1"/>
  <c r="AK175" i="1" s="1"/>
  <c r="AH163" i="1"/>
  <c r="AH151" i="1"/>
  <c r="AJ151" i="1" s="1"/>
  <c r="AK151" i="1" s="1"/>
  <c r="AH139" i="1"/>
  <c r="AJ139" i="1" s="1"/>
  <c r="AK139" i="1" s="1"/>
  <c r="AH127" i="1"/>
  <c r="AJ127" i="1" s="1"/>
  <c r="AK127" i="1" s="1"/>
  <c r="AH115" i="1"/>
  <c r="AJ115" i="1" s="1"/>
  <c r="AK115" i="1" s="1"/>
  <c r="AH103" i="1"/>
  <c r="AJ103" i="1" s="1"/>
  <c r="AK103" i="1" s="1"/>
  <c r="AH91" i="1"/>
  <c r="AJ91" i="1" s="1"/>
  <c r="AK91" i="1" s="1"/>
  <c r="AH79" i="1"/>
  <c r="AI79" i="1" s="1"/>
  <c r="AH67" i="1"/>
  <c r="AH55" i="1"/>
  <c r="AH43" i="1"/>
  <c r="AJ43" i="1" s="1"/>
  <c r="AK43" i="1" s="1"/>
  <c r="AH31" i="1"/>
  <c r="AJ31" i="1" s="1"/>
  <c r="AK31" i="1" s="1"/>
  <c r="AH19" i="1"/>
  <c r="AJ19" i="1" s="1"/>
  <c r="AK19" i="1" s="1"/>
  <c r="AH7" i="1"/>
  <c r="AJ7" i="1" s="1"/>
  <c r="AK7" i="1" s="1"/>
  <c r="AH366" i="1"/>
  <c r="AI366" i="1" s="1"/>
  <c r="AH354" i="1"/>
  <c r="AI354" i="1" s="1"/>
  <c r="AH342" i="1"/>
  <c r="AI342" i="1" s="1"/>
  <c r="AH330" i="1"/>
  <c r="AJ330" i="1" s="1"/>
  <c r="AK330" i="1" s="1"/>
  <c r="AH318" i="1"/>
  <c r="AJ318" i="1" s="1"/>
  <c r="AH306" i="1"/>
  <c r="AJ306" i="1" s="1"/>
  <c r="AK306" i="1" s="1"/>
  <c r="AH294" i="1"/>
  <c r="AJ294" i="1" s="1"/>
  <c r="AK294" i="1" s="1"/>
  <c r="AH282" i="1"/>
  <c r="AJ282" i="1" s="1"/>
  <c r="AK282" i="1" s="1"/>
  <c r="AH270" i="1"/>
  <c r="AJ270" i="1" s="1"/>
  <c r="AK270" i="1" s="1"/>
  <c r="AH258" i="1"/>
  <c r="AI258" i="1" s="1"/>
  <c r="AH246" i="1"/>
  <c r="AJ246" i="1" s="1"/>
  <c r="AK246" i="1" s="1"/>
  <c r="AH234" i="1"/>
  <c r="AJ234" i="1" s="1"/>
  <c r="AK234" i="1" s="1"/>
  <c r="AH222" i="1"/>
  <c r="AJ222" i="1" s="1"/>
  <c r="AK222" i="1" s="1"/>
  <c r="AH210" i="1"/>
  <c r="AI210" i="1" s="1"/>
  <c r="AH198" i="1"/>
  <c r="AI198" i="1" s="1"/>
  <c r="AH186" i="1"/>
  <c r="AJ186" i="1" s="1"/>
  <c r="AK186" i="1" s="1"/>
  <c r="AH174" i="1"/>
  <c r="AI174" i="1" s="1"/>
  <c r="AJ356" i="1"/>
  <c r="AK356" i="1" s="1"/>
  <c r="AJ344" i="1"/>
  <c r="AK344" i="1" s="1"/>
  <c r="AJ320" i="1"/>
  <c r="AK320" i="1" s="1"/>
  <c r="AJ212" i="1"/>
  <c r="AK212" i="1" s="1"/>
  <c r="AH370" i="1"/>
  <c r="AJ370" i="1" s="1"/>
  <c r="AK370" i="1" s="1"/>
  <c r="AH358" i="1"/>
  <c r="AJ358" i="1" s="1"/>
  <c r="AK358" i="1" s="1"/>
  <c r="AH346" i="1"/>
  <c r="AJ346" i="1" s="1"/>
  <c r="AK346" i="1" s="1"/>
  <c r="AH334" i="1"/>
  <c r="AJ334" i="1" s="1"/>
  <c r="AK334" i="1" s="1"/>
  <c r="AH322" i="1"/>
  <c r="AJ322" i="1" s="1"/>
  <c r="AK322" i="1" s="1"/>
  <c r="AH310" i="1"/>
  <c r="AJ310" i="1" s="1"/>
  <c r="AK310" i="1" s="1"/>
  <c r="AH298" i="1"/>
  <c r="AJ298" i="1" s="1"/>
  <c r="AH286" i="1"/>
  <c r="AJ286" i="1" s="1"/>
  <c r="AK286" i="1" s="1"/>
  <c r="AH274" i="1"/>
  <c r="AJ274" i="1" s="1"/>
  <c r="AK274" i="1" s="1"/>
  <c r="AH262" i="1"/>
  <c r="AJ262" i="1" s="1"/>
  <c r="AK262" i="1" s="1"/>
  <c r="AH250" i="1"/>
  <c r="AJ250" i="1" s="1"/>
  <c r="AK250" i="1" s="1"/>
  <c r="AH238" i="1"/>
  <c r="AH369" i="1"/>
  <c r="AJ369" i="1" s="1"/>
  <c r="AK369" i="1" s="1"/>
  <c r="AH357" i="1"/>
  <c r="AJ357" i="1" s="1"/>
  <c r="AK357" i="1" s="1"/>
  <c r="AH345" i="1"/>
  <c r="AJ345" i="1" s="1"/>
  <c r="AK345" i="1" s="1"/>
  <c r="AH333" i="1"/>
  <c r="AI333" i="1" s="1"/>
  <c r="AH321" i="1"/>
  <c r="AJ321" i="1" s="1"/>
  <c r="AK321" i="1" s="1"/>
  <c r="AH309" i="1"/>
  <c r="AJ309" i="1" s="1"/>
  <c r="AH297" i="1"/>
  <c r="AJ297" i="1" s="1"/>
  <c r="AK297" i="1" s="1"/>
  <c r="AH285" i="1"/>
  <c r="AJ285" i="1" s="1"/>
  <c r="AK285" i="1" s="1"/>
  <c r="AH273" i="1"/>
  <c r="AJ273" i="1" s="1"/>
  <c r="AK273" i="1" s="1"/>
  <c r="AH261" i="1"/>
  <c r="AJ261" i="1" s="1"/>
  <c r="AK261" i="1" s="1"/>
  <c r="AH249" i="1"/>
  <c r="AJ249" i="1" s="1"/>
  <c r="AK249" i="1" s="1"/>
  <c r="AH237" i="1"/>
  <c r="AJ237" i="1" s="1"/>
  <c r="AK237" i="1" s="1"/>
  <c r="AH225" i="1"/>
  <c r="AJ225" i="1" s="1"/>
  <c r="AK225" i="1" s="1"/>
  <c r="AH226" i="1"/>
  <c r="AJ226" i="1" s="1"/>
  <c r="AK226" i="1" s="1"/>
  <c r="AH214" i="1"/>
  <c r="AJ214" i="1" s="1"/>
  <c r="AK214" i="1" s="1"/>
  <c r="AH202" i="1"/>
  <c r="AJ202" i="1" s="1"/>
  <c r="AK202" i="1" s="1"/>
  <c r="AH190" i="1"/>
  <c r="AJ190" i="1" s="1"/>
  <c r="AK190" i="1" s="1"/>
  <c r="AH178" i="1"/>
  <c r="AH166" i="1"/>
  <c r="AJ166" i="1" s="1"/>
  <c r="AK166" i="1" s="1"/>
  <c r="AH154" i="1"/>
  <c r="AJ154" i="1" s="1"/>
  <c r="AK154" i="1" s="1"/>
  <c r="AH142" i="1"/>
  <c r="AJ142" i="1" s="1"/>
  <c r="AK142" i="1" s="1"/>
  <c r="AH130" i="1"/>
  <c r="AJ130" i="1" s="1"/>
  <c r="AK130" i="1" s="1"/>
  <c r="AH118" i="1"/>
  <c r="AJ118" i="1" s="1"/>
  <c r="AK118" i="1" s="1"/>
  <c r="AH106" i="1"/>
  <c r="AJ106" i="1" s="1"/>
  <c r="AK106" i="1" s="1"/>
  <c r="AH94" i="1"/>
  <c r="AJ94" i="1" s="1"/>
  <c r="AK94" i="1" s="1"/>
  <c r="AH82" i="1"/>
  <c r="AJ82" i="1" s="1"/>
  <c r="AK82" i="1" s="1"/>
  <c r="AH70" i="1"/>
  <c r="AI70" i="1" s="1"/>
  <c r="AH58" i="1"/>
  <c r="AJ58" i="1" s="1"/>
  <c r="AK58" i="1" s="1"/>
  <c r="AH46" i="1"/>
  <c r="AJ46" i="1" s="1"/>
  <c r="AK46" i="1" s="1"/>
  <c r="AH34" i="1"/>
  <c r="AI34" i="1" s="1"/>
  <c r="AH22" i="1"/>
  <c r="AJ22" i="1" s="1"/>
  <c r="AK22" i="1" s="1"/>
  <c r="AH10" i="1"/>
  <c r="AJ10" i="1" s="1"/>
  <c r="AK10" i="1" s="1"/>
  <c r="AH213" i="1"/>
  <c r="AJ213" i="1" s="1"/>
  <c r="AK213" i="1" s="1"/>
  <c r="AH201" i="1"/>
  <c r="AJ201" i="1" s="1"/>
  <c r="AK201" i="1" s="1"/>
  <c r="AH189" i="1"/>
  <c r="AI189" i="1" s="1"/>
  <c r="AH177" i="1"/>
  <c r="AI177" i="1" s="1"/>
  <c r="AH165" i="1"/>
  <c r="AJ165" i="1" s="1"/>
  <c r="AK165" i="1" s="1"/>
  <c r="AH153" i="1"/>
  <c r="AJ153" i="1" s="1"/>
  <c r="AK153" i="1" s="1"/>
  <c r="AH141" i="1"/>
  <c r="AJ141" i="1" s="1"/>
  <c r="AK141" i="1" s="1"/>
  <c r="AH129" i="1"/>
  <c r="AJ129" i="1" s="1"/>
  <c r="AH117" i="1"/>
  <c r="AJ117" i="1" s="1"/>
  <c r="AK117" i="1" s="1"/>
  <c r="AH105" i="1"/>
  <c r="AI105" i="1" s="1"/>
  <c r="AH93" i="1"/>
  <c r="AJ93" i="1" s="1"/>
  <c r="AK93" i="1" s="1"/>
  <c r="AH81" i="1"/>
  <c r="AJ81" i="1" s="1"/>
  <c r="AK81" i="1" s="1"/>
  <c r="AH69" i="1"/>
  <c r="AJ69" i="1" s="1"/>
  <c r="AK69" i="1" s="1"/>
  <c r="AH57" i="1"/>
  <c r="AJ57" i="1" s="1"/>
  <c r="AK57" i="1" s="1"/>
  <c r="AH45" i="1"/>
  <c r="AJ45" i="1" s="1"/>
  <c r="AK45" i="1" s="1"/>
  <c r="AH33" i="1"/>
  <c r="AJ33" i="1" s="1"/>
  <c r="AK33" i="1" s="1"/>
  <c r="AH21" i="1"/>
  <c r="AJ21" i="1" s="1"/>
  <c r="AK21" i="1" s="1"/>
  <c r="AH9" i="1"/>
  <c r="AJ9" i="1" s="1"/>
  <c r="AK9" i="1" s="1"/>
  <c r="AH176" i="1"/>
  <c r="AI176" i="1" s="1"/>
  <c r="AH164" i="1"/>
  <c r="AI164" i="1" s="1"/>
  <c r="AH152" i="1"/>
  <c r="AJ152" i="1" s="1"/>
  <c r="AK152" i="1" s="1"/>
  <c r="AH140" i="1"/>
  <c r="AH128" i="1"/>
  <c r="AJ128" i="1" s="1"/>
  <c r="AK128" i="1" s="1"/>
  <c r="AH116" i="1"/>
  <c r="AI116" i="1" s="1"/>
  <c r="AH104" i="1"/>
  <c r="AJ104" i="1" s="1"/>
  <c r="AK104" i="1" s="1"/>
  <c r="AH92" i="1"/>
  <c r="AJ92" i="1" s="1"/>
  <c r="AK92" i="1" s="1"/>
  <c r="AH80" i="1"/>
  <c r="AI80" i="1" s="1"/>
  <c r="AH68" i="1"/>
  <c r="AJ68" i="1" s="1"/>
  <c r="AK68" i="1" s="1"/>
  <c r="AH56" i="1"/>
  <c r="AJ56" i="1" s="1"/>
  <c r="AK56" i="1" s="1"/>
  <c r="AH44" i="1"/>
  <c r="AJ44" i="1" s="1"/>
  <c r="AK44" i="1" s="1"/>
  <c r="AH32" i="1"/>
  <c r="AI32" i="1" s="1"/>
  <c r="AH20" i="1"/>
  <c r="AI20" i="1" s="1"/>
  <c r="AH8" i="1"/>
  <c r="AJ8" i="1" s="1"/>
  <c r="AK8" i="1" s="1"/>
  <c r="AJ200" i="1"/>
  <c r="AK200" i="1" s="1"/>
  <c r="AJ188" i="1"/>
  <c r="AK188" i="1" s="1"/>
  <c r="N1" i="1"/>
  <c r="AH365" i="1"/>
  <c r="AJ365" i="1" s="1"/>
  <c r="AH353" i="1"/>
  <c r="AJ353" i="1" s="1"/>
  <c r="AH341" i="1"/>
  <c r="AJ341" i="1" s="1"/>
  <c r="AH329" i="1"/>
  <c r="AJ329" i="1" s="1"/>
  <c r="AH317" i="1"/>
  <c r="AJ317" i="1" s="1"/>
  <c r="AH305" i="1"/>
  <c r="AJ305" i="1" s="1"/>
  <c r="AH293" i="1"/>
  <c r="AJ293" i="1" s="1"/>
  <c r="AH281" i="1"/>
  <c r="AJ281" i="1" s="1"/>
  <c r="AH269" i="1"/>
  <c r="AJ269" i="1" s="1"/>
  <c r="AH257" i="1"/>
  <c r="AJ257" i="1" s="1"/>
  <c r="AH245" i="1"/>
  <c r="AJ245" i="1" s="1"/>
  <c r="AH233" i="1"/>
  <c r="AJ233" i="1" s="1"/>
  <c r="AH221" i="1"/>
  <c r="AJ221" i="1" s="1"/>
  <c r="AH209" i="1"/>
  <c r="AJ209" i="1" s="1"/>
  <c r="Q1" i="1"/>
  <c r="P1" i="1"/>
  <c r="AH363" i="1"/>
  <c r="AJ363" i="1" s="1"/>
  <c r="AH351" i="1"/>
  <c r="AJ351" i="1" s="1"/>
  <c r="AH339" i="1"/>
  <c r="AJ339" i="1" s="1"/>
  <c r="AH327" i="1"/>
  <c r="AJ327" i="1" s="1"/>
  <c r="AH315" i="1"/>
  <c r="AI315" i="1" s="1"/>
  <c r="AH303" i="1"/>
  <c r="AI303" i="1" s="1"/>
  <c r="AH291" i="1"/>
  <c r="AJ291" i="1" s="1"/>
  <c r="AK291" i="1" s="1"/>
  <c r="AH279" i="1"/>
  <c r="AJ279" i="1" s="1"/>
  <c r="AK279" i="1" s="1"/>
  <c r="AH267" i="1"/>
  <c r="AJ267" i="1" s="1"/>
  <c r="AH255" i="1"/>
  <c r="AJ255" i="1" s="1"/>
  <c r="AH243" i="1"/>
  <c r="AJ243" i="1" s="1"/>
  <c r="AH231" i="1"/>
  <c r="AI231" i="1" s="1"/>
  <c r="AH219" i="1"/>
  <c r="AI219" i="1" s="1"/>
  <c r="AH207" i="1"/>
  <c r="AJ207" i="1" s="1"/>
  <c r="AH195" i="1"/>
  <c r="AJ195" i="1" s="1"/>
  <c r="AH183" i="1"/>
  <c r="AJ183" i="1" s="1"/>
  <c r="AH171" i="1"/>
  <c r="AI171" i="1" s="1"/>
  <c r="AH159" i="1"/>
  <c r="AI159" i="1" s="1"/>
  <c r="AH147" i="1"/>
  <c r="AJ147" i="1" s="1"/>
  <c r="AK147" i="1" s="1"/>
  <c r="AH135" i="1"/>
  <c r="AJ135" i="1" s="1"/>
  <c r="AK135" i="1" s="1"/>
  <c r="AH123" i="1"/>
  <c r="AJ123" i="1" s="1"/>
  <c r="AK123" i="1" s="1"/>
  <c r="AH111" i="1"/>
  <c r="AJ111" i="1" s="1"/>
  <c r="AK111" i="1" s="1"/>
  <c r="AH99" i="1"/>
  <c r="AJ99" i="1" s="1"/>
  <c r="AH87" i="1"/>
  <c r="AI87" i="1" s="1"/>
  <c r="AH75" i="1"/>
  <c r="AI75" i="1" s="1"/>
  <c r="AH63" i="1"/>
  <c r="AI63" i="1" s="1"/>
  <c r="AH51" i="1"/>
  <c r="AJ51" i="1" s="1"/>
  <c r="AH39" i="1"/>
  <c r="AJ39" i="1" s="1"/>
  <c r="AH27" i="1"/>
  <c r="AH15" i="1"/>
  <c r="AJ15" i="1" s="1"/>
  <c r="AH371" i="1"/>
  <c r="AH359" i="1"/>
  <c r="AI359" i="1" s="1"/>
  <c r="AH347" i="1"/>
  <c r="AI347" i="1" s="1"/>
  <c r="AH335" i="1"/>
  <c r="AH323" i="1"/>
  <c r="AI323" i="1" s="1"/>
  <c r="AH311" i="1"/>
  <c r="AI311" i="1" s="1"/>
  <c r="AH299" i="1"/>
  <c r="AH287" i="1"/>
  <c r="AJ287" i="1" s="1"/>
  <c r="AK287" i="1" s="1"/>
  <c r="AH275" i="1"/>
  <c r="AJ275" i="1" s="1"/>
  <c r="AK275" i="1" s="1"/>
  <c r="AH263" i="1"/>
  <c r="AJ263" i="1" s="1"/>
  <c r="AK263" i="1" s="1"/>
  <c r="AH251" i="1"/>
  <c r="AJ251" i="1" s="1"/>
  <c r="AK251" i="1" s="1"/>
  <c r="AH239" i="1"/>
  <c r="AJ239" i="1" s="1"/>
  <c r="AH227" i="1"/>
  <c r="AH215" i="1"/>
  <c r="AJ215" i="1" s="1"/>
  <c r="AK215" i="1" s="1"/>
  <c r="AH203" i="1"/>
  <c r="AJ203" i="1" s="1"/>
  <c r="AH191" i="1"/>
  <c r="AH179" i="1"/>
  <c r="AI179" i="1" s="1"/>
  <c r="AH167" i="1"/>
  <c r="AI167" i="1" s="1"/>
  <c r="AH155" i="1"/>
  <c r="AI155" i="1" s="1"/>
  <c r="AH143" i="1"/>
  <c r="AI143" i="1" s="1"/>
  <c r="AH131" i="1"/>
  <c r="AH119" i="1"/>
  <c r="AJ119" i="1" s="1"/>
  <c r="AK119" i="1" s="1"/>
  <c r="AH107" i="1"/>
  <c r="AJ107" i="1" s="1"/>
  <c r="AK107" i="1" s="1"/>
  <c r="AH95" i="1"/>
  <c r="AI95" i="1" s="1"/>
  <c r="AH83" i="1"/>
  <c r="AJ83" i="1" s="1"/>
  <c r="AH71" i="1"/>
  <c r="AI71" i="1" s="1"/>
  <c r="AH59" i="1"/>
  <c r="AI59" i="1" s="1"/>
  <c r="AH47" i="1"/>
  <c r="AH35" i="1"/>
  <c r="AJ35" i="1" s="1"/>
  <c r="AK35" i="1" s="1"/>
  <c r="AH23" i="1"/>
  <c r="AJ23" i="1" s="1"/>
  <c r="AK23" i="1" s="1"/>
  <c r="AH11" i="1"/>
  <c r="AH364" i="1"/>
  <c r="AI364" i="1" s="1"/>
  <c r="AH352" i="1"/>
  <c r="AJ352" i="1" s="1"/>
  <c r="AH340" i="1"/>
  <c r="AJ340" i="1" s="1"/>
  <c r="AH328" i="1"/>
  <c r="AJ328" i="1" s="1"/>
  <c r="AK328" i="1" s="1"/>
  <c r="AH316" i="1"/>
  <c r="AI316" i="1" s="1"/>
  <c r="AH304" i="1"/>
  <c r="AJ304" i="1" s="1"/>
  <c r="AK304" i="1" s="1"/>
  <c r="AH292" i="1"/>
  <c r="AI292" i="1" s="1"/>
  <c r="AH280" i="1"/>
  <c r="AJ280" i="1" s="1"/>
  <c r="AK280" i="1" s="1"/>
  <c r="AH268" i="1"/>
  <c r="AI268" i="1" s="1"/>
  <c r="AH256" i="1"/>
  <c r="AJ256" i="1" s="1"/>
  <c r="AH244" i="1"/>
  <c r="AI244" i="1" s="1"/>
  <c r="AH232" i="1"/>
  <c r="AI232" i="1" s="1"/>
  <c r="AH220" i="1"/>
  <c r="AI220" i="1" s="1"/>
  <c r="AH208" i="1"/>
  <c r="AJ208" i="1" s="1"/>
  <c r="AH196" i="1"/>
  <c r="AJ196" i="1" s="1"/>
  <c r="AH184" i="1"/>
  <c r="AJ184" i="1" s="1"/>
  <c r="AH172" i="1"/>
  <c r="AI172" i="1" s="1"/>
  <c r="AH160" i="1"/>
  <c r="AJ160" i="1" s="1"/>
  <c r="AH148" i="1"/>
  <c r="AJ148" i="1" s="1"/>
  <c r="AH136" i="1"/>
  <c r="AJ136" i="1" s="1"/>
  <c r="AH124" i="1"/>
  <c r="AJ124" i="1" s="1"/>
  <c r="AH112" i="1"/>
  <c r="AI112" i="1" s="1"/>
  <c r="AH100" i="1"/>
  <c r="AI100" i="1" s="1"/>
  <c r="AH88" i="1"/>
  <c r="AI88" i="1" s="1"/>
  <c r="AH76" i="1"/>
  <c r="AJ76" i="1" s="1"/>
  <c r="AH64" i="1"/>
  <c r="AI64" i="1" s="1"/>
  <c r="AH52" i="1"/>
  <c r="AJ52" i="1" s="1"/>
  <c r="AH40" i="1"/>
  <c r="AJ40" i="1" s="1"/>
  <c r="AH28" i="1"/>
  <c r="AJ28" i="1" s="1"/>
  <c r="AH16" i="1"/>
  <c r="AJ16" i="1" s="1"/>
  <c r="AH362" i="1"/>
  <c r="AJ362" i="1" s="1"/>
  <c r="AH350" i="1"/>
  <c r="AJ350" i="1" s="1"/>
  <c r="AH338" i="1"/>
  <c r="AI338" i="1" s="1"/>
  <c r="AH326" i="1"/>
  <c r="AI326" i="1" s="1"/>
  <c r="AH314" i="1"/>
  <c r="AJ314" i="1" s="1"/>
  <c r="AH302" i="1"/>
  <c r="AH290" i="1"/>
  <c r="AI290" i="1" s="1"/>
  <c r="AH278" i="1"/>
  <c r="AI278" i="1" s="1"/>
  <c r="AH266" i="1"/>
  <c r="AJ266" i="1" s="1"/>
  <c r="AI270" i="1"/>
  <c r="T270" i="1" s="1"/>
  <c r="AI234" i="1"/>
  <c r="T234" i="1" s="1"/>
  <c r="AH254" i="1"/>
  <c r="AJ254" i="1" s="1"/>
  <c r="AH6" i="1"/>
  <c r="AI356" i="1"/>
  <c r="T356" i="1" s="1"/>
  <c r="AI344" i="1"/>
  <c r="T344" i="1" s="1"/>
  <c r="AI332" i="1"/>
  <c r="T332" i="1" s="1"/>
  <c r="AI320" i="1"/>
  <c r="T320" i="1" s="1"/>
  <c r="AI308" i="1"/>
  <c r="T308" i="1" s="1"/>
  <c r="AI296" i="1"/>
  <c r="T296" i="1" s="1"/>
  <c r="AI212" i="1"/>
  <c r="T212" i="1" s="1"/>
  <c r="AI200" i="1"/>
  <c r="T200" i="1" s="1"/>
  <c r="AI188" i="1"/>
  <c r="T188" i="1" s="1"/>
  <c r="AH162" i="1"/>
  <c r="AJ162" i="1" s="1"/>
  <c r="AH150" i="1"/>
  <c r="AJ150" i="1" s="1"/>
  <c r="AH138" i="1"/>
  <c r="AJ138" i="1" s="1"/>
  <c r="AH126" i="1"/>
  <c r="AJ126" i="1" s="1"/>
  <c r="AH114" i="1"/>
  <c r="AJ114" i="1" s="1"/>
  <c r="AH102" i="1"/>
  <c r="AJ102" i="1" s="1"/>
  <c r="AH90" i="1"/>
  <c r="AJ90" i="1" s="1"/>
  <c r="AH78" i="1"/>
  <c r="AJ78" i="1" s="1"/>
  <c r="AH66" i="1"/>
  <c r="AJ66" i="1" s="1"/>
  <c r="AH54" i="1"/>
  <c r="AJ54" i="1" s="1"/>
  <c r="AH42" i="1"/>
  <c r="AJ42" i="1" s="1"/>
  <c r="AH30" i="1"/>
  <c r="AJ30" i="1" s="1"/>
  <c r="AH18" i="1"/>
  <c r="AJ18" i="1" s="1"/>
  <c r="AH197" i="1"/>
  <c r="AJ197" i="1" s="1"/>
  <c r="AH185" i="1"/>
  <c r="AJ185" i="1" s="1"/>
  <c r="AH173" i="1"/>
  <c r="AJ173" i="1" s="1"/>
  <c r="AH161" i="1"/>
  <c r="AJ161" i="1" s="1"/>
  <c r="AH149" i="1"/>
  <c r="AH137" i="1"/>
  <c r="AH125" i="1"/>
  <c r="AH113" i="1"/>
  <c r="AJ113" i="1" s="1"/>
  <c r="AH101" i="1"/>
  <c r="AH89" i="1"/>
  <c r="AJ89" i="1" s="1"/>
  <c r="AH77" i="1"/>
  <c r="AJ77" i="1" s="1"/>
  <c r="AH65" i="1"/>
  <c r="AJ65" i="1" s="1"/>
  <c r="AH53" i="1"/>
  <c r="AJ53" i="1" s="1"/>
  <c r="AH41" i="1"/>
  <c r="AJ41" i="1" s="1"/>
  <c r="AH29" i="1"/>
  <c r="AJ29" i="1" s="1"/>
  <c r="AH17" i="1"/>
  <c r="AH242" i="1"/>
  <c r="AJ242" i="1" s="1"/>
  <c r="AH230" i="1"/>
  <c r="AJ230" i="1" s="1"/>
  <c r="AH218" i="1"/>
  <c r="AJ218" i="1" s="1"/>
  <c r="AH206" i="1"/>
  <c r="AI206" i="1" s="1"/>
  <c r="AH194" i="1"/>
  <c r="AI194" i="1" s="1"/>
  <c r="AH182" i="1"/>
  <c r="AJ182" i="1" s="1"/>
  <c r="AH170" i="1"/>
  <c r="AI170" i="1" s="1"/>
  <c r="AH158" i="1"/>
  <c r="AJ158" i="1" s="1"/>
  <c r="AH146" i="1"/>
  <c r="AI146" i="1" s="1"/>
  <c r="AH134" i="1"/>
  <c r="AJ134" i="1" s="1"/>
  <c r="AH122" i="1"/>
  <c r="AI122" i="1" s="1"/>
  <c r="AH110" i="1"/>
  <c r="AJ110" i="1" s="1"/>
  <c r="AH98" i="1"/>
  <c r="AJ98" i="1" s="1"/>
  <c r="AH86" i="1"/>
  <c r="AJ86" i="1" s="1"/>
  <c r="AH74" i="1"/>
  <c r="AJ74" i="1" s="1"/>
  <c r="AH62" i="1"/>
  <c r="AJ62" i="1" s="1"/>
  <c r="AH50" i="1"/>
  <c r="AI50" i="1" s="1"/>
  <c r="AH38" i="1"/>
  <c r="AJ38" i="1" s="1"/>
  <c r="AH26" i="1"/>
  <c r="AJ26" i="1" s="1"/>
  <c r="AH14" i="1"/>
  <c r="AJ14" i="1" s="1"/>
  <c r="AI331" i="1"/>
  <c r="T331" i="1" s="1"/>
  <c r="AI319" i="1"/>
  <c r="T319" i="1" s="1"/>
  <c r="AI187" i="1"/>
  <c r="T187" i="1" s="1"/>
  <c r="AI175" i="1"/>
  <c r="T175" i="1" s="1"/>
  <c r="AI151" i="1"/>
  <c r="T151" i="1" s="1"/>
  <c r="AI43" i="1"/>
  <c r="T43" i="1" s="1"/>
  <c r="AI31" i="1"/>
  <c r="T31" i="1" s="1"/>
  <c r="AI7" i="1"/>
  <c r="T7" i="1" s="1"/>
  <c r="AH361" i="1"/>
  <c r="AJ361" i="1" s="1"/>
  <c r="AH349" i="1"/>
  <c r="AJ349" i="1" s="1"/>
  <c r="AH337" i="1"/>
  <c r="AJ337" i="1" s="1"/>
  <c r="AH325" i="1"/>
  <c r="AJ325" i="1" s="1"/>
  <c r="AH313" i="1"/>
  <c r="AJ313" i="1" s="1"/>
  <c r="AH301" i="1"/>
  <c r="AJ301" i="1" s="1"/>
  <c r="AH289" i="1"/>
  <c r="AJ289" i="1" s="1"/>
  <c r="AH277" i="1"/>
  <c r="AJ277" i="1" s="1"/>
  <c r="AH265" i="1"/>
  <c r="AJ265" i="1" s="1"/>
  <c r="AH253" i="1"/>
  <c r="AJ253" i="1" s="1"/>
  <c r="AH241" i="1"/>
  <c r="AJ241" i="1" s="1"/>
  <c r="AH229" i="1"/>
  <c r="AJ229" i="1" s="1"/>
  <c r="AH217" i="1"/>
  <c r="AJ217" i="1" s="1"/>
  <c r="AH205" i="1"/>
  <c r="AJ205" i="1" s="1"/>
  <c r="AH193" i="1"/>
  <c r="AJ193" i="1" s="1"/>
  <c r="AH181" i="1"/>
  <c r="AJ181" i="1" s="1"/>
  <c r="AH169" i="1"/>
  <c r="AJ169" i="1" s="1"/>
  <c r="AH157" i="1"/>
  <c r="AJ157" i="1" s="1"/>
  <c r="AH145" i="1"/>
  <c r="AJ145" i="1" s="1"/>
  <c r="AH133" i="1"/>
  <c r="AJ133" i="1" s="1"/>
  <c r="AH121" i="1"/>
  <c r="AJ121" i="1" s="1"/>
  <c r="AH109" i="1"/>
  <c r="AJ109" i="1" s="1"/>
  <c r="AH97" i="1"/>
  <c r="AJ97" i="1" s="1"/>
  <c r="AH85" i="1"/>
  <c r="AJ85" i="1" s="1"/>
  <c r="AH73" i="1"/>
  <c r="AJ73" i="1" s="1"/>
  <c r="AH61" i="1"/>
  <c r="AJ61" i="1" s="1"/>
  <c r="AH49" i="1"/>
  <c r="AJ49" i="1" s="1"/>
  <c r="AH37" i="1"/>
  <c r="AJ37" i="1" s="1"/>
  <c r="AH25" i="1"/>
  <c r="AJ25" i="1" s="1"/>
  <c r="AH13" i="1"/>
  <c r="AJ13" i="1" s="1"/>
  <c r="AI298" i="1"/>
  <c r="AI178" i="1"/>
  <c r="AI166" i="1"/>
  <c r="T166" i="1" s="1"/>
  <c r="AI22" i="1"/>
  <c r="T22" i="1" s="1"/>
  <c r="AI297" i="1"/>
  <c r="T297" i="1" s="1"/>
  <c r="AI285" i="1"/>
  <c r="T285" i="1" s="1"/>
  <c r="AI93" i="1"/>
  <c r="T93" i="1" s="1"/>
  <c r="AH360" i="1"/>
  <c r="AJ360" i="1" s="1"/>
  <c r="AH348" i="1"/>
  <c r="AJ348" i="1" s="1"/>
  <c r="AH336" i="1"/>
  <c r="AJ336" i="1" s="1"/>
  <c r="AH324" i="1"/>
  <c r="AJ324" i="1" s="1"/>
  <c r="AH312" i="1"/>
  <c r="AJ312" i="1" s="1"/>
  <c r="AH300" i="1"/>
  <c r="AJ300" i="1" s="1"/>
  <c r="AH288" i="1"/>
  <c r="AJ288" i="1" s="1"/>
  <c r="AH276" i="1"/>
  <c r="AJ276" i="1" s="1"/>
  <c r="AH264" i="1"/>
  <c r="AJ264" i="1" s="1"/>
  <c r="AH252" i="1"/>
  <c r="AJ252" i="1" s="1"/>
  <c r="AH240" i="1"/>
  <c r="AJ240" i="1" s="1"/>
  <c r="AH228" i="1"/>
  <c r="AJ228" i="1" s="1"/>
  <c r="AH216" i="1"/>
  <c r="AJ216" i="1" s="1"/>
  <c r="AH204" i="1"/>
  <c r="AJ204" i="1" s="1"/>
  <c r="AH192" i="1"/>
  <c r="AJ192" i="1" s="1"/>
  <c r="AH180" i="1"/>
  <c r="AJ180" i="1" s="1"/>
  <c r="AH168" i="1"/>
  <c r="AJ168" i="1" s="1"/>
  <c r="AH156" i="1"/>
  <c r="AJ156" i="1" s="1"/>
  <c r="AH144" i="1"/>
  <c r="AJ144" i="1" s="1"/>
  <c r="AH132" i="1"/>
  <c r="AJ132" i="1" s="1"/>
  <c r="AH120" i="1"/>
  <c r="AJ120" i="1" s="1"/>
  <c r="AH108" i="1"/>
  <c r="AJ108" i="1" s="1"/>
  <c r="AH96" i="1"/>
  <c r="AJ96" i="1" s="1"/>
  <c r="AH84" i="1"/>
  <c r="AJ84" i="1" s="1"/>
  <c r="AH72" i="1"/>
  <c r="AJ72" i="1" s="1"/>
  <c r="AH60" i="1"/>
  <c r="AJ60" i="1" s="1"/>
  <c r="AH48" i="1"/>
  <c r="AJ48" i="1" s="1"/>
  <c r="AH36" i="1"/>
  <c r="AJ36" i="1" s="1"/>
  <c r="AH24" i="1"/>
  <c r="AJ24" i="1" s="1"/>
  <c r="AH12" i="1"/>
  <c r="AJ12" i="1" s="1"/>
  <c r="T281" i="5" l="1"/>
  <c r="AK340" i="5"/>
  <c r="T115" i="5"/>
  <c r="T259" i="5"/>
  <c r="T26" i="5"/>
  <c r="T211" i="5"/>
  <c r="AI224" i="5"/>
  <c r="T41" i="5"/>
  <c r="AJ328" i="5"/>
  <c r="AK328" i="5" s="1"/>
  <c r="AJ260" i="5"/>
  <c r="AK260" i="5" s="1"/>
  <c r="AI64" i="5"/>
  <c r="T64" i="5" s="1"/>
  <c r="T172" i="5"/>
  <c r="AK115" i="5"/>
  <c r="AK259" i="5"/>
  <c r="T343" i="5"/>
  <c r="AJ91" i="5"/>
  <c r="AK91" i="5" s="1"/>
  <c r="T91" i="5" s="1"/>
  <c r="AJ235" i="5"/>
  <c r="AK235" i="5" s="1"/>
  <c r="AK236" i="5"/>
  <c r="T32" i="5"/>
  <c r="AK196" i="5"/>
  <c r="T305" i="5"/>
  <c r="AI92" i="5"/>
  <c r="T92" i="5" s="1"/>
  <c r="AI30" i="5"/>
  <c r="AJ340" i="5"/>
  <c r="AI196" i="5"/>
  <c r="T119" i="5"/>
  <c r="P8" i="5"/>
  <c r="AK368" i="5"/>
  <c r="T368" i="5" s="1"/>
  <c r="T332" i="5"/>
  <c r="AJ358" i="5"/>
  <c r="AK358" i="5" s="1"/>
  <c r="T28" i="5"/>
  <c r="T136" i="5"/>
  <c r="AI208" i="5"/>
  <c r="T208" i="5" s="1"/>
  <c r="AI328" i="5"/>
  <c r="AI42" i="5"/>
  <c r="T53" i="5"/>
  <c r="T197" i="5"/>
  <c r="T341" i="5"/>
  <c r="AJ352" i="5"/>
  <c r="AK352" i="5" s="1"/>
  <c r="T352" i="5" s="1"/>
  <c r="T185" i="5"/>
  <c r="T326" i="5"/>
  <c r="T212" i="5"/>
  <c r="AJ370" i="5"/>
  <c r="AK370" i="5" s="1"/>
  <c r="AK208" i="5"/>
  <c r="T149" i="5"/>
  <c r="T295" i="5"/>
  <c r="AK42" i="5"/>
  <c r="AI91" i="5"/>
  <c r="AI235" i="5"/>
  <c r="T65" i="5"/>
  <c r="T209" i="5"/>
  <c r="AJ184" i="5"/>
  <c r="AK184" i="5" s="1"/>
  <c r="T184" i="5" s="1"/>
  <c r="T250" i="5"/>
  <c r="AI236" i="5"/>
  <c r="T182" i="5"/>
  <c r="T195" i="5"/>
  <c r="T94" i="5"/>
  <c r="T62" i="5"/>
  <c r="AI40" i="5"/>
  <c r="AI340" i="5"/>
  <c r="AI54" i="5"/>
  <c r="T319" i="5"/>
  <c r="AI104" i="5"/>
  <c r="T104" i="5" s="1"/>
  <c r="T292" i="5"/>
  <c r="AI184" i="5"/>
  <c r="AJ368" i="5"/>
  <c r="T95" i="5"/>
  <c r="AK40" i="5"/>
  <c r="AI103" i="5"/>
  <c r="AI247" i="5"/>
  <c r="T113" i="5"/>
  <c r="T67" i="5"/>
  <c r="P9" i="5"/>
  <c r="P7" i="5"/>
  <c r="AI52" i="5"/>
  <c r="T52" i="5" s="1"/>
  <c r="AI364" i="5"/>
  <c r="AI248" i="5"/>
  <c r="T324" i="5"/>
  <c r="T15" i="5"/>
  <c r="T87" i="5"/>
  <c r="AK52" i="5"/>
  <c r="T43" i="5"/>
  <c r="T187" i="5"/>
  <c r="T59" i="5"/>
  <c r="T81" i="5"/>
  <c r="T82" i="5"/>
  <c r="T216" i="5"/>
  <c r="T334" i="5"/>
  <c r="AJ222" i="5"/>
  <c r="AK222" i="5" s="1"/>
  <c r="T222" i="5" s="1"/>
  <c r="T27" i="5"/>
  <c r="AI234" i="5"/>
  <c r="AJ234" i="5"/>
  <c r="AK234" i="5" s="1"/>
  <c r="AK364" i="5"/>
  <c r="T364" i="5" s="1"/>
  <c r="AI232" i="5"/>
  <c r="AI90" i="5"/>
  <c r="T90" i="5" s="1"/>
  <c r="T30" i="5"/>
  <c r="AJ246" i="5"/>
  <c r="AK246" i="5" s="1"/>
  <c r="T246" i="5" s="1"/>
  <c r="T204" i="5"/>
  <c r="AI76" i="5"/>
  <c r="T76" i="5" s="1"/>
  <c r="AI220" i="5"/>
  <c r="T257" i="5"/>
  <c r="T353" i="5"/>
  <c r="T256" i="5"/>
  <c r="AK76" i="5"/>
  <c r="AK220" i="5"/>
  <c r="T294" i="5"/>
  <c r="T269" i="5"/>
  <c r="AI88" i="5"/>
  <c r="AK232" i="5"/>
  <c r="AJ78" i="5"/>
  <c r="AK78" i="5" s="1"/>
  <c r="T70" i="5"/>
  <c r="T252" i="5"/>
  <c r="AK88" i="5"/>
  <c r="T244" i="5"/>
  <c r="AJ214" i="5"/>
  <c r="AK214" i="5" s="1"/>
  <c r="T181" i="5"/>
  <c r="T350" i="5"/>
  <c r="T100" i="5"/>
  <c r="T107" i="5"/>
  <c r="T124" i="5"/>
  <c r="T102" i="5"/>
  <c r="T337" i="5"/>
  <c r="T303" i="5"/>
  <c r="AI78" i="5"/>
  <c r="AI214" i="5"/>
  <c r="T349" i="5"/>
  <c r="T193" i="5"/>
  <c r="T16" i="5"/>
  <c r="T290" i="5"/>
  <c r="T362" i="5"/>
  <c r="T61" i="5"/>
  <c r="T133" i="5"/>
  <c r="T158" i="5"/>
  <c r="T230" i="5"/>
  <c r="T302" i="5"/>
  <c r="T171" i="5"/>
  <c r="T126" i="5"/>
  <c r="T198" i="5"/>
  <c r="T270" i="5"/>
  <c r="T355" i="5"/>
  <c r="T131" i="5"/>
  <c r="T301" i="5"/>
  <c r="T272" i="5"/>
  <c r="T178" i="5"/>
  <c r="AI138" i="5"/>
  <c r="T210" i="5"/>
  <c r="AI298" i="5"/>
  <c r="T298" i="5" s="1"/>
  <c r="T180" i="5"/>
  <c r="T157" i="5"/>
  <c r="T229" i="5"/>
  <c r="T313" i="5"/>
  <c r="T39" i="5"/>
  <c r="T111" i="5"/>
  <c r="T267" i="5"/>
  <c r="T262" i="5"/>
  <c r="T66" i="5"/>
  <c r="AK138" i="5"/>
  <c r="T366" i="5"/>
  <c r="T7" i="5"/>
  <c r="T79" i="5"/>
  <c r="T151" i="5"/>
  <c r="T223" i="5"/>
  <c r="T241" i="5"/>
  <c r="T264" i="5"/>
  <c r="AK150" i="5"/>
  <c r="AI19" i="5"/>
  <c r="T163" i="5"/>
  <c r="T279" i="5"/>
  <c r="AI162" i="5"/>
  <c r="AK19" i="5"/>
  <c r="AI142" i="5"/>
  <c r="AJ142" i="5"/>
  <c r="AK142" i="5" s="1"/>
  <c r="T360" i="5"/>
  <c r="T338" i="5"/>
  <c r="T23" i="5"/>
  <c r="T63" i="5"/>
  <c r="T219" i="5"/>
  <c r="AI18" i="5"/>
  <c r="T18" i="5" s="1"/>
  <c r="AK162" i="5"/>
  <c r="AI31" i="5"/>
  <c r="T31" i="5" s="1"/>
  <c r="T45" i="5"/>
  <c r="T238" i="5"/>
  <c r="T236" i="5"/>
  <c r="T289" i="5"/>
  <c r="T68" i="5"/>
  <c r="T183" i="5"/>
  <c r="T106" i="5"/>
  <c r="T40" i="5"/>
  <c r="T112" i="5"/>
  <c r="T268" i="5"/>
  <c r="T179" i="5"/>
  <c r="T114" i="5"/>
  <c r="T186" i="5"/>
  <c r="T258" i="5"/>
  <c r="T331" i="5"/>
  <c r="T141" i="5"/>
  <c r="T9" i="5"/>
  <c r="T335" i="5"/>
  <c r="T36" i="5"/>
  <c r="T108" i="5"/>
  <c r="T217" i="5"/>
  <c r="T134" i="5"/>
  <c r="T206" i="5"/>
  <c r="T278" i="5"/>
  <c r="T339" i="5"/>
  <c r="T152" i="5"/>
  <c r="T237" i="5"/>
  <c r="T239" i="5"/>
  <c r="T120" i="5"/>
  <c r="T192" i="5"/>
  <c r="T336" i="5"/>
  <c r="T11" i="5"/>
  <c r="T73" i="5"/>
  <c r="T176" i="5"/>
  <c r="T166" i="5"/>
  <c r="T74" i="5"/>
  <c r="T146" i="5"/>
  <c r="T218" i="5"/>
  <c r="T51" i="5"/>
  <c r="T207" i="5"/>
  <c r="T351" i="5"/>
  <c r="T58" i="5"/>
  <c r="T190" i="5"/>
  <c r="T54" i="5"/>
  <c r="T354" i="5"/>
  <c r="T191" i="5"/>
  <c r="T55" i="5"/>
  <c r="T127" i="5"/>
  <c r="T199" i="5"/>
  <c r="T271" i="5"/>
  <c r="T21" i="5"/>
  <c r="T93" i="5"/>
  <c r="T165" i="5"/>
  <c r="T321" i="5"/>
  <c r="T286" i="5"/>
  <c r="T143" i="5"/>
  <c r="T275" i="5"/>
  <c r="T347" i="5"/>
  <c r="T273" i="5"/>
  <c r="T248" i="5"/>
  <c r="T249" i="5"/>
  <c r="T80" i="5"/>
  <c r="T153" i="5"/>
  <c r="T48" i="5"/>
  <c r="T10" i="5"/>
  <c r="T60" i="5"/>
  <c r="T348" i="5"/>
  <c r="T138" i="5"/>
  <c r="T33" i="5"/>
  <c r="T105" i="5"/>
  <c r="T177" i="5"/>
  <c r="T140" i="5"/>
  <c r="T155" i="5"/>
  <c r="T287" i="5"/>
  <c r="T359" i="5"/>
  <c r="T333" i="5"/>
  <c r="AK6" i="5"/>
  <c r="T6" i="5" s="1"/>
  <c r="T132" i="5"/>
  <c r="T188" i="5"/>
  <c r="T276" i="5"/>
  <c r="T169" i="5"/>
  <c r="T325" i="5"/>
  <c r="T344" i="5"/>
  <c r="T14" i="5"/>
  <c r="T86" i="5"/>
  <c r="T147" i="5"/>
  <c r="T291" i="5"/>
  <c r="T363" i="5"/>
  <c r="T322" i="5"/>
  <c r="T148" i="5"/>
  <c r="T220" i="5"/>
  <c r="T304" i="5"/>
  <c r="T150" i="5"/>
  <c r="T263" i="5"/>
  <c r="T367" i="5"/>
  <c r="T261" i="5"/>
  <c r="T345" i="5"/>
  <c r="T296" i="5"/>
  <c r="T20" i="5"/>
  <c r="T144" i="5"/>
  <c r="T25" i="5"/>
  <c r="T97" i="5"/>
  <c r="T200" i="5"/>
  <c r="T260" i="5"/>
  <c r="T164" i="5"/>
  <c r="T117" i="5"/>
  <c r="T224" i="5"/>
  <c r="T154" i="5"/>
  <c r="T310" i="5"/>
  <c r="T167" i="5"/>
  <c r="T299" i="5"/>
  <c r="T371" i="5"/>
  <c r="T225" i="5"/>
  <c r="T72" i="5"/>
  <c r="T265" i="5"/>
  <c r="T202" i="5"/>
  <c r="T170" i="5"/>
  <c r="T314" i="5"/>
  <c r="T56" i="5"/>
  <c r="T159" i="5"/>
  <c r="T88" i="5"/>
  <c r="T160" i="5"/>
  <c r="T35" i="5"/>
  <c r="T306" i="5"/>
  <c r="T307" i="5"/>
  <c r="T346" i="5"/>
  <c r="T189" i="5"/>
  <c r="T357" i="5"/>
  <c r="T71" i="5"/>
  <c r="T156" i="5"/>
  <c r="T320" i="5"/>
  <c r="T57" i="5"/>
  <c r="T201" i="5"/>
  <c r="T285" i="5"/>
  <c r="T284" i="5"/>
  <c r="T358" i="5"/>
  <c r="T215" i="5"/>
  <c r="T311" i="5"/>
  <c r="T309" i="5"/>
  <c r="U7" i="5"/>
  <c r="U19" i="5"/>
  <c r="U31" i="5"/>
  <c r="U43" i="5"/>
  <c r="U55" i="5"/>
  <c r="U67" i="5"/>
  <c r="U79" i="5"/>
  <c r="U91" i="5"/>
  <c r="U103" i="5"/>
  <c r="U115" i="5"/>
  <c r="U127" i="5"/>
  <c r="U139" i="5"/>
  <c r="U151" i="5"/>
  <c r="U163" i="5"/>
  <c r="U175" i="5"/>
  <c r="U187" i="5"/>
  <c r="U199" i="5"/>
  <c r="U211" i="5"/>
  <c r="U223" i="5"/>
  <c r="U235" i="5"/>
  <c r="U247" i="5"/>
  <c r="U259" i="5"/>
  <c r="U271" i="5"/>
  <c r="U283" i="5"/>
  <c r="U295" i="5"/>
  <c r="U307" i="5"/>
  <c r="U319" i="5"/>
  <c r="U331" i="5"/>
  <c r="U343" i="5"/>
  <c r="U355" i="5"/>
  <c r="U367" i="5"/>
  <c r="U8" i="5"/>
  <c r="U20" i="5"/>
  <c r="U32" i="5"/>
  <c r="U44" i="5"/>
  <c r="U56" i="5"/>
  <c r="U68" i="5"/>
  <c r="U80" i="5"/>
  <c r="U92" i="5"/>
  <c r="U104" i="5"/>
  <c r="U116" i="5"/>
  <c r="U128" i="5"/>
  <c r="U140" i="5"/>
  <c r="U152" i="5"/>
  <c r="U164" i="5"/>
  <c r="U176" i="5"/>
  <c r="U188" i="5"/>
  <c r="U200" i="5"/>
  <c r="U212" i="5"/>
  <c r="U224" i="5"/>
  <c r="U236" i="5"/>
  <c r="U248" i="5"/>
  <c r="U260" i="5"/>
  <c r="U272" i="5"/>
  <c r="U284" i="5"/>
  <c r="U296" i="5"/>
  <c r="U308" i="5"/>
  <c r="U320" i="5"/>
  <c r="U332" i="5"/>
  <c r="U344" i="5"/>
  <c r="U356" i="5"/>
  <c r="U368" i="5"/>
  <c r="U9" i="5"/>
  <c r="U21" i="5"/>
  <c r="U33" i="5"/>
  <c r="U45" i="5"/>
  <c r="U57" i="5"/>
  <c r="U69" i="5"/>
  <c r="U81" i="5"/>
  <c r="U93" i="5"/>
  <c r="U105" i="5"/>
  <c r="U117" i="5"/>
  <c r="U129" i="5"/>
  <c r="U141" i="5"/>
  <c r="U153" i="5"/>
  <c r="U165" i="5"/>
  <c r="U177" i="5"/>
  <c r="U189" i="5"/>
  <c r="U201" i="5"/>
  <c r="U213" i="5"/>
  <c r="U225" i="5"/>
  <c r="U237" i="5"/>
  <c r="U249" i="5"/>
  <c r="U261" i="5"/>
  <c r="U273" i="5"/>
  <c r="U285" i="5"/>
  <c r="U297" i="5"/>
  <c r="U309" i="5"/>
  <c r="U321" i="5"/>
  <c r="U333" i="5"/>
  <c r="U345" i="5"/>
  <c r="U357" i="5"/>
  <c r="U369" i="5"/>
  <c r="U10" i="5"/>
  <c r="U22" i="5"/>
  <c r="U34" i="5"/>
  <c r="U46" i="5"/>
  <c r="U58" i="5"/>
  <c r="U70" i="5"/>
  <c r="U82" i="5"/>
  <c r="U94" i="5"/>
  <c r="U106" i="5"/>
  <c r="U118" i="5"/>
  <c r="U130" i="5"/>
  <c r="U142" i="5"/>
  <c r="U154" i="5"/>
  <c r="U166" i="5"/>
  <c r="U178" i="5"/>
  <c r="U190" i="5"/>
  <c r="U202" i="5"/>
  <c r="U214" i="5"/>
  <c r="U226" i="5"/>
  <c r="U238" i="5"/>
  <c r="U250" i="5"/>
  <c r="U262" i="5"/>
  <c r="U274" i="5"/>
  <c r="U286" i="5"/>
  <c r="U298" i="5"/>
  <c r="U310" i="5"/>
  <c r="U322" i="5"/>
  <c r="U334" i="5"/>
  <c r="U346" i="5"/>
  <c r="U358" i="5"/>
  <c r="U370" i="5"/>
  <c r="U11" i="5"/>
  <c r="U23" i="5"/>
  <c r="U35" i="5"/>
  <c r="U47" i="5"/>
  <c r="U59" i="5"/>
  <c r="U71" i="5"/>
  <c r="U83" i="5"/>
  <c r="U95" i="5"/>
  <c r="U107" i="5"/>
  <c r="U119" i="5"/>
  <c r="U131" i="5"/>
  <c r="U143" i="5"/>
  <c r="U155" i="5"/>
  <c r="U167" i="5"/>
  <c r="U179" i="5"/>
  <c r="U191" i="5"/>
  <c r="U203" i="5"/>
  <c r="U215" i="5"/>
  <c r="U227" i="5"/>
  <c r="U239" i="5"/>
  <c r="U251" i="5"/>
  <c r="U263" i="5"/>
  <c r="U275" i="5"/>
  <c r="U287" i="5"/>
  <c r="U299" i="5"/>
  <c r="U311" i="5"/>
  <c r="U323" i="5"/>
  <c r="U335" i="5"/>
  <c r="U347" i="5"/>
  <c r="U359" i="5"/>
  <c r="U371" i="5"/>
  <c r="U12" i="5"/>
  <c r="U24" i="5"/>
  <c r="U36" i="5"/>
  <c r="U48" i="5"/>
  <c r="U60" i="5"/>
  <c r="U72" i="5"/>
  <c r="U84" i="5"/>
  <c r="U96" i="5"/>
  <c r="U108" i="5"/>
  <c r="U120" i="5"/>
  <c r="U132" i="5"/>
  <c r="U144" i="5"/>
  <c r="U156" i="5"/>
  <c r="U168" i="5"/>
  <c r="U180" i="5"/>
  <c r="U192" i="5"/>
  <c r="U204" i="5"/>
  <c r="U216" i="5"/>
  <c r="U228" i="5"/>
  <c r="U240" i="5"/>
  <c r="U252" i="5"/>
  <c r="U264" i="5"/>
  <c r="U276" i="5"/>
  <c r="U288" i="5"/>
  <c r="U300" i="5"/>
  <c r="U312" i="5"/>
  <c r="U324" i="5"/>
  <c r="U336" i="5"/>
  <c r="U348" i="5"/>
  <c r="U360" i="5"/>
  <c r="U6" i="5"/>
  <c r="U13" i="5"/>
  <c r="U25" i="5"/>
  <c r="U37" i="5"/>
  <c r="U49" i="5"/>
  <c r="U61" i="5"/>
  <c r="U73" i="5"/>
  <c r="U85" i="5"/>
  <c r="U97" i="5"/>
  <c r="U109" i="5"/>
  <c r="U121" i="5"/>
  <c r="U133" i="5"/>
  <c r="U145" i="5"/>
  <c r="U157" i="5"/>
  <c r="U169" i="5"/>
  <c r="U181" i="5"/>
  <c r="U193" i="5"/>
  <c r="U205" i="5"/>
  <c r="U217" i="5"/>
  <c r="U229" i="5"/>
  <c r="U241" i="5"/>
  <c r="U253" i="5"/>
  <c r="U265" i="5"/>
  <c r="U277" i="5"/>
  <c r="U289" i="5"/>
  <c r="U301" i="5"/>
  <c r="U313" i="5"/>
  <c r="U325" i="5"/>
  <c r="U337" i="5"/>
  <c r="U349" i="5"/>
  <c r="U361" i="5"/>
  <c r="U14" i="5"/>
  <c r="U26" i="5"/>
  <c r="U38" i="5"/>
  <c r="U50" i="5"/>
  <c r="U62" i="5"/>
  <c r="U74" i="5"/>
  <c r="U86" i="5"/>
  <c r="U98" i="5"/>
  <c r="U110" i="5"/>
  <c r="U122" i="5"/>
  <c r="U134" i="5"/>
  <c r="U146" i="5"/>
  <c r="U158" i="5"/>
  <c r="U170" i="5"/>
  <c r="U182" i="5"/>
  <c r="U194" i="5"/>
  <c r="U206" i="5"/>
  <c r="U218" i="5"/>
  <c r="U230" i="5"/>
  <c r="U242" i="5"/>
  <c r="U254" i="5"/>
  <c r="U266" i="5"/>
  <c r="U278" i="5"/>
  <c r="U290" i="5"/>
  <c r="U302" i="5"/>
  <c r="U314" i="5"/>
  <c r="U326" i="5"/>
  <c r="U338" i="5"/>
  <c r="U350" i="5"/>
  <c r="U362" i="5"/>
  <c r="U18" i="5"/>
  <c r="U30" i="5"/>
  <c r="U42" i="5"/>
  <c r="U54" i="5"/>
  <c r="U66" i="5"/>
  <c r="U78" i="5"/>
  <c r="U90" i="5"/>
  <c r="U102" i="5"/>
  <c r="U114" i="5"/>
  <c r="U126" i="5"/>
  <c r="U138" i="5"/>
  <c r="U150" i="5"/>
  <c r="U162" i="5"/>
  <c r="U174" i="5"/>
  <c r="U186" i="5"/>
  <c r="U198" i="5"/>
  <c r="U210" i="5"/>
  <c r="U222" i="5"/>
  <c r="U234" i="5"/>
  <c r="U246" i="5"/>
  <c r="U258" i="5"/>
  <c r="U270" i="5"/>
  <c r="U282" i="5"/>
  <c r="U294" i="5"/>
  <c r="U306" i="5"/>
  <c r="U318" i="5"/>
  <c r="U330" i="5"/>
  <c r="U342" i="5"/>
  <c r="U354" i="5"/>
  <c r="U366" i="5"/>
  <c r="U15" i="5"/>
  <c r="U63" i="5"/>
  <c r="U111" i="5"/>
  <c r="U159" i="5"/>
  <c r="U207" i="5"/>
  <c r="U255" i="5"/>
  <c r="U303" i="5"/>
  <c r="U351" i="5"/>
  <c r="U16" i="5"/>
  <c r="U64" i="5"/>
  <c r="U112" i="5"/>
  <c r="U160" i="5"/>
  <c r="U208" i="5"/>
  <c r="U256" i="5"/>
  <c r="U304" i="5"/>
  <c r="U352" i="5"/>
  <c r="U17" i="5"/>
  <c r="U65" i="5"/>
  <c r="U113" i="5"/>
  <c r="U161" i="5"/>
  <c r="U209" i="5"/>
  <c r="U257" i="5"/>
  <c r="U305" i="5"/>
  <c r="U353" i="5"/>
  <c r="U27" i="5"/>
  <c r="U75" i="5"/>
  <c r="U123" i="5"/>
  <c r="U171" i="5"/>
  <c r="U219" i="5"/>
  <c r="U267" i="5"/>
  <c r="U315" i="5"/>
  <c r="U363" i="5"/>
  <c r="U28" i="5"/>
  <c r="U76" i="5"/>
  <c r="U124" i="5"/>
  <c r="U172" i="5"/>
  <c r="U220" i="5"/>
  <c r="U268" i="5"/>
  <c r="U316" i="5"/>
  <c r="U364" i="5"/>
  <c r="U29" i="5"/>
  <c r="U77" i="5"/>
  <c r="U125" i="5"/>
  <c r="U173" i="5"/>
  <c r="U221" i="5"/>
  <c r="U269" i="5"/>
  <c r="U317" i="5"/>
  <c r="U365" i="5"/>
  <c r="U39" i="5"/>
  <c r="U87" i="5"/>
  <c r="U135" i="5"/>
  <c r="U183" i="5"/>
  <c r="U231" i="5"/>
  <c r="U279" i="5"/>
  <c r="U327" i="5"/>
  <c r="U40" i="5"/>
  <c r="U88" i="5"/>
  <c r="U136" i="5"/>
  <c r="U184" i="5"/>
  <c r="U232" i="5"/>
  <c r="U280" i="5"/>
  <c r="U328" i="5"/>
  <c r="U41" i="5"/>
  <c r="U89" i="5"/>
  <c r="U137" i="5"/>
  <c r="U185" i="5"/>
  <c r="U233" i="5"/>
  <c r="U281" i="5"/>
  <c r="U329" i="5"/>
  <c r="U51" i="5"/>
  <c r="U99" i="5"/>
  <c r="U147" i="5"/>
  <c r="U195" i="5"/>
  <c r="U243" i="5"/>
  <c r="U291" i="5"/>
  <c r="U339" i="5"/>
  <c r="U53" i="5"/>
  <c r="U101" i="5"/>
  <c r="U149" i="5"/>
  <c r="U197" i="5"/>
  <c r="U245" i="5"/>
  <c r="U293" i="5"/>
  <c r="U341" i="5"/>
  <c r="U52" i="5"/>
  <c r="U100" i="5"/>
  <c r="U148" i="5"/>
  <c r="U196" i="5"/>
  <c r="U244" i="5"/>
  <c r="U292" i="5"/>
  <c r="U340" i="5"/>
  <c r="T12" i="5"/>
  <c r="T84" i="5"/>
  <c r="T228" i="5"/>
  <c r="T128" i="5"/>
  <c r="T8" i="5"/>
  <c r="T369" i="5"/>
  <c r="T38" i="5"/>
  <c r="T110" i="5"/>
  <c r="T116" i="5"/>
  <c r="T315" i="5"/>
  <c r="T34" i="5"/>
  <c r="T318" i="5"/>
  <c r="T44" i="5"/>
  <c r="T83" i="5"/>
  <c r="T24" i="5"/>
  <c r="T96" i="5"/>
  <c r="T168" i="5"/>
  <c r="T240" i="5"/>
  <c r="T312" i="5"/>
  <c r="T308" i="5"/>
  <c r="T49" i="5"/>
  <c r="T121" i="5"/>
  <c r="T205" i="5"/>
  <c r="T361" i="5"/>
  <c r="T22" i="5"/>
  <c r="T50" i="5"/>
  <c r="T122" i="5"/>
  <c r="T194" i="5"/>
  <c r="T266" i="5"/>
  <c r="T99" i="5"/>
  <c r="T255" i="5"/>
  <c r="T327" i="5"/>
  <c r="T340" i="5"/>
  <c r="T46" i="5"/>
  <c r="T174" i="5"/>
  <c r="T330" i="5"/>
  <c r="T47" i="5"/>
  <c r="T103" i="5"/>
  <c r="T175" i="5"/>
  <c r="T247" i="5"/>
  <c r="T203" i="5"/>
  <c r="T69" i="5"/>
  <c r="T213" i="5"/>
  <c r="T297" i="5"/>
  <c r="T130" i="5"/>
  <c r="T356" i="5"/>
  <c r="T226" i="5"/>
  <c r="T370" i="5"/>
  <c r="T227" i="5"/>
  <c r="T323" i="5"/>
  <c r="O1" i="5"/>
  <c r="T164" i="1"/>
  <c r="AI272" i="1"/>
  <c r="T272" i="1" s="1"/>
  <c r="T75" i="1"/>
  <c r="T189" i="1"/>
  <c r="T347" i="1"/>
  <c r="T105" i="1"/>
  <c r="AI310" i="1"/>
  <c r="T310" i="1" s="1"/>
  <c r="AI203" i="1"/>
  <c r="AI91" i="1"/>
  <c r="T91" i="1" s="1"/>
  <c r="AI235" i="1"/>
  <c r="T235" i="1" s="1"/>
  <c r="AI295" i="1"/>
  <c r="T295" i="1" s="1"/>
  <c r="AI123" i="1"/>
  <c r="T123" i="1" s="1"/>
  <c r="AI267" i="1"/>
  <c r="AI246" i="1"/>
  <c r="T246" i="1" s="1"/>
  <c r="AI46" i="1"/>
  <c r="T46" i="1" s="1"/>
  <c r="AI183" i="1"/>
  <c r="AI190" i="1"/>
  <c r="T190" i="1" s="1"/>
  <c r="AI117" i="1"/>
  <c r="T117" i="1" s="1"/>
  <c r="AI107" i="1"/>
  <c r="T107" i="1" s="1"/>
  <c r="AK281" i="1"/>
  <c r="AI119" i="1"/>
  <c r="T119" i="1" s="1"/>
  <c r="AI327" i="1"/>
  <c r="AI321" i="1"/>
  <c r="T321" i="1" s="1"/>
  <c r="AI263" i="1"/>
  <c r="T263" i="1" s="1"/>
  <c r="AJ248" i="1"/>
  <c r="AK248" i="1" s="1"/>
  <c r="T248" i="1" s="1"/>
  <c r="AI186" i="1"/>
  <c r="T186" i="1" s="1"/>
  <c r="AI237" i="1"/>
  <c r="T237" i="1" s="1"/>
  <c r="AI284" i="1"/>
  <c r="T284" i="1" s="1"/>
  <c r="AI225" i="1"/>
  <c r="T225" i="1" s="1"/>
  <c r="AI215" i="1"/>
  <c r="T215" i="1" s="1"/>
  <c r="AI251" i="1"/>
  <c r="T251" i="1" s="1"/>
  <c r="AI291" i="1"/>
  <c r="T291" i="1" s="1"/>
  <c r="AI330" i="1"/>
  <c r="T330" i="1" s="1"/>
  <c r="AI279" i="1"/>
  <c r="T279" i="1" s="1"/>
  <c r="AI128" i="1"/>
  <c r="T128" i="1" s="1"/>
  <c r="AK269" i="1"/>
  <c r="AJ260" i="1"/>
  <c r="AK260" i="1" s="1"/>
  <c r="T260" i="1" s="1"/>
  <c r="AI92" i="1"/>
  <c r="T92" i="1" s="1"/>
  <c r="AI262" i="1"/>
  <c r="T262" i="1" s="1"/>
  <c r="AK257" i="1"/>
  <c r="AJ258" i="1"/>
  <c r="AI236" i="1"/>
  <c r="T236" i="1" s="1"/>
  <c r="AK233" i="1"/>
  <c r="AI368" i="1"/>
  <c r="T368" i="1" s="1"/>
  <c r="AI274" i="1"/>
  <c r="T274" i="1" s="1"/>
  <c r="AI283" i="1"/>
  <c r="T283" i="1" s="1"/>
  <c r="AI124" i="1"/>
  <c r="AI282" i="1"/>
  <c r="T282" i="1" s="1"/>
  <c r="AI271" i="1"/>
  <c r="T271" i="1" s="1"/>
  <c r="AI224" i="1"/>
  <c r="T224" i="1" s="1"/>
  <c r="AC11" i="1"/>
  <c r="AI357" i="1"/>
  <c r="T357" i="1" s="1"/>
  <c r="AK293" i="1"/>
  <c r="AI358" i="1"/>
  <c r="T358" i="1" s="1"/>
  <c r="AI222" i="1"/>
  <c r="T222" i="1" s="1"/>
  <c r="AI345" i="1"/>
  <c r="T345" i="1" s="1"/>
  <c r="AI350" i="1"/>
  <c r="AI139" i="1"/>
  <c r="T139" i="1" s="1"/>
  <c r="AI104" i="1"/>
  <c r="T104" i="1" s="1"/>
  <c r="AI154" i="1"/>
  <c r="T154" i="1" s="1"/>
  <c r="AI52" i="1"/>
  <c r="AI127" i="1"/>
  <c r="T127" i="1" s="1"/>
  <c r="AI307" i="1"/>
  <c r="T307" i="1" s="1"/>
  <c r="AJ177" i="1"/>
  <c r="AK177" i="1" s="1"/>
  <c r="T177" i="1" s="1"/>
  <c r="AJ163" i="1"/>
  <c r="AK163" i="1" s="1"/>
  <c r="AI99" i="1"/>
  <c r="AI106" i="1"/>
  <c r="T106" i="1" s="1"/>
  <c r="AI111" i="1"/>
  <c r="T111" i="1" s="1"/>
  <c r="AI196" i="1"/>
  <c r="AI81" i="1"/>
  <c r="T81" i="1" s="1"/>
  <c r="AI135" i="1"/>
  <c r="T135" i="1" s="1"/>
  <c r="AI280" i="1"/>
  <c r="T280" i="1" s="1"/>
  <c r="AI56" i="1"/>
  <c r="T56" i="1" s="1"/>
  <c r="AI21" i="1"/>
  <c r="T21" i="1" s="1"/>
  <c r="AI33" i="1"/>
  <c r="T33" i="1" s="1"/>
  <c r="AI163" i="1"/>
  <c r="T163" i="1" s="1"/>
  <c r="AI369" i="1"/>
  <c r="T369" i="1" s="1"/>
  <c r="AI147" i="1"/>
  <c r="T147" i="1" s="1"/>
  <c r="AI68" i="1"/>
  <c r="T68" i="1" s="1"/>
  <c r="AI103" i="1"/>
  <c r="T103" i="1" s="1"/>
  <c r="AI115" i="1"/>
  <c r="T115" i="1" s="1"/>
  <c r="AI136" i="1"/>
  <c r="AK258" i="1"/>
  <c r="T258" i="1" s="1"/>
  <c r="AI165" i="1"/>
  <c r="T165" i="1" s="1"/>
  <c r="AI255" i="1"/>
  <c r="T255" i="1" s="1"/>
  <c r="AI247" i="1"/>
  <c r="T247" i="1" s="1"/>
  <c r="AI94" i="1"/>
  <c r="T94" i="1" s="1"/>
  <c r="AI10" i="1"/>
  <c r="T10" i="1" s="1"/>
  <c r="AI286" i="1"/>
  <c r="T286" i="1" s="1"/>
  <c r="AI19" i="1"/>
  <c r="T19" i="1" s="1"/>
  <c r="AI259" i="1"/>
  <c r="T259" i="1" s="1"/>
  <c r="AI141" i="1"/>
  <c r="T141" i="1" s="1"/>
  <c r="AI322" i="1"/>
  <c r="T322" i="1" s="1"/>
  <c r="AI153" i="1"/>
  <c r="T153" i="1" s="1"/>
  <c r="AK305" i="1"/>
  <c r="AK317" i="1"/>
  <c r="AI294" i="1"/>
  <c r="T294" i="1" s="1"/>
  <c r="AI129" i="1"/>
  <c r="AI346" i="1"/>
  <c r="T346" i="1" s="1"/>
  <c r="AI202" i="1"/>
  <c r="T202" i="1" s="1"/>
  <c r="AI35" i="1"/>
  <c r="T35" i="1" s="1"/>
  <c r="AI340" i="1"/>
  <c r="AI214" i="1"/>
  <c r="T214" i="1" s="1"/>
  <c r="AI243" i="1"/>
  <c r="AI65" i="1"/>
  <c r="AK329" i="1"/>
  <c r="AI306" i="1"/>
  <c r="T306" i="1" s="1"/>
  <c r="AJ174" i="1"/>
  <c r="AK174" i="1" s="1"/>
  <c r="T174" i="1" s="1"/>
  <c r="AI305" i="1"/>
  <c r="T305" i="1" s="1"/>
  <c r="AI9" i="1"/>
  <c r="T9" i="1" s="1"/>
  <c r="AI58" i="1"/>
  <c r="T58" i="1" s="1"/>
  <c r="AI230" i="1"/>
  <c r="AI317" i="1"/>
  <c r="AI318" i="1"/>
  <c r="AI226" i="1"/>
  <c r="T226" i="1" s="1"/>
  <c r="AK318" i="1"/>
  <c r="AI329" i="1"/>
  <c r="AJ198" i="1"/>
  <c r="AK198" i="1" s="1"/>
  <c r="T198" i="1" s="1"/>
  <c r="AI334" i="1"/>
  <c r="T334" i="1" s="1"/>
  <c r="AI82" i="1"/>
  <c r="T82" i="1" s="1"/>
  <c r="AI44" i="1"/>
  <c r="T44" i="1" s="1"/>
  <c r="AI261" i="1"/>
  <c r="T261" i="1" s="1"/>
  <c r="AJ79" i="1"/>
  <c r="AK79" i="1" s="1"/>
  <c r="T79" i="1" s="1"/>
  <c r="AI273" i="1"/>
  <c r="T273" i="1" s="1"/>
  <c r="AI67" i="1"/>
  <c r="T67" i="1" s="1"/>
  <c r="AI211" i="1"/>
  <c r="T211" i="1" s="1"/>
  <c r="AI355" i="1"/>
  <c r="AJ232" i="1"/>
  <c r="AK232" i="1" s="1"/>
  <c r="T232" i="1" s="1"/>
  <c r="AJ342" i="1"/>
  <c r="AK342" i="1" s="1"/>
  <c r="T342" i="1" s="1"/>
  <c r="AJ223" i="1"/>
  <c r="AK223" i="1" s="1"/>
  <c r="T223" i="1" s="1"/>
  <c r="AI249" i="1"/>
  <c r="T249" i="1" s="1"/>
  <c r="AI367" i="1"/>
  <c r="T367" i="1" s="1"/>
  <c r="AJ354" i="1"/>
  <c r="AK354" i="1" s="1"/>
  <c r="T354" i="1" s="1"/>
  <c r="AJ343" i="1"/>
  <c r="AK343" i="1" s="1"/>
  <c r="T343" i="1" s="1"/>
  <c r="AJ366" i="1"/>
  <c r="AK366" i="1" s="1"/>
  <c r="T366" i="1" s="1"/>
  <c r="AI55" i="1"/>
  <c r="AI351" i="1"/>
  <c r="T351" i="1" s="1"/>
  <c r="AI161" i="1"/>
  <c r="AJ67" i="1"/>
  <c r="AK67" i="1" s="1"/>
  <c r="AI199" i="1"/>
  <c r="T199" i="1" s="1"/>
  <c r="AI363" i="1"/>
  <c r="T363" i="1" s="1"/>
  <c r="AI304" i="1"/>
  <c r="T304" i="1" s="1"/>
  <c r="AI16" i="1"/>
  <c r="T16" i="1" s="1"/>
  <c r="AI293" i="1"/>
  <c r="T293" i="1" s="1"/>
  <c r="AI250" i="1"/>
  <c r="T250" i="1" s="1"/>
  <c r="AJ80" i="1"/>
  <c r="AK80" i="1" s="1"/>
  <c r="T80" i="1" s="1"/>
  <c r="AJ210" i="1"/>
  <c r="AK210" i="1" s="1"/>
  <c r="T210" i="1" s="1"/>
  <c r="AI370" i="1"/>
  <c r="T370" i="1" s="1"/>
  <c r="AI118" i="1"/>
  <c r="T118" i="1" s="1"/>
  <c r="AI45" i="1"/>
  <c r="T45" i="1" s="1"/>
  <c r="AI201" i="1"/>
  <c r="T201" i="1" s="1"/>
  <c r="AI130" i="1"/>
  <c r="T130" i="1" s="1"/>
  <c r="AI74" i="1"/>
  <c r="AJ55" i="1"/>
  <c r="AK55" i="1" s="1"/>
  <c r="AJ355" i="1"/>
  <c r="AK355" i="1" s="1"/>
  <c r="AJ199" i="1"/>
  <c r="AK199" i="1" s="1"/>
  <c r="AI57" i="1"/>
  <c r="T57" i="1" s="1"/>
  <c r="AI213" i="1"/>
  <c r="T213" i="1" s="1"/>
  <c r="AI142" i="1"/>
  <c r="T142" i="1" s="1"/>
  <c r="AJ194" i="1"/>
  <c r="AI269" i="1"/>
  <c r="T269" i="1" s="1"/>
  <c r="AI69" i="1"/>
  <c r="T69" i="1" s="1"/>
  <c r="AI160" i="1"/>
  <c r="AK211" i="1"/>
  <c r="AJ171" i="1"/>
  <c r="AK171" i="1" s="1"/>
  <c r="T171" i="1" s="1"/>
  <c r="AI328" i="1"/>
  <c r="T328" i="1" s="1"/>
  <c r="AK221" i="1"/>
  <c r="AJ206" i="1"/>
  <c r="AK206" i="1" s="1"/>
  <c r="T206" i="1" s="1"/>
  <c r="AJ244" i="1"/>
  <c r="AK244" i="1" s="1"/>
  <c r="T244" i="1" s="1"/>
  <c r="AJ189" i="1"/>
  <c r="AK189" i="1" s="1"/>
  <c r="AJ333" i="1"/>
  <c r="AK333" i="1" s="1"/>
  <c r="T333" i="1" s="1"/>
  <c r="AJ34" i="1"/>
  <c r="AK34" i="1" s="1"/>
  <c r="T34" i="1" s="1"/>
  <c r="AJ178" i="1"/>
  <c r="AK178" i="1" s="1"/>
  <c r="T178" i="1" s="1"/>
  <c r="AI40" i="1"/>
  <c r="AJ364" i="1"/>
  <c r="AK364" i="1" s="1"/>
  <c r="T364" i="1" s="1"/>
  <c r="AJ116" i="1"/>
  <c r="AK116" i="1" s="1"/>
  <c r="T116" i="1" s="1"/>
  <c r="AI309" i="1"/>
  <c r="AJ338" i="1"/>
  <c r="AK338" i="1" s="1"/>
  <c r="T338" i="1" s="1"/>
  <c r="AJ315" i="1"/>
  <c r="AJ70" i="1"/>
  <c r="AK70" i="1" s="1"/>
  <c r="T70" i="1" s="1"/>
  <c r="AI275" i="1"/>
  <c r="T275" i="1" s="1"/>
  <c r="AI140" i="1"/>
  <c r="AJ140" i="1"/>
  <c r="AK140" i="1" s="1"/>
  <c r="AI238" i="1"/>
  <c r="AI287" i="1"/>
  <c r="T287" i="1" s="1"/>
  <c r="AI148" i="1"/>
  <c r="AI281" i="1"/>
  <c r="T281" i="1" s="1"/>
  <c r="AI8" i="1"/>
  <c r="T8" i="1" s="1"/>
  <c r="AI152" i="1"/>
  <c r="T152" i="1" s="1"/>
  <c r="AK129" i="1"/>
  <c r="AK298" i="1"/>
  <c r="T298" i="1" s="1"/>
  <c r="AI257" i="1"/>
  <c r="T257" i="1" s="1"/>
  <c r="AJ105" i="1"/>
  <c r="AK105" i="1" s="1"/>
  <c r="AJ238" i="1"/>
  <c r="AK238" i="1" s="1"/>
  <c r="AJ131" i="1"/>
  <c r="AK131" i="1" s="1"/>
  <c r="AJ20" i="1"/>
  <c r="AK20" i="1" s="1"/>
  <c r="T20" i="1" s="1"/>
  <c r="AJ164" i="1"/>
  <c r="AK164" i="1" s="1"/>
  <c r="AI184" i="1"/>
  <c r="AJ50" i="1"/>
  <c r="AK50" i="1" s="1"/>
  <c r="T50" i="1" s="1"/>
  <c r="AJ27" i="1"/>
  <c r="AK27" i="1" s="1"/>
  <c r="AJ32" i="1"/>
  <c r="AK32" i="1" s="1"/>
  <c r="T32" i="1" s="1"/>
  <c r="AJ176" i="1"/>
  <c r="AK176" i="1" s="1"/>
  <c r="T176" i="1" s="1"/>
  <c r="AK309" i="1"/>
  <c r="AI131" i="1"/>
  <c r="AK365" i="1"/>
  <c r="AJ143" i="1"/>
  <c r="AK143" i="1" s="1"/>
  <c r="T143" i="1" s="1"/>
  <c r="AJ220" i="1"/>
  <c r="AK220" i="1" s="1"/>
  <c r="T220" i="1" s="1"/>
  <c r="AI29" i="1"/>
  <c r="AK245" i="1"/>
  <c r="AK39" i="1"/>
  <c r="AK183" i="1"/>
  <c r="AK327" i="1"/>
  <c r="AJ155" i="1"/>
  <c r="AK155" i="1" s="1"/>
  <c r="T155" i="1" s="1"/>
  <c r="AJ88" i="1"/>
  <c r="AK88" i="1" s="1"/>
  <c r="T88" i="1" s="1"/>
  <c r="AJ64" i="1"/>
  <c r="AK64" i="1" s="1"/>
  <c r="T64" i="1" s="1"/>
  <c r="AI23" i="1"/>
  <c r="T23" i="1" s="1"/>
  <c r="AI53" i="1"/>
  <c r="AJ63" i="1"/>
  <c r="AK63" i="1" s="1"/>
  <c r="T63" i="1" s="1"/>
  <c r="AJ179" i="1"/>
  <c r="AK179" i="1" s="1"/>
  <c r="T179" i="1" s="1"/>
  <c r="AJ100" i="1"/>
  <c r="AK100" i="1" s="1"/>
  <c r="T100" i="1" s="1"/>
  <c r="AJ191" i="1"/>
  <c r="AK191" i="1" s="1"/>
  <c r="AJ47" i="1"/>
  <c r="AK47" i="1" s="1"/>
  <c r="AJ75" i="1"/>
  <c r="AK75" i="1" s="1"/>
  <c r="AJ219" i="1"/>
  <c r="AK219" i="1" s="1"/>
  <c r="T219" i="1" s="1"/>
  <c r="AJ112" i="1"/>
  <c r="AK112" i="1" s="1"/>
  <c r="T112" i="1" s="1"/>
  <c r="AJ268" i="1"/>
  <c r="AK268" i="1" s="1"/>
  <c r="T268" i="1" s="1"/>
  <c r="AJ299" i="1"/>
  <c r="AK299" i="1" s="1"/>
  <c r="AK363" i="1"/>
  <c r="AJ71" i="1"/>
  <c r="AK71" i="1" s="1"/>
  <c r="T71" i="1" s="1"/>
  <c r="AJ87" i="1"/>
  <c r="AK87" i="1" s="1"/>
  <c r="T87" i="1" s="1"/>
  <c r="AJ231" i="1"/>
  <c r="AK231" i="1" s="1"/>
  <c r="T231" i="1" s="1"/>
  <c r="AJ311" i="1"/>
  <c r="AK311" i="1" s="1"/>
  <c r="T311" i="1" s="1"/>
  <c r="AK207" i="1"/>
  <c r="AI77" i="1"/>
  <c r="AI26" i="1"/>
  <c r="T26" i="1" s="1"/>
  <c r="AI27" i="1"/>
  <c r="T27" i="1" s="1"/>
  <c r="AI207" i="1"/>
  <c r="AI208" i="1"/>
  <c r="AI89" i="1"/>
  <c r="T89" i="1" s="1"/>
  <c r="AI353" i="1"/>
  <c r="AI101" i="1"/>
  <c r="AJ101" i="1"/>
  <c r="AK101" i="1" s="1"/>
  <c r="AK83" i="1"/>
  <c r="AJ122" i="1"/>
  <c r="AK122" i="1" s="1"/>
  <c r="T122" i="1" s="1"/>
  <c r="AJ292" i="1"/>
  <c r="AK292" i="1" s="1"/>
  <c r="T292" i="1" s="1"/>
  <c r="AJ95" i="1"/>
  <c r="AK95" i="1" s="1"/>
  <c r="T95" i="1" s="1"/>
  <c r="AJ323" i="1"/>
  <c r="AK323" i="1" s="1"/>
  <c r="T323" i="1" s="1"/>
  <c r="AK266" i="1"/>
  <c r="AI39" i="1"/>
  <c r="AK239" i="1"/>
  <c r="AK99" i="1"/>
  <c r="AK243" i="1"/>
  <c r="AJ278" i="1"/>
  <c r="AK278" i="1" s="1"/>
  <c r="T278" i="1" s="1"/>
  <c r="AJ167" i="1"/>
  <c r="AK167" i="1" s="1"/>
  <c r="T167" i="1" s="1"/>
  <c r="AJ335" i="1"/>
  <c r="AK335" i="1" s="1"/>
  <c r="AI209" i="1"/>
  <c r="AI125" i="1"/>
  <c r="AJ125" i="1"/>
  <c r="AK125" i="1" s="1"/>
  <c r="AK350" i="1"/>
  <c r="AK255" i="1"/>
  <c r="AJ146" i="1"/>
  <c r="AJ290" i="1"/>
  <c r="AK290" i="1" s="1"/>
  <c r="T290" i="1" s="1"/>
  <c r="AJ316" i="1"/>
  <c r="AK316" i="1" s="1"/>
  <c r="T316" i="1" s="1"/>
  <c r="AJ347" i="1"/>
  <c r="AK347" i="1" s="1"/>
  <c r="AI6" i="1"/>
  <c r="AJ6" i="1"/>
  <c r="AK6" i="1" s="1"/>
  <c r="AI299" i="1"/>
  <c r="AI38" i="1"/>
  <c r="AI221" i="1"/>
  <c r="AI137" i="1"/>
  <c r="T137" i="1" s="1"/>
  <c r="AJ137" i="1"/>
  <c r="AK137" i="1" s="1"/>
  <c r="AK267" i="1"/>
  <c r="AJ302" i="1"/>
  <c r="AK302" i="1" s="1"/>
  <c r="AJ227" i="1"/>
  <c r="AK227" i="1" s="1"/>
  <c r="AJ11" i="1"/>
  <c r="AK11" i="1" s="1"/>
  <c r="AJ172" i="1"/>
  <c r="AK172" i="1" s="1"/>
  <c r="T172" i="1" s="1"/>
  <c r="AJ359" i="1"/>
  <c r="AK359" i="1" s="1"/>
  <c r="T359" i="1" s="1"/>
  <c r="AK256" i="1"/>
  <c r="AI233" i="1"/>
  <c r="T233" i="1" s="1"/>
  <c r="AI149" i="1"/>
  <c r="AJ149" i="1"/>
  <c r="AK149" i="1" s="1"/>
  <c r="AK341" i="1"/>
  <c r="AJ170" i="1"/>
  <c r="AK170" i="1" s="1"/>
  <c r="T170" i="1" s="1"/>
  <c r="AJ371" i="1"/>
  <c r="AK371" i="1" s="1"/>
  <c r="AI11" i="1"/>
  <c r="AI352" i="1"/>
  <c r="AK315" i="1"/>
  <c r="T315" i="1" s="1"/>
  <c r="AK203" i="1"/>
  <c r="AI341" i="1"/>
  <c r="AK314" i="1"/>
  <c r="AI365" i="1"/>
  <c r="T365" i="1" s="1"/>
  <c r="AI182" i="1"/>
  <c r="AI245" i="1"/>
  <c r="T245" i="1" s="1"/>
  <c r="AI17" i="1"/>
  <c r="T17" i="1" s="1"/>
  <c r="AJ17" i="1"/>
  <c r="AK17" i="1" s="1"/>
  <c r="AK209" i="1"/>
  <c r="AK353" i="1"/>
  <c r="AK352" i="1"/>
  <c r="AK340" i="1"/>
  <c r="AJ326" i="1"/>
  <c r="AK326" i="1" s="1"/>
  <c r="T326" i="1" s="1"/>
  <c r="AJ159" i="1"/>
  <c r="AJ303" i="1"/>
  <c r="AK303" i="1" s="1"/>
  <c r="T303" i="1" s="1"/>
  <c r="AJ59" i="1"/>
  <c r="AK59" i="1" s="1"/>
  <c r="T59" i="1" s="1"/>
  <c r="AK351" i="1"/>
  <c r="AI242" i="1"/>
  <c r="AI51" i="1"/>
  <c r="AI195" i="1"/>
  <c r="AI339" i="1"/>
  <c r="T339" i="1" s="1"/>
  <c r="AI47" i="1"/>
  <c r="AI191" i="1"/>
  <c r="T191" i="1" s="1"/>
  <c r="AI335" i="1"/>
  <c r="T335" i="1" s="1"/>
  <c r="AI266" i="1"/>
  <c r="AK159" i="1"/>
  <c r="T159" i="1" s="1"/>
  <c r="AI83" i="1"/>
  <c r="T83" i="1" s="1"/>
  <c r="AI227" i="1"/>
  <c r="AI371" i="1"/>
  <c r="AI86" i="1"/>
  <c r="T86" i="1" s="1"/>
  <c r="AI302" i="1"/>
  <c r="T302" i="1" s="1"/>
  <c r="AI239" i="1"/>
  <c r="AI98" i="1"/>
  <c r="AI314" i="1"/>
  <c r="T314" i="1" s="1"/>
  <c r="AK51" i="1"/>
  <c r="AK195" i="1"/>
  <c r="AK339" i="1"/>
  <c r="AK15" i="1"/>
  <c r="AI110" i="1"/>
  <c r="AI76" i="1"/>
  <c r="AI15" i="1"/>
  <c r="AI256" i="1"/>
  <c r="T256" i="1" s="1"/>
  <c r="AI218" i="1"/>
  <c r="AI362" i="1"/>
  <c r="AK40" i="1"/>
  <c r="AK184" i="1"/>
  <c r="AI62" i="1"/>
  <c r="T62" i="1" s="1"/>
  <c r="AK362" i="1"/>
  <c r="AK52" i="1"/>
  <c r="AK196" i="1"/>
  <c r="AK208" i="1"/>
  <c r="AK76" i="1"/>
  <c r="AI28" i="1"/>
  <c r="AK124" i="1"/>
  <c r="AK136" i="1"/>
  <c r="AK16" i="1"/>
  <c r="AK160" i="1"/>
  <c r="AK148" i="1"/>
  <c r="AK28" i="1"/>
  <c r="AI37" i="1"/>
  <c r="T37" i="1" s="1"/>
  <c r="AI156" i="1"/>
  <c r="AI36" i="1"/>
  <c r="T36" i="1" s="1"/>
  <c r="AI180" i="1"/>
  <c r="AI324" i="1"/>
  <c r="AI145" i="1"/>
  <c r="AI289" i="1"/>
  <c r="T289" i="1" s="1"/>
  <c r="AI197" i="1"/>
  <c r="T197" i="1" s="1"/>
  <c r="AK289" i="1"/>
  <c r="AI126" i="1"/>
  <c r="AK126" i="1"/>
  <c r="AK29" i="1"/>
  <c r="AK173" i="1"/>
  <c r="AI138" i="1"/>
  <c r="AI313" i="1"/>
  <c r="AI150" i="1"/>
  <c r="AK158" i="1"/>
  <c r="AI49" i="1"/>
  <c r="AI193" i="1"/>
  <c r="T193" i="1" s="1"/>
  <c r="AI337" i="1"/>
  <c r="T337" i="1" s="1"/>
  <c r="AI254" i="1"/>
  <c r="AI30" i="1"/>
  <c r="AK77" i="1"/>
  <c r="AK138" i="1"/>
  <c r="AI336" i="1"/>
  <c r="AI157" i="1"/>
  <c r="AI204" i="1"/>
  <c r="AI169" i="1"/>
  <c r="T169" i="1" s="1"/>
  <c r="AI72" i="1"/>
  <c r="T72" i="1" s="1"/>
  <c r="AI360" i="1"/>
  <c r="AI181" i="1"/>
  <c r="AI162" i="1"/>
  <c r="T162" i="1" s="1"/>
  <c r="AI96" i="1"/>
  <c r="AI61" i="1"/>
  <c r="AI205" i="1"/>
  <c r="T205" i="1" s="1"/>
  <c r="AI349" i="1"/>
  <c r="AK181" i="1"/>
  <c r="AK182" i="1"/>
  <c r="AI42" i="1"/>
  <c r="AK89" i="1"/>
  <c r="AK150" i="1"/>
  <c r="AK26" i="1"/>
  <c r="AK134" i="1"/>
  <c r="AI325" i="1"/>
  <c r="T325" i="1" s="1"/>
  <c r="AK65" i="1"/>
  <c r="AI108" i="1"/>
  <c r="T108" i="1" s="1"/>
  <c r="AK108" i="1"/>
  <c r="AI73" i="1"/>
  <c r="T73" i="1" s="1"/>
  <c r="AI217" i="1"/>
  <c r="T217" i="1" s="1"/>
  <c r="AI361" i="1"/>
  <c r="AK361" i="1"/>
  <c r="AI134" i="1"/>
  <c r="AK73" i="1"/>
  <c r="AK194" i="1"/>
  <c r="T194" i="1" s="1"/>
  <c r="AI54" i="1"/>
  <c r="AK54" i="1"/>
  <c r="AK162" i="1"/>
  <c r="AK146" i="1"/>
  <c r="T146" i="1" s="1"/>
  <c r="AI48" i="1"/>
  <c r="AK48" i="1"/>
  <c r="AI41" i="1"/>
  <c r="T41" i="1" s="1"/>
  <c r="AK41" i="1"/>
  <c r="AK53" i="1"/>
  <c r="AI228" i="1"/>
  <c r="AI240" i="1"/>
  <c r="T240" i="1" s="1"/>
  <c r="AI120" i="1"/>
  <c r="AI264" i="1"/>
  <c r="AI85" i="1"/>
  <c r="AI229" i="1"/>
  <c r="AK145" i="1"/>
  <c r="AK62" i="1"/>
  <c r="AI113" i="1"/>
  <c r="T113" i="1" s="1"/>
  <c r="AI66" i="1"/>
  <c r="T66" i="1" s="1"/>
  <c r="AK66" i="1"/>
  <c r="AK113" i="1"/>
  <c r="AI13" i="1"/>
  <c r="AK197" i="1"/>
  <c r="AI276" i="1"/>
  <c r="AI97" i="1"/>
  <c r="T97" i="1" s="1"/>
  <c r="AI241" i="1"/>
  <c r="T241" i="1" s="1"/>
  <c r="AI14" i="1"/>
  <c r="AI158" i="1"/>
  <c r="T158" i="1" s="1"/>
  <c r="AK217" i="1"/>
  <c r="AK218" i="1"/>
  <c r="AK78" i="1"/>
  <c r="AI78" i="1"/>
  <c r="AI18" i="1"/>
  <c r="AI252" i="1"/>
  <c r="AK252" i="1"/>
  <c r="AI109" i="1"/>
  <c r="AI253" i="1"/>
  <c r="AK96" i="1"/>
  <c r="AK86" i="1"/>
  <c r="AK230" i="1"/>
  <c r="AI90" i="1"/>
  <c r="AK90" i="1"/>
  <c r="AK18" i="1"/>
  <c r="AI301" i="1"/>
  <c r="AK301" i="1"/>
  <c r="AI185" i="1"/>
  <c r="AK185" i="1"/>
  <c r="AI60" i="1"/>
  <c r="AK60" i="1"/>
  <c r="AI216" i="1"/>
  <c r="AI132" i="1"/>
  <c r="AI144" i="1"/>
  <c r="AI288" i="1"/>
  <c r="AK288" i="1"/>
  <c r="AI121" i="1"/>
  <c r="AI265" i="1"/>
  <c r="AK72" i="1"/>
  <c r="AK98" i="1"/>
  <c r="AK242" i="1"/>
  <c r="AI102" i="1"/>
  <c r="AK30" i="1"/>
  <c r="AK74" i="1"/>
  <c r="AK38" i="1"/>
  <c r="AI192" i="1"/>
  <c r="T192" i="1" s="1"/>
  <c r="AK254" i="1"/>
  <c r="AI348" i="1"/>
  <c r="T348" i="1" s="1"/>
  <c r="AI25" i="1"/>
  <c r="T25" i="1" s="1"/>
  <c r="AK25" i="1"/>
  <c r="AI84" i="1"/>
  <c r="AK84" i="1"/>
  <c r="AI12" i="1"/>
  <c r="AI300" i="1"/>
  <c r="AI24" i="1"/>
  <c r="AK24" i="1"/>
  <c r="AI168" i="1"/>
  <c r="AK168" i="1"/>
  <c r="AI312" i="1"/>
  <c r="T312" i="1" s="1"/>
  <c r="AI133" i="1"/>
  <c r="T133" i="1" s="1"/>
  <c r="AI277" i="1"/>
  <c r="T277" i="1" s="1"/>
  <c r="AI173" i="1"/>
  <c r="AK240" i="1"/>
  <c r="AK337" i="1"/>
  <c r="AK110" i="1"/>
  <c r="AI114" i="1"/>
  <c r="AK114" i="1"/>
  <c r="AK161" i="1"/>
  <c r="AK42" i="1"/>
  <c r="AK14" i="1"/>
  <c r="AK102" i="1"/>
  <c r="AK265" i="1"/>
  <c r="AK132" i="1"/>
  <c r="AK36" i="1"/>
  <c r="AK204" i="1"/>
  <c r="AK180" i="1"/>
  <c r="AK144" i="1"/>
  <c r="AK276" i="1"/>
  <c r="AK253" i="1"/>
  <c r="AK156" i="1"/>
  <c r="AK228" i="1"/>
  <c r="AK348" i="1"/>
  <c r="AK325" i="1"/>
  <c r="AK216" i="1"/>
  <c r="AK336" i="1"/>
  <c r="AK97" i="1"/>
  <c r="AK312" i="1"/>
  <c r="AK49" i="1"/>
  <c r="AK12" i="1"/>
  <c r="AK300" i="1"/>
  <c r="AK13" i="1"/>
  <c r="AK61" i="1"/>
  <c r="AK133" i="1"/>
  <c r="AK120" i="1"/>
  <c r="AK360" i="1"/>
  <c r="AK85" i="1"/>
  <c r="AK121" i="1"/>
  <c r="AK205" i="1"/>
  <c r="AK192" i="1"/>
  <c r="AK37" i="1"/>
  <c r="AK157" i="1"/>
  <c r="AK169" i="1"/>
  <c r="AK277" i="1"/>
  <c r="AK264" i="1"/>
  <c r="AK109" i="1"/>
  <c r="AK241" i="1"/>
  <c r="AK229" i="1"/>
  <c r="AK349" i="1"/>
  <c r="AK324" i="1"/>
  <c r="AK193" i="1"/>
  <c r="AK313" i="1"/>
  <c r="T235" i="5" l="1"/>
  <c r="T42" i="5"/>
  <c r="T328" i="5"/>
  <c r="T196" i="5"/>
  <c r="T234" i="5"/>
  <c r="T214" i="5"/>
  <c r="T78" i="5"/>
  <c r="T232" i="5"/>
  <c r="T162" i="5"/>
  <c r="T19" i="5"/>
  <c r="T1" i="5" s="1"/>
  <c r="W1" i="5" s="1"/>
  <c r="T142" i="5"/>
  <c r="U1" i="5"/>
  <c r="Y16" i="5"/>
  <c r="AB16" i="5"/>
  <c r="AB18" i="5" s="1"/>
  <c r="T336" i="1"/>
  <c r="T349" i="1"/>
  <c r="T352" i="1"/>
  <c r="T208" i="1"/>
  <c r="T52" i="1"/>
  <c r="T288" i="1"/>
  <c r="T90" i="1"/>
  <c r="T48" i="1"/>
  <c r="T47" i="1"/>
  <c r="T11" i="1"/>
  <c r="T39" i="1"/>
  <c r="T207" i="1"/>
  <c r="T309" i="1"/>
  <c r="T74" i="1"/>
  <c r="T267" i="1"/>
  <c r="T144" i="1"/>
  <c r="T61" i="1"/>
  <c r="T30" i="1"/>
  <c r="T126" i="1"/>
  <c r="T98" i="1"/>
  <c r="T136" i="1"/>
  <c r="T168" i="1"/>
  <c r="T132" i="1"/>
  <c r="T14" i="1"/>
  <c r="T229" i="1"/>
  <c r="T96" i="1"/>
  <c r="T254" i="1"/>
  <c r="T362" i="1"/>
  <c r="T239" i="1"/>
  <c r="T195" i="1"/>
  <c r="T160" i="1"/>
  <c r="T355" i="1"/>
  <c r="T329" i="1"/>
  <c r="T65" i="1"/>
  <c r="T196" i="1"/>
  <c r="T124" i="1"/>
  <c r="T218" i="1"/>
  <c r="T51" i="1"/>
  <c r="T77" i="1"/>
  <c r="T184" i="1"/>
  <c r="T148" i="1"/>
  <c r="T40" i="1"/>
  <c r="T161" i="1"/>
  <c r="T243" i="1"/>
  <c r="T350" i="1"/>
  <c r="T327" i="1"/>
  <c r="T121" i="1"/>
  <c r="T24" i="1"/>
  <c r="T253" i="1"/>
  <c r="T264" i="1"/>
  <c r="T54" i="1"/>
  <c r="T181" i="1"/>
  <c r="T242" i="1"/>
  <c r="T221" i="1"/>
  <c r="T125" i="1"/>
  <c r="T114" i="1"/>
  <c r="T300" i="1"/>
  <c r="T102" i="1"/>
  <c r="T60" i="1"/>
  <c r="T109" i="1"/>
  <c r="T276" i="1"/>
  <c r="T120" i="1"/>
  <c r="T360" i="1"/>
  <c r="T49" i="1"/>
  <c r="T145" i="1"/>
  <c r="T28" i="1"/>
  <c r="T15" i="1"/>
  <c r="T371" i="1"/>
  <c r="T182" i="1"/>
  <c r="T149" i="1"/>
  <c r="T38" i="1"/>
  <c r="T209" i="1"/>
  <c r="T29" i="1"/>
  <c r="T238" i="1"/>
  <c r="T55" i="1"/>
  <c r="T318" i="1"/>
  <c r="T340" i="1"/>
  <c r="T99" i="1"/>
  <c r="T203" i="1"/>
  <c r="T324" i="1"/>
  <c r="T76" i="1"/>
  <c r="T227" i="1"/>
  <c r="T299" i="1"/>
  <c r="T317" i="1"/>
  <c r="T216" i="1"/>
  <c r="T252" i="1"/>
  <c r="T134" i="1"/>
  <c r="T180" i="1"/>
  <c r="T110" i="1"/>
  <c r="T140" i="1"/>
  <c r="T230" i="1"/>
  <c r="T228" i="1"/>
  <c r="T204" i="1"/>
  <c r="T341" i="1"/>
  <c r="T6" i="1"/>
  <c r="T101" i="1"/>
  <c r="T53" i="1"/>
  <c r="T85" i="1"/>
  <c r="T12" i="1"/>
  <c r="T185" i="1"/>
  <c r="T13" i="1"/>
  <c r="T150" i="1"/>
  <c r="T84" i="1"/>
  <c r="T18" i="1"/>
  <c r="T42" i="1"/>
  <c r="T313" i="1"/>
  <c r="T173" i="1"/>
  <c r="T265" i="1"/>
  <c r="T301" i="1"/>
  <c r="T78" i="1"/>
  <c r="T361" i="1"/>
  <c r="T157" i="1"/>
  <c r="T138" i="1"/>
  <c r="T156" i="1"/>
  <c r="T266" i="1"/>
  <c r="T353" i="1"/>
  <c r="T131" i="1"/>
  <c r="T129" i="1"/>
  <c r="T183" i="1"/>
  <c r="S1" i="1"/>
  <c r="P16" i="5" l="1"/>
  <c r="P1" i="5" s="1"/>
  <c r="Z6" i="5"/>
  <c r="T1" i="1"/>
  <c r="W1" i="1" s="1"/>
  <c r="AA6" i="5" l="1"/>
  <c r="R16" i="1"/>
  <c r="R28" i="1"/>
  <c r="R40" i="1"/>
  <c r="R52" i="1"/>
  <c r="R64" i="1"/>
  <c r="R76" i="1"/>
  <c r="R88" i="1"/>
  <c r="R100" i="1"/>
  <c r="R112" i="1"/>
  <c r="R124" i="1"/>
  <c r="R136" i="1"/>
  <c r="R148" i="1"/>
  <c r="R160" i="1"/>
  <c r="R172" i="1"/>
  <c r="R184" i="1"/>
  <c r="R196" i="1"/>
  <c r="R208" i="1"/>
  <c r="R220" i="1"/>
  <c r="R232" i="1"/>
  <c r="R244" i="1"/>
  <c r="R256" i="1"/>
  <c r="R268" i="1"/>
  <c r="R280" i="1"/>
  <c r="R292" i="1"/>
  <c r="R304" i="1"/>
  <c r="R316" i="1"/>
  <c r="R328" i="1"/>
  <c r="R340" i="1"/>
  <c r="R352" i="1"/>
  <c r="R364" i="1"/>
  <c r="R18" i="1"/>
  <c r="R30" i="1"/>
  <c r="R42" i="1"/>
  <c r="R54" i="1"/>
  <c r="R66" i="1"/>
  <c r="R78" i="1"/>
  <c r="R90" i="1"/>
  <c r="R102" i="1"/>
  <c r="R114" i="1"/>
  <c r="R126" i="1"/>
  <c r="R138" i="1"/>
  <c r="R150" i="1"/>
  <c r="R162" i="1"/>
  <c r="R174" i="1"/>
  <c r="R186" i="1"/>
  <c r="R198" i="1"/>
  <c r="R210" i="1"/>
  <c r="R222" i="1"/>
  <c r="R234" i="1"/>
  <c r="R246" i="1"/>
  <c r="R258" i="1"/>
  <c r="R270" i="1"/>
  <c r="R282" i="1"/>
  <c r="R294" i="1"/>
  <c r="R306" i="1"/>
  <c r="R318" i="1"/>
  <c r="R330" i="1"/>
  <c r="R342" i="1"/>
  <c r="R354" i="1"/>
  <c r="R366" i="1"/>
  <c r="R7" i="1"/>
  <c r="R19" i="1"/>
  <c r="R31" i="1"/>
  <c r="R43" i="1"/>
  <c r="R55" i="1"/>
  <c r="R67" i="1"/>
  <c r="R79" i="1"/>
  <c r="R91" i="1"/>
  <c r="R103" i="1"/>
  <c r="R115" i="1"/>
  <c r="R127" i="1"/>
  <c r="R139" i="1"/>
  <c r="R151" i="1"/>
  <c r="R163" i="1"/>
  <c r="R175" i="1"/>
  <c r="R187" i="1"/>
  <c r="R199" i="1"/>
  <c r="R211" i="1"/>
  <c r="R223" i="1"/>
  <c r="R235" i="1"/>
  <c r="R247" i="1"/>
  <c r="R259" i="1"/>
  <c r="R271" i="1"/>
  <c r="R283" i="1"/>
  <c r="R295" i="1"/>
  <c r="R307" i="1"/>
  <c r="R319" i="1"/>
  <c r="R331" i="1"/>
  <c r="R343" i="1"/>
  <c r="R355" i="1"/>
  <c r="R367" i="1"/>
  <c r="R8" i="1"/>
  <c r="R20" i="1"/>
  <c r="R32" i="1"/>
  <c r="R44" i="1"/>
  <c r="R56" i="1"/>
  <c r="R68" i="1"/>
  <c r="R80" i="1"/>
  <c r="R92" i="1"/>
  <c r="R104" i="1"/>
  <c r="R116" i="1"/>
  <c r="R128" i="1"/>
  <c r="R140" i="1"/>
  <c r="R152" i="1"/>
  <c r="R164" i="1"/>
  <c r="R176" i="1"/>
  <c r="R188" i="1"/>
  <c r="R200" i="1"/>
  <c r="R212" i="1"/>
  <c r="R224" i="1"/>
  <c r="R236" i="1"/>
  <c r="R248" i="1"/>
  <c r="R260" i="1"/>
  <c r="R272" i="1"/>
  <c r="R9" i="1"/>
  <c r="R21" i="1"/>
  <c r="R33" i="1"/>
  <c r="R45" i="1"/>
  <c r="R57" i="1"/>
  <c r="R69" i="1"/>
  <c r="R81" i="1"/>
  <c r="R93" i="1"/>
  <c r="R105" i="1"/>
  <c r="R117" i="1"/>
  <c r="R129" i="1"/>
  <c r="R141" i="1"/>
  <c r="R153" i="1"/>
  <c r="R165" i="1"/>
  <c r="R177" i="1"/>
  <c r="R189" i="1"/>
  <c r="R201" i="1"/>
  <c r="R213" i="1"/>
  <c r="R225" i="1"/>
  <c r="R237" i="1"/>
  <c r="R249" i="1"/>
  <c r="R261" i="1"/>
  <c r="R273" i="1"/>
  <c r="R285" i="1"/>
  <c r="R297" i="1"/>
  <c r="R309" i="1"/>
  <c r="R321" i="1"/>
  <c r="R333" i="1"/>
  <c r="R345" i="1"/>
  <c r="R357" i="1"/>
  <c r="R369" i="1"/>
  <c r="R77" i="1"/>
  <c r="R221" i="1"/>
  <c r="R365" i="1"/>
  <c r="R89" i="1"/>
  <c r="R233" i="1"/>
  <c r="R101" i="1"/>
  <c r="R245" i="1"/>
  <c r="R113" i="1"/>
  <c r="R257" i="1"/>
  <c r="R125" i="1"/>
  <c r="R269" i="1"/>
  <c r="R137" i="1"/>
  <c r="R281" i="1"/>
  <c r="R149" i="1"/>
  <c r="R293" i="1"/>
  <c r="R17" i="1"/>
  <c r="R161" i="1"/>
  <c r="R305" i="1"/>
  <c r="R29" i="1"/>
  <c r="R173" i="1"/>
  <c r="R317" i="1"/>
  <c r="R41" i="1"/>
  <c r="R185" i="1"/>
  <c r="R329" i="1"/>
  <c r="R53" i="1"/>
  <c r="R197" i="1"/>
  <c r="R341" i="1"/>
  <c r="R65" i="1"/>
  <c r="R209" i="1"/>
  <c r="R353" i="1"/>
  <c r="R279" i="1"/>
  <c r="R135" i="1"/>
  <c r="R230" i="1"/>
  <c r="R86" i="1"/>
  <c r="R241" i="1"/>
  <c r="R97" i="1"/>
  <c r="R300" i="1"/>
  <c r="R156" i="1"/>
  <c r="R12" i="1"/>
  <c r="R323" i="1"/>
  <c r="R179" i="1"/>
  <c r="R35" i="1"/>
  <c r="R298" i="1"/>
  <c r="R154" i="1"/>
  <c r="R10" i="1"/>
  <c r="R344" i="1"/>
  <c r="R267" i="1"/>
  <c r="R123" i="1"/>
  <c r="R362" i="1"/>
  <c r="R218" i="1"/>
  <c r="R74" i="1"/>
  <c r="R229" i="1"/>
  <c r="R85" i="1"/>
  <c r="R288" i="1"/>
  <c r="R144" i="1"/>
  <c r="R311" i="1"/>
  <c r="R167" i="1"/>
  <c r="R23" i="1"/>
  <c r="R286" i="1"/>
  <c r="R142" i="1"/>
  <c r="R332" i="1"/>
  <c r="R255" i="1"/>
  <c r="R111" i="1"/>
  <c r="R350" i="1"/>
  <c r="R206" i="1"/>
  <c r="R62" i="1"/>
  <c r="R361" i="1"/>
  <c r="R217" i="1"/>
  <c r="R73" i="1"/>
  <c r="R276" i="1"/>
  <c r="R132" i="1"/>
  <c r="R299" i="1"/>
  <c r="R155" i="1"/>
  <c r="R11" i="1"/>
  <c r="R274" i="1"/>
  <c r="R130" i="1"/>
  <c r="R320" i="1"/>
  <c r="R166" i="1"/>
  <c r="R243" i="1"/>
  <c r="R99" i="1"/>
  <c r="R338" i="1"/>
  <c r="R194" i="1"/>
  <c r="R50" i="1"/>
  <c r="R349" i="1"/>
  <c r="R205" i="1"/>
  <c r="R61" i="1"/>
  <c r="R264" i="1"/>
  <c r="R120" i="1"/>
  <c r="R287" i="1"/>
  <c r="R143" i="1"/>
  <c r="R262" i="1"/>
  <c r="R118" i="1"/>
  <c r="R308" i="1"/>
  <c r="R147" i="1"/>
  <c r="R109" i="1"/>
  <c r="R24" i="1"/>
  <c r="R231" i="1"/>
  <c r="R87" i="1"/>
  <c r="R326" i="1"/>
  <c r="R182" i="1"/>
  <c r="R38" i="1"/>
  <c r="R337" i="1"/>
  <c r="R193" i="1"/>
  <c r="R49" i="1"/>
  <c r="R252" i="1"/>
  <c r="R108" i="1"/>
  <c r="R275" i="1"/>
  <c r="R131" i="1"/>
  <c r="R250" i="1"/>
  <c r="R106" i="1"/>
  <c r="R296" i="1"/>
  <c r="R363" i="1"/>
  <c r="R219" i="1"/>
  <c r="R75" i="1"/>
  <c r="R314" i="1"/>
  <c r="R170" i="1"/>
  <c r="R26" i="1"/>
  <c r="R325" i="1"/>
  <c r="R181" i="1"/>
  <c r="R37" i="1"/>
  <c r="R240" i="1"/>
  <c r="R96" i="1"/>
  <c r="R263" i="1"/>
  <c r="R119" i="1"/>
  <c r="R238" i="1"/>
  <c r="R94" i="1"/>
  <c r="R284" i="1"/>
  <c r="R335" i="1"/>
  <c r="R351" i="1"/>
  <c r="R207" i="1"/>
  <c r="R63" i="1"/>
  <c r="R302" i="1"/>
  <c r="R158" i="1"/>
  <c r="R14" i="1"/>
  <c r="R313" i="1"/>
  <c r="R169" i="1"/>
  <c r="R25" i="1"/>
  <c r="R6" i="1"/>
  <c r="R228" i="1"/>
  <c r="R84" i="1"/>
  <c r="R251" i="1"/>
  <c r="R107" i="1"/>
  <c r="R370" i="1"/>
  <c r="R226" i="1"/>
  <c r="R82" i="1"/>
  <c r="R291" i="1"/>
  <c r="R242" i="1"/>
  <c r="R168" i="1"/>
  <c r="R22" i="1"/>
  <c r="R356" i="1"/>
  <c r="R339" i="1"/>
  <c r="R195" i="1"/>
  <c r="R51" i="1"/>
  <c r="R290" i="1"/>
  <c r="R146" i="1"/>
  <c r="R301" i="1"/>
  <c r="R157" i="1"/>
  <c r="R13" i="1"/>
  <c r="R360" i="1"/>
  <c r="R216" i="1"/>
  <c r="R72" i="1"/>
  <c r="R239" i="1"/>
  <c r="R95" i="1"/>
  <c r="R358" i="1"/>
  <c r="R214" i="1"/>
  <c r="R70" i="1"/>
  <c r="R47" i="1"/>
  <c r="R327" i="1"/>
  <c r="R183" i="1"/>
  <c r="R39" i="1"/>
  <c r="R278" i="1"/>
  <c r="R134" i="1"/>
  <c r="R289" i="1"/>
  <c r="R145" i="1"/>
  <c r="R348" i="1"/>
  <c r="R204" i="1"/>
  <c r="R60" i="1"/>
  <c r="R371" i="1"/>
  <c r="R227" i="1"/>
  <c r="R83" i="1"/>
  <c r="R346" i="1"/>
  <c r="R202" i="1"/>
  <c r="R58" i="1"/>
  <c r="R312" i="1"/>
  <c r="R315" i="1"/>
  <c r="R171" i="1"/>
  <c r="R27" i="1"/>
  <c r="R266" i="1"/>
  <c r="R122" i="1"/>
  <c r="R277" i="1"/>
  <c r="R133" i="1"/>
  <c r="R336" i="1"/>
  <c r="R192" i="1"/>
  <c r="R48" i="1"/>
  <c r="R359" i="1"/>
  <c r="R215" i="1"/>
  <c r="R71" i="1"/>
  <c r="R334" i="1"/>
  <c r="R190" i="1"/>
  <c r="R46" i="1"/>
  <c r="R98" i="1"/>
  <c r="R310" i="1"/>
  <c r="R303" i="1"/>
  <c r="R159" i="1"/>
  <c r="R15" i="1"/>
  <c r="R254" i="1"/>
  <c r="R110" i="1"/>
  <c r="R265" i="1"/>
  <c r="R121" i="1"/>
  <c r="R324" i="1"/>
  <c r="R180" i="1"/>
  <c r="R36" i="1"/>
  <c r="R347" i="1"/>
  <c r="R203" i="1"/>
  <c r="R59" i="1"/>
  <c r="R322" i="1"/>
  <c r="R178" i="1"/>
  <c r="R34" i="1"/>
  <c r="R368" i="1"/>
  <c r="R253" i="1"/>
  <c r="R191" i="1"/>
  <c r="N1" i="5" l="1"/>
  <c r="R1" i="1"/>
  <c r="Y16" i="1"/>
  <c r="Z6" i="1"/>
  <c r="AA6" i="1" s="1"/>
  <c r="AB16" i="1"/>
  <c r="AC16" i="1" s="1"/>
  <c r="AB18" i="1" l="1"/>
  <c r="O1" i="1" l="1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<sst xmlns="http://schemas.openxmlformats.org/spreadsheetml/2006/main" count="1942" uniqueCount="73">
  <si>
    <t>LOCAL: PIRACICABA (SP)   LAT: 22G42'30" S    LONG: 47G38'00" W    ALT: 546M</t>
  </si>
  <si>
    <t>ESTACAO METEOROLOGICA AUTOMATICA - DADOS METEOROLOGICOS DIARIOS</t>
  </si>
  <si>
    <t>---------</t>
  </si>
  <si>
    <t>DIA</t>
  </si>
  <si>
    <t>Thornthwaite</t>
  </si>
  <si>
    <t>Thornthwaite-Camargo</t>
  </si>
  <si>
    <t>I</t>
  </si>
  <si>
    <t>a</t>
  </si>
  <si>
    <t>Thornthwaite/Thornthwaite-Camargo</t>
  </si>
  <si>
    <t>Camargo</t>
  </si>
  <si>
    <t>Hargreaves &amp; Samani</t>
  </si>
  <si>
    <t>Priestley-Taylor</t>
  </si>
  <si>
    <t>Penman-Monteith</t>
  </si>
  <si>
    <t>Pennan-Monteith</t>
  </si>
  <si>
    <t>s</t>
  </si>
  <si>
    <t>T</t>
  </si>
  <si>
    <t>UR</t>
  </si>
  <si>
    <t>es_max</t>
  </si>
  <si>
    <t>es_min</t>
  </si>
  <si>
    <t>es</t>
  </si>
  <si>
    <t>ea</t>
  </si>
  <si>
    <t>delta_e</t>
  </si>
  <si>
    <t>Q_0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</si>
  <si>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</si>
  <si>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</si>
  <si>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</si>
  <si>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</si>
  <si>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</si>
  <si>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</si>
  <si>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</si>
  <si>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</si>
  <si>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</si>
  <si>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</si>
  <si>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</si>
  <si>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</si>
  <si>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Hargreaves &amp; Samani (corrigido)</t>
  </si>
  <si>
    <t>Nome: PETROLINA</t>
  </si>
  <si>
    <t>Codigo Estacao: A307</t>
  </si>
  <si>
    <t>Latitude: -9.38833333</t>
  </si>
  <si>
    <t>Longitude: -40.52333332</t>
  </si>
  <si>
    <t>Altitude: 372.72</t>
  </si>
  <si>
    <t>Situacao: Pane</t>
  </si>
  <si>
    <t>Data Inicial: 2024-01-01</t>
  </si>
  <si>
    <t>Data Final: 2024-12-31</t>
  </si>
  <si>
    <t>Periodicidade da Medicao: Diaria</t>
  </si>
  <si>
    <t>Data Medicao</t>
  </si>
  <si>
    <t>PRECIPITACAO TOTAL, DIARIO (AUT)(mm)</t>
  </si>
  <si>
    <t>PRESSAO ATMOSFERICA MEDIA DIARIA (AUT)(mB)</t>
  </si>
  <si>
    <t>TEMPERATURA MAXIMA, DIARIA (AUT)(Â°C)</t>
  </si>
  <si>
    <t>TEMPERATURA MEDIA, DIARIA (AUT)(Â°C)</t>
  </si>
  <si>
    <t>TEMPERATURA MINIMA, DIARIA (AUT)(Â°C)</t>
  </si>
  <si>
    <t>UMIDADE RELATIVA DO AR, MEDIA DIARIA (AUT)(%)</t>
  </si>
  <si>
    <t>UMIDADE RELATIVA DO AR, MINIMA DIARIA (AUT)(%)</t>
  </si>
  <si>
    <t>VENTO, VELOCIDADE MEDIA DIARIA (AUT)(m/s)</t>
  </si>
  <si>
    <t>null</t>
  </si>
  <si>
    <t>Chuva (mm)</t>
  </si>
  <si>
    <t>Rad.Glob. (MJ/m2.d)</t>
  </si>
  <si>
    <t>Rad Liq (MJ/m2.d)</t>
  </si>
  <si>
    <t>TMAX (oC)</t>
  </si>
  <si>
    <t>TMIN (oC)</t>
  </si>
  <si>
    <t>UR MED (%)</t>
  </si>
  <si>
    <t>UR MIN (%)</t>
  </si>
  <si>
    <t>UR MAX (%)</t>
  </si>
  <si>
    <t>TMED (oC)</t>
  </si>
  <si>
    <t>Vel.Vento Max (m/s)</t>
  </si>
  <si>
    <t>Vento (m/s)</t>
  </si>
  <si>
    <t>Local: MANAUS, estação A101, Latitude: -3.10333333 Longitude: -60.01638888 Altitude: 61.25</t>
  </si>
  <si>
    <t>Rad. Global (MJ/ma^2)</t>
  </si>
  <si>
    <t>Garcia Lopez</t>
  </si>
  <si>
    <t>T_med</t>
  </si>
  <si>
    <t>I_Anual</t>
  </si>
  <si>
    <t>et</t>
  </si>
  <si>
    <t>Rad. Líquida (MJ/ma^2)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</si>
</sst>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21" x14ac:knownFonts="1">
    <font>
      <sz val="10"/>
      <name val="Times New Roman"/>
    </font>
    <font>
      <sz val="8"/>
      <name val="Times New Roman"/>
      <family val="1"/>
    </font>
    <font>
      <sz val="8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b/>
      <sz val="10"/>
      <color theme="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4" fillId="14" borderId="0" applyNumberFormat="0" applyBorder="0" applyAlignment="0" applyProtection="0"/>
    <xf numFmtId="0" fontId="5" fillId="15" borderId="0" applyNumberFormat="0" applyBorder="0" applyAlignment="0" applyProtection="0"/>
    <xf numFmtId="0" fontId="4" fillId="15" borderId="0" applyNumberFormat="0" applyBorder="0" applyAlignment="0" applyProtection="0"/>
    <xf numFmtId="0" fontId="5" fillId="16" borderId="0" applyNumberFormat="0" applyBorder="0" applyAlignment="0" applyProtection="0"/>
    <xf numFmtId="0" fontId="4" fillId="16" borderId="0" applyNumberFormat="0" applyBorder="0" applyAlignment="0" applyProtection="0"/>
    <xf numFmtId="0" fontId="5" fillId="17" borderId="0" applyNumberFormat="0" applyBorder="0" applyAlignment="0" applyProtection="0"/>
    <xf numFmtId="0" fontId="4" fillId="17" borderId="0" applyNumberFormat="0" applyBorder="0" applyAlignment="0" applyProtection="0"/>
    <xf numFmtId="0" fontId="5" fillId="18" borderId="0" applyNumberFormat="0" applyBorder="0" applyAlignment="0" applyProtection="0"/>
    <xf numFmtId="0" fontId="4" fillId="18" borderId="0" applyNumberFormat="0" applyBorder="0" applyAlignment="0" applyProtection="0"/>
    <xf numFmtId="0" fontId="5" fillId="19" borderId="0" applyNumberFormat="0" applyBorder="0" applyAlignment="0" applyProtection="0"/>
    <xf numFmtId="0" fontId="4" fillId="19" borderId="0" applyNumberFormat="0" applyBorder="0" applyAlignment="0" applyProtection="0"/>
    <xf numFmtId="0" fontId="6" fillId="20" borderId="0" applyNumberFormat="0" applyBorder="0" applyAlignment="0" applyProtection="0"/>
    <xf numFmtId="0" fontId="7" fillId="21" borderId="1" applyNumberFormat="0" applyAlignment="0" applyProtection="0"/>
    <xf numFmtId="0" fontId="8" fillId="22" borderId="2" applyNumberFormat="0" applyAlignment="0" applyProtection="0"/>
    <xf numFmtId="0" fontId="9" fillId="0" borderId="3" applyNumberFormat="0" applyFill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10" fillId="29" borderId="1" applyNumberFormat="0" applyAlignment="0" applyProtection="0"/>
    <xf numFmtId="0" fontId="11" fillId="30" borderId="0" applyNumberFormat="0" applyBorder="0" applyAlignment="0" applyProtection="0"/>
    <xf numFmtId="0" fontId="4" fillId="0" borderId="0"/>
    <xf numFmtId="0" fontId="4" fillId="31" borderId="4" applyNumberFormat="0" applyFont="0" applyAlignment="0" applyProtection="0"/>
    <xf numFmtId="0" fontId="12" fillId="21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quotePrefix="1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20" fillId="32" borderId="0" xfId="0" applyFont="1" applyFill="1" applyAlignment="1">
      <alignment horizontal="center"/>
    </xf>
    <xf numFmtId="14" fontId="0" fillId="0" borderId="0" xfId="0" applyNumberFormat="1"/>
    <xf numFmtId="165" fontId="0" fillId="0" borderId="0" xfId="0" applyNumberFormat="1" applyAlignment="1">
      <alignment horizontal="center"/>
    </xf>
    <xf numFmtId="2" fontId="3" fillId="0" borderId="0" xfId="0" applyNumberFormat="1" applyFont="1"/>
    <xf numFmtId="2" fontId="20" fillId="32" borderId="0" xfId="0" applyNumberFormat="1" applyFont="1" applyFill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20" fillId="32" borderId="0" xfId="0" applyNumberFormat="1" applyFont="1" applyFill="1" applyAlignment="1">
      <alignment horizontal="center" vertical="center" wrapText="1"/>
    </xf>
    <xf numFmtId="2" fontId="0" fillId="0" borderId="0" xfId="0" applyNumberFormat="1"/>
    <xf numFmtId="0" fontId="0" fillId="33" borderId="0" xfId="0" applyFill="1" applyAlignment="1">
      <alignment horizontal="center"/>
    </xf>
    <xf numFmtId="0" fontId="3" fillId="3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33" borderId="0" xfId="0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48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1 2" xfId="14" xr:uid="{919BB8D1-9640-4C0B-A2FE-823A8D2092AD}"/>
    <cellStyle name="60% - Ênfase2" xfId="15" builtinId="36" customBuiltin="1"/>
    <cellStyle name="60% - Ênfase2 2" xfId="16" xr:uid="{939B3506-E3FA-4FB9-A4A3-3741B6809522}"/>
    <cellStyle name="60% - Ênfase3" xfId="17" builtinId="40" customBuiltin="1"/>
    <cellStyle name="60% - Ênfase3 2" xfId="18" xr:uid="{D6CC317E-B9FD-47A6-B8E3-DB2FF26624DE}"/>
    <cellStyle name="60% - Ênfase4" xfId="19" builtinId="44" customBuiltin="1"/>
    <cellStyle name="60% - Ênfase4 2" xfId="20" xr:uid="{36890DB1-19D6-4F5E-A86E-7F20416C7194}"/>
    <cellStyle name="60% - Ênfase5" xfId="21" builtinId="48" customBuiltin="1"/>
    <cellStyle name="60% - Ênfase5 2" xfId="22" xr:uid="{3B0659B6-9920-4E38-9322-F8D8B1CC6F6E}"/>
    <cellStyle name="60% - Ênfase6" xfId="23" builtinId="52" customBuiltin="1"/>
    <cellStyle name="60% - Ênfase6 2" xfId="24" xr:uid="{FB4C0F7F-C5F6-45B1-B1C5-CD9E8B3AA4DC}"/>
    <cellStyle name="Bom" xfId="25" builtinId="26" customBuiltin="1"/>
    <cellStyle name="Cálculo" xfId="26" builtinId="22" customBuiltin="1"/>
    <cellStyle name="Célula de Verificação" xfId="27" builtinId="23" customBuiltin="1"/>
    <cellStyle name="Célula Vinculada" xfId="28" builtinId="24" customBuiltin="1"/>
    <cellStyle name="Ênfase1" xfId="29" builtinId="29" customBuiltin="1"/>
    <cellStyle name="Ênfase2" xfId="30" builtinId="33" customBuiltin="1"/>
    <cellStyle name="Ênfase3" xfId="31" builtinId="37" customBuiltin="1"/>
    <cellStyle name="Ênfase4" xfId="32" builtinId="41" customBuiltin="1"/>
    <cellStyle name="Ênfase5" xfId="33" builtinId="45" customBuiltin="1"/>
    <cellStyle name="Ênfase6" xfId="34" builtinId="49" customBuiltin="1"/>
    <cellStyle name="Entrada" xfId="35" builtinId="20" customBuiltin="1"/>
    <cellStyle name="Neutro 2" xfId="36" xr:uid="{39DB82BA-6A34-4790-896A-2B6B52BDBA51}"/>
    <cellStyle name="Normal" xfId="0" builtinId="0"/>
    <cellStyle name="Normal 2" xfId="37" xr:uid="{EA6E0A4F-0A43-4AAC-8881-EC5CEFFAE824}"/>
    <cellStyle name="Nota 2" xfId="38" xr:uid="{DD3B972D-7F61-4136-AB48-EC01E9B73B47}"/>
    <cellStyle name="Saída" xfId="39" builtinId="21" customBuiltin="1"/>
    <cellStyle name="Texto de Aviso" xfId="40" builtinId="11" customBuiltin="1"/>
    <cellStyle name="Texto Explicativo" xfId="41" builtinId="53" customBuiltin="1"/>
    <cellStyle name="Título 1" xfId="42" builtinId="16" customBuiltin="1"/>
    <cellStyle name="Título 2" xfId="43" builtinId="17" customBuiltin="1"/>
    <cellStyle name="Título 3" xfId="44" builtinId="18" customBuiltin="1"/>
    <cellStyle name="Título 4" xfId="45" builtinId="19" customBuiltin="1"/>
    <cellStyle name="Título 5" xfId="46" xr:uid="{0F87CFA7-3375-408D-81BB-A2FF219DC21F}"/>
    <cellStyle name="Total" xfId="4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Piracicaba!$N$5</c:f>
              <c:strCache>
                <c:ptCount val="1"/>
                <c:pt idx="0">
                  <c:v>Thornthwaite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Piracicaba!$N$6:$N$371</c:f>
              <c:numCache>
                <c:formatCode>0.00</c:formatCode>
                <c:ptCount val="366"/>
                <c:pt idx="0">
                  <c:v>4.0286148856052746</c:v>
                </c:pt>
                <c:pt idx="1">
                  <c:v>4.0286148856052746</c:v>
                </c:pt>
                <c:pt idx="2">
                  <c:v>4.0286148856052746</c:v>
                </c:pt>
                <c:pt idx="3">
                  <c:v>4.0286148856052746</c:v>
                </c:pt>
                <c:pt idx="4">
                  <c:v>4.0286148856052746</c:v>
                </c:pt>
                <c:pt idx="5">
                  <c:v>4.0286148856052746</c:v>
                </c:pt>
                <c:pt idx="6">
                  <c:v>4.0286148856052746</c:v>
                </c:pt>
                <c:pt idx="7">
                  <c:v>4.0286148856052746</c:v>
                </c:pt>
                <c:pt idx="8">
                  <c:v>4.0286148856052746</c:v>
                </c:pt>
                <c:pt idx="9">
                  <c:v>4.0286148856052746</c:v>
                </c:pt>
                <c:pt idx="10">
                  <c:v>4.0286148856052746</c:v>
                </c:pt>
                <c:pt idx="11">
                  <c:v>4.0286148856052746</c:v>
                </c:pt>
                <c:pt idx="12">
                  <c:v>4.0286148856052746</c:v>
                </c:pt>
                <c:pt idx="13">
                  <c:v>4.0286148856052746</c:v>
                </c:pt>
                <c:pt idx="14">
                  <c:v>4.0286148856052746</c:v>
                </c:pt>
                <c:pt idx="15">
                  <c:v>4.0286148856052746</c:v>
                </c:pt>
                <c:pt idx="16">
                  <c:v>4.0286148856052746</c:v>
                </c:pt>
                <c:pt idx="17">
                  <c:v>4.0286148856052746</c:v>
                </c:pt>
                <c:pt idx="18">
                  <c:v>4.0286148856052746</c:v>
                </c:pt>
                <c:pt idx="19">
                  <c:v>4.0286148856052746</c:v>
                </c:pt>
                <c:pt idx="20">
                  <c:v>4.0286148856052746</c:v>
                </c:pt>
                <c:pt idx="21">
                  <c:v>4.0286148856052746</c:v>
                </c:pt>
                <c:pt idx="22">
                  <c:v>4.0286148856052746</c:v>
                </c:pt>
                <c:pt idx="23">
                  <c:v>4.0286148856052746</c:v>
                </c:pt>
                <c:pt idx="24">
                  <c:v>4.0286148856052746</c:v>
                </c:pt>
                <c:pt idx="25">
                  <c:v>4.0286148856052746</c:v>
                </c:pt>
                <c:pt idx="26">
                  <c:v>4.0286148856052746</c:v>
                </c:pt>
                <c:pt idx="27">
                  <c:v>4.0286148856052746</c:v>
                </c:pt>
                <c:pt idx="28">
                  <c:v>4.0286148856052746</c:v>
                </c:pt>
                <c:pt idx="29">
                  <c:v>4.0286148856052746</c:v>
                </c:pt>
                <c:pt idx="30">
                  <c:v>4.0286148856052746</c:v>
                </c:pt>
                <c:pt idx="31">
                  <c:v>4.1083299410622294</c:v>
                </c:pt>
                <c:pt idx="32">
                  <c:v>4.1083299410622294</c:v>
                </c:pt>
                <c:pt idx="33">
                  <c:v>4.1083299410622294</c:v>
                </c:pt>
                <c:pt idx="34">
                  <c:v>4.1083299410622294</c:v>
                </c:pt>
                <c:pt idx="35">
                  <c:v>4.1083299410622294</c:v>
                </c:pt>
                <c:pt idx="36">
                  <c:v>4.1083299410622294</c:v>
                </c:pt>
                <c:pt idx="37">
                  <c:v>4.1083299410622294</c:v>
                </c:pt>
                <c:pt idx="38">
                  <c:v>4.1083299410622294</c:v>
                </c:pt>
                <c:pt idx="39">
                  <c:v>4.1083299410622294</c:v>
                </c:pt>
                <c:pt idx="40">
                  <c:v>4.1083299410622294</c:v>
                </c:pt>
                <c:pt idx="41">
                  <c:v>4.1083299410622294</c:v>
                </c:pt>
                <c:pt idx="42">
                  <c:v>4.1083299410622294</c:v>
                </c:pt>
                <c:pt idx="43">
                  <c:v>4.1083299410622294</c:v>
                </c:pt>
                <c:pt idx="44">
                  <c:v>4.1083299410622294</c:v>
                </c:pt>
                <c:pt idx="45">
                  <c:v>4.1083299410622294</c:v>
                </c:pt>
                <c:pt idx="46">
                  <c:v>4.1083299410622294</c:v>
                </c:pt>
                <c:pt idx="47">
                  <c:v>4.1083299410622294</c:v>
                </c:pt>
                <c:pt idx="48">
                  <c:v>4.1083299410622294</c:v>
                </c:pt>
                <c:pt idx="49">
                  <c:v>4.1083299410622294</c:v>
                </c:pt>
                <c:pt idx="50">
                  <c:v>4.1083299410622294</c:v>
                </c:pt>
                <c:pt idx="51">
                  <c:v>4.1083299410622294</c:v>
                </c:pt>
                <c:pt idx="52">
                  <c:v>4.1083299410622294</c:v>
                </c:pt>
                <c:pt idx="53">
                  <c:v>4.1083299410622294</c:v>
                </c:pt>
                <c:pt idx="54">
                  <c:v>4.1083299410622294</c:v>
                </c:pt>
                <c:pt idx="55">
                  <c:v>4.1083299410622294</c:v>
                </c:pt>
                <c:pt idx="56">
                  <c:v>4.1083299410622294</c:v>
                </c:pt>
                <c:pt idx="57">
                  <c:v>4.1083299410622294</c:v>
                </c:pt>
                <c:pt idx="58">
                  <c:v>4.1083299410622294</c:v>
                </c:pt>
                <c:pt idx="59">
                  <c:v>4.1083299410622294</c:v>
                </c:pt>
                <c:pt idx="60">
                  <c:v>3.9876159572667365</c:v>
                </c:pt>
                <c:pt idx="61">
                  <c:v>3.9876159572667365</c:v>
                </c:pt>
                <c:pt idx="62">
                  <c:v>3.9876159572667365</c:v>
                </c:pt>
                <c:pt idx="63">
                  <c:v>3.9876159572667365</c:v>
                </c:pt>
                <c:pt idx="64">
                  <c:v>3.9876159572667365</c:v>
                </c:pt>
                <c:pt idx="65">
                  <c:v>3.9876159572667365</c:v>
                </c:pt>
                <c:pt idx="66">
                  <c:v>3.9876159572667365</c:v>
                </c:pt>
                <c:pt idx="67">
                  <c:v>3.9876159572667365</c:v>
                </c:pt>
                <c:pt idx="68">
                  <c:v>3.9876159572667365</c:v>
                </c:pt>
                <c:pt idx="69">
                  <c:v>3.9876159572667365</c:v>
                </c:pt>
                <c:pt idx="70">
                  <c:v>3.9876159572667365</c:v>
                </c:pt>
                <c:pt idx="71">
                  <c:v>3.9876159572667365</c:v>
                </c:pt>
                <c:pt idx="72">
                  <c:v>3.9876159572667365</c:v>
                </c:pt>
                <c:pt idx="73">
                  <c:v>3.9876159572667365</c:v>
                </c:pt>
                <c:pt idx="74">
                  <c:v>3.9876159572667365</c:v>
                </c:pt>
                <c:pt idx="75">
                  <c:v>3.9876159572667365</c:v>
                </c:pt>
                <c:pt idx="76">
                  <c:v>3.9876159572667365</c:v>
                </c:pt>
                <c:pt idx="77">
                  <c:v>3.9876159572667365</c:v>
                </c:pt>
                <c:pt idx="78">
                  <c:v>3.9876159572667365</c:v>
                </c:pt>
                <c:pt idx="79">
                  <c:v>3.9876159572667365</c:v>
                </c:pt>
                <c:pt idx="80">
                  <c:v>3.9876159572667365</c:v>
                </c:pt>
                <c:pt idx="81">
                  <c:v>3.9876159572667365</c:v>
                </c:pt>
                <c:pt idx="82">
                  <c:v>3.9876159572667365</c:v>
                </c:pt>
                <c:pt idx="83">
                  <c:v>3.9876159572667365</c:v>
                </c:pt>
                <c:pt idx="84">
                  <c:v>3.9876159572667365</c:v>
                </c:pt>
                <c:pt idx="85">
                  <c:v>3.9876159572667365</c:v>
                </c:pt>
                <c:pt idx="86">
                  <c:v>3.9876159572667365</c:v>
                </c:pt>
                <c:pt idx="87">
                  <c:v>3.9876159572667365</c:v>
                </c:pt>
                <c:pt idx="88">
                  <c:v>3.9876159572667365</c:v>
                </c:pt>
                <c:pt idx="89">
                  <c:v>3.9876159572667365</c:v>
                </c:pt>
                <c:pt idx="90">
                  <c:v>3.9876159572667365</c:v>
                </c:pt>
                <c:pt idx="91">
                  <c:v>3.8969842034074094</c:v>
                </c:pt>
                <c:pt idx="92">
                  <c:v>3.8969842034074094</c:v>
                </c:pt>
                <c:pt idx="93">
                  <c:v>3.8969842034074094</c:v>
                </c:pt>
                <c:pt idx="94">
                  <c:v>3.8969842034074094</c:v>
                </c:pt>
                <c:pt idx="95">
                  <c:v>3.8969842034074094</c:v>
                </c:pt>
                <c:pt idx="96">
                  <c:v>3.8969842034074094</c:v>
                </c:pt>
                <c:pt idx="97">
                  <c:v>3.8969842034074094</c:v>
                </c:pt>
                <c:pt idx="98">
                  <c:v>3.8969842034074094</c:v>
                </c:pt>
                <c:pt idx="99">
                  <c:v>3.8969842034074094</c:v>
                </c:pt>
                <c:pt idx="100">
                  <c:v>3.8969842034074094</c:v>
                </c:pt>
                <c:pt idx="101">
                  <c:v>3.8969842034074094</c:v>
                </c:pt>
                <c:pt idx="102">
                  <c:v>3.8969842034074094</c:v>
                </c:pt>
                <c:pt idx="103">
                  <c:v>3.8969842034074094</c:v>
                </c:pt>
                <c:pt idx="104">
                  <c:v>3.8969842034074094</c:v>
                </c:pt>
                <c:pt idx="105">
                  <c:v>3.8969842034074094</c:v>
                </c:pt>
                <c:pt idx="106">
                  <c:v>3.8969842034074094</c:v>
                </c:pt>
                <c:pt idx="107">
                  <c:v>3.8969842034074094</c:v>
                </c:pt>
                <c:pt idx="108">
                  <c:v>3.8969842034074094</c:v>
                </c:pt>
                <c:pt idx="109">
                  <c:v>3.8969842034074094</c:v>
                </c:pt>
                <c:pt idx="110">
                  <c:v>3.8969842034074094</c:v>
                </c:pt>
                <c:pt idx="111">
                  <c:v>3.8969842034074094</c:v>
                </c:pt>
                <c:pt idx="112">
                  <c:v>3.8969842034074094</c:v>
                </c:pt>
                <c:pt idx="113">
                  <c:v>3.8969842034074094</c:v>
                </c:pt>
                <c:pt idx="114">
                  <c:v>3.8969842034074094</c:v>
                </c:pt>
                <c:pt idx="115">
                  <c:v>3.8969842034074094</c:v>
                </c:pt>
                <c:pt idx="116">
                  <c:v>3.8969842034074094</c:v>
                </c:pt>
                <c:pt idx="117">
                  <c:v>3.8969842034074094</c:v>
                </c:pt>
                <c:pt idx="118">
                  <c:v>3.8969842034074094</c:v>
                </c:pt>
                <c:pt idx="119">
                  <c:v>3.8969842034074094</c:v>
                </c:pt>
                <c:pt idx="120">
                  <c:v>3.8969842034074094</c:v>
                </c:pt>
                <c:pt idx="121">
                  <c:v>2.9141979856052749</c:v>
                </c:pt>
                <c:pt idx="122">
                  <c:v>2.9141979856052749</c:v>
                </c:pt>
                <c:pt idx="123">
                  <c:v>2.9141979856052749</c:v>
                </c:pt>
                <c:pt idx="124">
                  <c:v>2.9141979856052749</c:v>
                </c:pt>
                <c:pt idx="125">
                  <c:v>2.9141979856052749</c:v>
                </c:pt>
                <c:pt idx="126">
                  <c:v>2.9141979856052749</c:v>
                </c:pt>
                <c:pt idx="127">
                  <c:v>2.9141979856052749</c:v>
                </c:pt>
                <c:pt idx="128">
                  <c:v>2.9141979856052749</c:v>
                </c:pt>
                <c:pt idx="129">
                  <c:v>2.9141979856052749</c:v>
                </c:pt>
                <c:pt idx="130">
                  <c:v>2.9141979856052749</c:v>
                </c:pt>
                <c:pt idx="131">
                  <c:v>2.9141979856052749</c:v>
                </c:pt>
                <c:pt idx="132">
                  <c:v>2.9141979856052749</c:v>
                </c:pt>
                <c:pt idx="133">
                  <c:v>2.9141979856052749</c:v>
                </c:pt>
                <c:pt idx="134">
                  <c:v>2.9141979856052749</c:v>
                </c:pt>
                <c:pt idx="135">
                  <c:v>2.9141979856052749</c:v>
                </c:pt>
                <c:pt idx="136">
                  <c:v>2.9141979856052749</c:v>
                </c:pt>
                <c:pt idx="137">
                  <c:v>2.9141979856052749</c:v>
                </c:pt>
                <c:pt idx="138">
                  <c:v>2.9141979856052749</c:v>
                </c:pt>
                <c:pt idx="139">
                  <c:v>2.9141979856052749</c:v>
                </c:pt>
                <c:pt idx="140">
                  <c:v>2.9141979856052749</c:v>
                </c:pt>
                <c:pt idx="141">
                  <c:v>2.9141979856052749</c:v>
                </c:pt>
                <c:pt idx="142">
                  <c:v>2.9141979856052749</c:v>
                </c:pt>
                <c:pt idx="143">
                  <c:v>2.9141979856052749</c:v>
                </c:pt>
                <c:pt idx="144">
                  <c:v>2.9141979856052749</c:v>
                </c:pt>
                <c:pt idx="145">
                  <c:v>2.9141979856052749</c:v>
                </c:pt>
                <c:pt idx="146">
                  <c:v>2.9141979856052749</c:v>
                </c:pt>
                <c:pt idx="147">
                  <c:v>2.9141979856052749</c:v>
                </c:pt>
                <c:pt idx="148">
                  <c:v>2.9141979856052749</c:v>
                </c:pt>
                <c:pt idx="149">
                  <c:v>2.9141979856052749</c:v>
                </c:pt>
                <c:pt idx="150">
                  <c:v>2.9141979856052749</c:v>
                </c:pt>
                <c:pt idx="151">
                  <c:v>2.9141979856052749</c:v>
                </c:pt>
                <c:pt idx="152">
                  <c:v>1.9705595811851879</c:v>
                </c:pt>
                <c:pt idx="153">
                  <c:v>1.9705595811851879</c:v>
                </c:pt>
                <c:pt idx="154">
                  <c:v>1.9705595811851879</c:v>
                </c:pt>
                <c:pt idx="155">
                  <c:v>1.9705595811851879</c:v>
                </c:pt>
                <c:pt idx="156">
                  <c:v>1.9705595811851879</c:v>
                </c:pt>
                <c:pt idx="157">
                  <c:v>1.9705595811851879</c:v>
                </c:pt>
                <c:pt idx="158">
                  <c:v>1.9705595811851879</c:v>
                </c:pt>
                <c:pt idx="159">
                  <c:v>1.9705595811851879</c:v>
                </c:pt>
                <c:pt idx="160">
                  <c:v>1.9705595811851879</c:v>
                </c:pt>
                <c:pt idx="161">
                  <c:v>1.9705595811851879</c:v>
                </c:pt>
                <c:pt idx="162">
                  <c:v>1.9705595811851879</c:v>
                </c:pt>
                <c:pt idx="163">
                  <c:v>1.9705595811851879</c:v>
                </c:pt>
                <c:pt idx="164">
                  <c:v>1.9705595811851879</c:v>
                </c:pt>
                <c:pt idx="165">
                  <c:v>1.9705595811851879</c:v>
                </c:pt>
                <c:pt idx="166">
                  <c:v>1.9705595811851879</c:v>
                </c:pt>
                <c:pt idx="167">
                  <c:v>1.9705595811851879</c:v>
                </c:pt>
                <c:pt idx="168">
                  <c:v>1.9705595811851879</c:v>
                </c:pt>
                <c:pt idx="169">
                  <c:v>1.9705595811851879</c:v>
                </c:pt>
                <c:pt idx="170">
                  <c:v>1.9705595811851879</c:v>
                </c:pt>
                <c:pt idx="171">
                  <c:v>1.9705595811851879</c:v>
                </c:pt>
                <c:pt idx="172">
                  <c:v>1.9705595811851879</c:v>
                </c:pt>
                <c:pt idx="173">
                  <c:v>1.9705595811851879</c:v>
                </c:pt>
                <c:pt idx="174">
                  <c:v>1.9705595811851879</c:v>
                </c:pt>
                <c:pt idx="175">
                  <c:v>1.9705595811851879</c:v>
                </c:pt>
                <c:pt idx="176">
                  <c:v>1.9705595811851879</c:v>
                </c:pt>
                <c:pt idx="177">
                  <c:v>1.9705595811851879</c:v>
                </c:pt>
                <c:pt idx="178">
                  <c:v>1.9705595811851879</c:v>
                </c:pt>
                <c:pt idx="179">
                  <c:v>1.9705595811851879</c:v>
                </c:pt>
                <c:pt idx="180">
                  <c:v>1.9705595811851879</c:v>
                </c:pt>
                <c:pt idx="181">
                  <c:v>1.9705595811851879</c:v>
                </c:pt>
                <c:pt idx="182">
                  <c:v>1.1900090666666634</c:v>
                </c:pt>
                <c:pt idx="183">
                  <c:v>1.1900090666666634</c:v>
                </c:pt>
                <c:pt idx="184">
                  <c:v>1.1900090666666634</c:v>
                </c:pt>
                <c:pt idx="185">
                  <c:v>1.1900090666666634</c:v>
                </c:pt>
                <c:pt idx="186">
                  <c:v>1.1900090666666634</c:v>
                </c:pt>
                <c:pt idx="187">
                  <c:v>1.1900090666666634</c:v>
                </c:pt>
                <c:pt idx="188">
                  <c:v>1.1900090666666634</c:v>
                </c:pt>
                <c:pt idx="189">
                  <c:v>1.1900090666666634</c:v>
                </c:pt>
                <c:pt idx="190">
                  <c:v>1.1900090666666634</c:v>
                </c:pt>
                <c:pt idx="191">
                  <c:v>1.1900090666666634</c:v>
                </c:pt>
                <c:pt idx="192">
                  <c:v>1.1900090666666634</c:v>
                </c:pt>
                <c:pt idx="193">
                  <c:v>1.1900090666666634</c:v>
                </c:pt>
                <c:pt idx="194">
                  <c:v>1.1900090666666634</c:v>
                </c:pt>
                <c:pt idx="195">
                  <c:v>1.1900090666666634</c:v>
                </c:pt>
                <c:pt idx="196">
                  <c:v>1.1900090666666634</c:v>
                </c:pt>
                <c:pt idx="197">
                  <c:v>1.1900090666666634</c:v>
                </c:pt>
                <c:pt idx="198">
                  <c:v>1.1900090666666634</c:v>
                </c:pt>
                <c:pt idx="199">
                  <c:v>1.1900090666666634</c:v>
                </c:pt>
                <c:pt idx="200">
                  <c:v>1.1900090666666634</c:v>
                </c:pt>
                <c:pt idx="201">
                  <c:v>1.1900090666666634</c:v>
                </c:pt>
                <c:pt idx="202">
                  <c:v>1.1900090666666634</c:v>
                </c:pt>
                <c:pt idx="203">
                  <c:v>1.1900090666666634</c:v>
                </c:pt>
                <c:pt idx="204">
                  <c:v>1.1900090666666634</c:v>
                </c:pt>
                <c:pt idx="205">
                  <c:v>1.1900090666666634</c:v>
                </c:pt>
                <c:pt idx="206">
                  <c:v>1.1900090666666634</c:v>
                </c:pt>
                <c:pt idx="207">
                  <c:v>1.1900090666666634</c:v>
                </c:pt>
                <c:pt idx="208">
                  <c:v>1.1900090666666634</c:v>
                </c:pt>
                <c:pt idx="209">
                  <c:v>1.1900090666666634</c:v>
                </c:pt>
                <c:pt idx="210">
                  <c:v>1.1900090666666634</c:v>
                </c:pt>
                <c:pt idx="211">
                  <c:v>1.1900090666666634</c:v>
                </c:pt>
                <c:pt idx="212">
                  <c:v>1.1900090666666634</c:v>
                </c:pt>
                <c:pt idx="213">
                  <c:v>1.8608963259451941</c:v>
                </c:pt>
                <c:pt idx="214">
                  <c:v>1.8608963259451941</c:v>
                </c:pt>
                <c:pt idx="215">
                  <c:v>1.8608963259451941</c:v>
                </c:pt>
                <c:pt idx="216">
                  <c:v>1.8608963259451941</c:v>
                </c:pt>
                <c:pt idx="217">
                  <c:v>1.8608963259451941</c:v>
                </c:pt>
                <c:pt idx="218">
                  <c:v>1.8608963259451941</c:v>
                </c:pt>
                <c:pt idx="219">
                  <c:v>1.8608963259451941</c:v>
                </c:pt>
                <c:pt idx="220">
                  <c:v>1.8608963259451941</c:v>
                </c:pt>
                <c:pt idx="221">
                  <c:v>1.8608963259451941</c:v>
                </c:pt>
                <c:pt idx="222">
                  <c:v>1.8608963259451941</c:v>
                </c:pt>
                <c:pt idx="223">
                  <c:v>1.8608963259451941</c:v>
                </c:pt>
                <c:pt idx="224">
                  <c:v>1.8608963259451941</c:v>
                </c:pt>
                <c:pt idx="225">
                  <c:v>1.8608963259451941</c:v>
                </c:pt>
                <c:pt idx="226">
                  <c:v>1.8608963259451941</c:v>
                </c:pt>
                <c:pt idx="227">
                  <c:v>1.8608963259451941</c:v>
                </c:pt>
                <c:pt idx="228">
                  <c:v>1.8608963259451941</c:v>
                </c:pt>
                <c:pt idx="229">
                  <c:v>1.8608963259451941</c:v>
                </c:pt>
                <c:pt idx="230">
                  <c:v>1.8608963259451941</c:v>
                </c:pt>
                <c:pt idx="231">
                  <c:v>1.8608963259451941</c:v>
                </c:pt>
                <c:pt idx="232">
                  <c:v>1.8608963259451941</c:v>
                </c:pt>
                <c:pt idx="233">
                  <c:v>1.8608963259451941</c:v>
                </c:pt>
                <c:pt idx="234">
                  <c:v>1.8608963259451941</c:v>
                </c:pt>
                <c:pt idx="235">
                  <c:v>1.8608963259451941</c:v>
                </c:pt>
                <c:pt idx="236">
                  <c:v>1.8608963259451941</c:v>
                </c:pt>
                <c:pt idx="237">
                  <c:v>1.8608963259451941</c:v>
                </c:pt>
                <c:pt idx="238">
                  <c:v>1.8608963259451941</c:v>
                </c:pt>
                <c:pt idx="239">
                  <c:v>1.8608963259451941</c:v>
                </c:pt>
                <c:pt idx="240">
                  <c:v>1.8608963259451941</c:v>
                </c:pt>
                <c:pt idx="241">
                  <c:v>1.8608963259451941</c:v>
                </c:pt>
                <c:pt idx="242">
                  <c:v>1.8608963259451941</c:v>
                </c:pt>
                <c:pt idx="243">
                  <c:v>1.8608963259451941</c:v>
                </c:pt>
                <c:pt idx="244">
                  <c:v>3.9790983225185168</c:v>
                </c:pt>
                <c:pt idx="245">
                  <c:v>3.9790983225185168</c:v>
                </c:pt>
                <c:pt idx="246">
                  <c:v>3.9790983225185168</c:v>
                </c:pt>
                <c:pt idx="247">
                  <c:v>3.9790983225185168</c:v>
                </c:pt>
                <c:pt idx="248">
                  <c:v>3.9790983225185168</c:v>
                </c:pt>
                <c:pt idx="249">
                  <c:v>3.9790983225185168</c:v>
                </c:pt>
                <c:pt idx="250">
                  <c:v>3.9790983225185168</c:v>
                </c:pt>
                <c:pt idx="251">
                  <c:v>3.9790983225185168</c:v>
                </c:pt>
                <c:pt idx="252">
                  <c:v>3.9790983225185168</c:v>
                </c:pt>
                <c:pt idx="253">
                  <c:v>3.9790983225185168</c:v>
                </c:pt>
                <c:pt idx="254">
                  <c:v>3.9790983225185168</c:v>
                </c:pt>
                <c:pt idx="255">
                  <c:v>3.9790983225185168</c:v>
                </c:pt>
                <c:pt idx="256">
                  <c:v>3.9790983225185168</c:v>
                </c:pt>
                <c:pt idx="257">
                  <c:v>3.9790983225185168</c:v>
                </c:pt>
                <c:pt idx="258">
                  <c:v>3.9790983225185168</c:v>
                </c:pt>
                <c:pt idx="259">
                  <c:v>3.9790983225185168</c:v>
                </c:pt>
                <c:pt idx="260">
                  <c:v>3.9790983225185168</c:v>
                </c:pt>
                <c:pt idx="261">
                  <c:v>3.9790983225185168</c:v>
                </c:pt>
                <c:pt idx="262">
                  <c:v>3.9790983225185168</c:v>
                </c:pt>
                <c:pt idx="263">
                  <c:v>3.9790983225185168</c:v>
                </c:pt>
                <c:pt idx="264">
                  <c:v>3.9790983225185168</c:v>
                </c:pt>
                <c:pt idx="265">
                  <c:v>3.9790983225185168</c:v>
                </c:pt>
                <c:pt idx="266">
                  <c:v>3.9790983225185168</c:v>
                </c:pt>
                <c:pt idx="267">
                  <c:v>3.9790983225185168</c:v>
                </c:pt>
                <c:pt idx="268">
                  <c:v>3.9790983225185168</c:v>
                </c:pt>
                <c:pt idx="269">
                  <c:v>3.9790983225185168</c:v>
                </c:pt>
                <c:pt idx="270">
                  <c:v>3.9790983225185168</c:v>
                </c:pt>
                <c:pt idx="271">
                  <c:v>3.9790983225185168</c:v>
                </c:pt>
                <c:pt idx="272">
                  <c:v>3.9790983225185168</c:v>
                </c:pt>
                <c:pt idx="273">
                  <c:v>3.9790983225185168</c:v>
                </c:pt>
                <c:pt idx="274">
                  <c:v>3.6834307614637547</c:v>
                </c:pt>
                <c:pt idx="275">
                  <c:v>3.6834307614637547</c:v>
                </c:pt>
                <c:pt idx="276">
                  <c:v>3.6834307614637547</c:v>
                </c:pt>
                <c:pt idx="277">
                  <c:v>3.6834307614637547</c:v>
                </c:pt>
                <c:pt idx="278">
                  <c:v>3.6834307614637547</c:v>
                </c:pt>
                <c:pt idx="279">
                  <c:v>3.6834307614637547</c:v>
                </c:pt>
                <c:pt idx="280">
                  <c:v>3.6834307614637547</c:v>
                </c:pt>
                <c:pt idx="281">
                  <c:v>3.6834307614637547</c:v>
                </c:pt>
                <c:pt idx="282">
                  <c:v>3.6834307614637547</c:v>
                </c:pt>
                <c:pt idx="283">
                  <c:v>3.6834307614637547</c:v>
                </c:pt>
                <c:pt idx="284">
                  <c:v>3.6834307614637547</c:v>
                </c:pt>
                <c:pt idx="285">
                  <c:v>3.6834307614637547</c:v>
                </c:pt>
                <c:pt idx="286">
                  <c:v>3.6834307614637547</c:v>
                </c:pt>
                <c:pt idx="287">
                  <c:v>3.6834307614637547</c:v>
                </c:pt>
                <c:pt idx="288">
                  <c:v>3.6834307614637547</c:v>
                </c:pt>
                <c:pt idx="289">
                  <c:v>3.6834307614637547</c:v>
                </c:pt>
                <c:pt idx="290">
                  <c:v>3.6834307614637547</c:v>
                </c:pt>
                <c:pt idx="291">
                  <c:v>3.6834307614637547</c:v>
                </c:pt>
                <c:pt idx="292">
                  <c:v>3.6834307614637547</c:v>
                </c:pt>
                <c:pt idx="293">
                  <c:v>3.6834307614637547</c:v>
                </c:pt>
                <c:pt idx="294">
                  <c:v>3.6834307614637547</c:v>
                </c:pt>
                <c:pt idx="295">
                  <c:v>3.6834307614637547</c:v>
                </c:pt>
                <c:pt idx="296">
                  <c:v>3.6834307614637547</c:v>
                </c:pt>
                <c:pt idx="297">
                  <c:v>3.6834307614637547</c:v>
                </c:pt>
                <c:pt idx="298">
                  <c:v>3.6834307614637547</c:v>
                </c:pt>
                <c:pt idx="299">
                  <c:v>3.6834307614637547</c:v>
                </c:pt>
                <c:pt idx="300">
                  <c:v>3.6834307614637547</c:v>
                </c:pt>
                <c:pt idx="301">
                  <c:v>3.6834307614637547</c:v>
                </c:pt>
                <c:pt idx="302">
                  <c:v>3.6834307614637547</c:v>
                </c:pt>
                <c:pt idx="303">
                  <c:v>3.6834307614637547</c:v>
                </c:pt>
                <c:pt idx="304">
                  <c:v>3.6834307614637547</c:v>
                </c:pt>
                <c:pt idx="305">
                  <c:v>3.5183022330740719</c:v>
                </c:pt>
                <c:pt idx="306">
                  <c:v>3.5183022330740719</c:v>
                </c:pt>
                <c:pt idx="307">
                  <c:v>3.5183022330740719</c:v>
                </c:pt>
                <c:pt idx="308">
                  <c:v>3.5183022330740719</c:v>
                </c:pt>
                <c:pt idx="309">
                  <c:v>3.5183022330740719</c:v>
                </c:pt>
                <c:pt idx="310">
                  <c:v>3.5183022330740719</c:v>
                </c:pt>
                <c:pt idx="311">
                  <c:v>3.5183022330740719</c:v>
                </c:pt>
                <c:pt idx="312">
                  <c:v>3.5183022330740719</c:v>
                </c:pt>
                <c:pt idx="313">
                  <c:v>3.5183022330740719</c:v>
                </c:pt>
                <c:pt idx="314">
                  <c:v>3.5183022330740719</c:v>
                </c:pt>
                <c:pt idx="315">
                  <c:v>3.5183022330740719</c:v>
                </c:pt>
                <c:pt idx="316">
                  <c:v>3.5183022330740719</c:v>
                </c:pt>
                <c:pt idx="317">
                  <c:v>3.5183022330740719</c:v>
                </c:pt>
                <c:pt idx="318">
                  <c:v>3.5183022330740719</c:v>
                </c:pt>
                <c:pt idx="319">
                  <c:v>3.5183022330740719</c:v>
                </c:pt>
                <c:pt idx="320">
                  <c:v>3.5183022330740719</c:v>
                </c:pt>
                <c:pt idx="321">
                  <c:v>3.5183022330740719</c:v>
                </c:pt>
                <c:pt idx="322">
                  <c:v>3.5183022330740719</c:v>
                </c:pt>
                <c:pt idx="323">
                  <c:v>3.5183022330740719</c:v>
                </c:pt>
                <c:pt idx="324">
                  <c:v>3.5183022330740719</c:v>
                </c:pt>
                <c:pt idx="325">
                  <c:v>3.5183022330740719</c:v>
                </c:pt>
                <c:pt idx="326">
                  <c:v>3.5183022330740719</c:v>
                </c:pt>
                <c:pt idx="327">
                  <c:v>3.5183022330740719</c:v>
                </c:pt>
                <c:pt idx="328">
                  <c:v>3.5183022330740719</c:v>
                </c:pt>
                <c:pt idx="329">
                  <c:v>3.5183022330740719</c:v>
                </c:pt>
                <c:pt idx="330">
                  <c:v>3.5183022330740719</c:v>
                </c:pt>
                <c:pt idx="331">
                  <c:v>3.5183022330740719</c:v>
                </c:pt>
                <c:pt idx="332">
                  <c:v>3.5183022330740719</c:v>
                </c:pt>
                <c:pt idx="333">
                  <c:v>3.5183022330740719</c:v>
                </c:pt>
                <c:pt idx="334">
                  <c:v>3.5183022330740719</c:v>
                </c:pt>
                <c:pt idx="335">
                  <c:v>3.807181811897332</c:v>
                </c:pt>
                <c:pt idx="336">
                  <c:v>3.807181811897332</c:v>
                </c:pt>
                <c:pt idx="337">
                  <c:v>3.807181811897332</c:v>
                </c:pt>
                <c:pt idx="338">
                  <c:v>3.807181811897332</c:v>
                </c:pt>
                <c:pt idx="339">
                  <c:v>3.807181811897332</c:v>
                </c:pt>
                <c:pt idx="340">
                  <c:v>3.807181811897332</c:v>
                </c:pt>
                <c:pt idx="341">
                  <c:v>3.807181811897332</c:v>
                </c:pt>
                <c:pt idx="342">
                  <c:v>3.807181811897332</c:v>
                </c:pt>
                <c:pt idx="343">
                  <c:v>3.807181811897332</c:v>
                </c:pt>
                <c:pt idx="344">
                  <c:v>3.807181811897332</c:v>
                </c:pt>
                <c:pt idx="345">
                  <c:v>3.807181811897332</c:v>
                </c:pt>
                <c:pt idx="346">
                  <c:v>3.807181811897332</c:v>
                </c:pt>
                <c:pt idx="347">
                  <c:v>3.807181811897332</c:v>
                </c:pt>
                <c:pt idx="348">
                  <c:v>3.807181811897332</c:v>
                </c:pt>
                <c:pt idx="349">
                  <c:v>3.807181811897332</c:v>
                </c:pt>
                <c:pt idx="350">
                  <c:v>3.807181811897332</c:v>
                </c:pt>
                <c:pt idx="351">
                  <c:v>3.807181811897332</c:v>
                </c:pt>
                <c:pt idx="352">
                  <c:v>3.807181811897332</c:v>
                </c:pt>
                <c:pt idx="353">
                  <c:v>3.807181811897332</c:v>
                </c:pt>
                <c:pt idx="354">
                  <c:v>3.807181811897332</c:v>
                </c:pt>
                <c:pt idx="355">
                  <c:v>3.807181811897332</c:v>
                </c:pt>
                <c:pt idx="356">
                  <c:v>3.807181811897332</c:v>
                </c:pt>
                <c:pt idx="357">
                  <c:v>3.807181811897332</c:v>
                </c:pt>
                <c:pt idx="358">
                  <c:v>3.807181811897332</c:v>
                </c:pt>
                <c:pt idx="359">
                  <c:v>3.807181811897332</c:v>
                </c:pt>
                <c:pt idx="360">
                  <c:v>3.807181811897332</c:v>
                </c:pt>
                <c:pt idx="361">
                  <c:v>3.807181811897332</c:v>
                </c:pt>
                <c:pt idx="362">
                  <c:v>3.807181811897332</c:v>
                </c:pt>
                <c:pt idx="363">
                  <c:v>3.807181811897332</c:v>
                </c:pt>
                <c:pt idx="364">
                  <c:v>3.807181811897332</c:v>
                </c:pt>
                <c:pt idx="365">
                  <c:v>3.807181811897332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A7-4B31-97D6-CAB28F27333E}"/>
            </c:ext>
          </c:extLst>
        </c:ser>
        <c:ser>
          <c:idx val="1"/>
          <c:order val="1"/>
          <c:tx>
            <c:strRef>
              <c:f>Piracicaba!$O$5</c:f>
              <c:strCache>
                <c:ptCount val="1"/>
                <c:pt idx="0">
                  <c:v>Thornthwaite-Camargo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Piracicaba!$O$6:$O$371</c:f>
              <c:numCache>
                <c:formatCode>0.00</c:formatCode>
                <c:ptCount val="366"/>
                <c:pt idx="0">
                  <c:v>21.873225114394735</c:v>
                </c:pt>
                <c:pt idx="1">
                  <c:v>21.873225114394735</c:v>
                </c:pt>
                <c:pt idx="2">
                  <c:v>21.873225114394735</c:v>
                </c:pt>
                <c:pt idx="3">
                  <c:v>21.873225114394735</c:v>
                </c:pt>
                <c:pt idx="4">
                  <c:v>21.873225114394735</c:v>
                </c:pt>
                <c:pt idx="5">
                  <c:v>21.873225114394735</c:v>
                </c:pt>
                <c:pt idx="6">
                  <c:v>21.873225114394735</c:v>
                </c:pt>
                <c:pt idx="7">
                  <c:v>21.873225114394735</c:v>
                </c:pt>
                <c:pt idx="8">
                  <c:v>21.873225114394735</c:v>
                </c:pt>
                <c:pt idx="9">
                  <c:v>21.873225114394735</c:v>
                </c:pt>
                <c:pt idx="10">
                  <c:v>21.873225114394735</c:v>
                </c:pt>
                <c:pt idx="11">
                  <c:v>21.873225114394735</c:v>
                </c:pt>
                <c:pt idx="12">
                  <c:v>21.873225114394735</c:v>
                </c:pt>
                <c:pt idx="13">
                  <c:v>21.873225114394735</c:v>
                </c:pt>
                <c:pt idx="14">
                  <c:v>21.873225114394735</c:v>
                </c:pt>
                <c:pt idx="15">
                  <c:v>21.873225114394735</c:v>
                </c:pt>
                <c:pt idx="16">
                  <c:v>21.873225114394735</c:v>
                </c:pt>
                <c:pt idx="17">
                  <c:v>21.873225114394735</c:v>
                </c:pt>
                <c:pt idx="18">
                  <c:v>21.873225114394735</c:v>
                </c:pt>
                <c:pt idx="19">
                  <c:v>21.873225114394735</c:v>
                </c:pt>
                <c:pt idx="20">
                  <c:v>21.873225114394735</c:v>
                </c:pt>
                <c:pt idx="21">
                  <c:v>21.873225114394735</c:v>
                </c:pt>
                <c:pt idx="22">
                  <c:v>21.873225114394735</c:v>
                </c:pt>
                <c:pt idx="23">
                  <c:v>21.873225114394735</c:v>
                </c:pt>
                <c:pt idx="24">
                  <c:v>21.873225114394735</c:v>
                </c:pt>
                <c:pt idx="25">
                  <c:v>21.873225114394735</c:v>
                </c:pt>
                <c:pt idx="26">
                  <c:v>21.873225114394735</c:v>
                </c:pt>
                <c:pt idx="27">
                  <c:v>21.873225114394735</c:v>
                </c:pt>
                <c:pt idx="28">
                  <c:v>21.873225114394735</c:v>
                </c:pt>
                <c:pt idx="29">
                  <c:v>21.873225114394735</c:v>
                </c:pt>
                <c:pt idx="30">
                  <c:v>21.873225114394735</c:v>
                </c:pt>
                <c:pt idx="31">
                  <c:v>22.274468219857319</c:v>
                </c:pt>
                <c:pt idx="32">
                  <c:v>22.274468219857319</c:v>
                </c:pt>
                <c:pt idx="33">
                  <c:v>22.274468219857319</c:v>
                </c:pt>
                <c:pt idx="34">
                  <c:v>22.274468219857319</c:v>
                </c:pt>
                <c:pt idx="35">
                  <c:v>22.274468219857319</c:v>
                </c:pt>
                <c:pt idx="36">
                  <c:v>22.274468219857319</c:v>
                </c:pt>
                <c:pt idx="37">
                  <c:v>22.274468219857319</c:v>
                </c:pt>
                <c:pt idx="38">
                  <c:v>22.274468219857319</c:v>
                </c:pt>
                <c:pt idx="39">
                  <c:v>22.274468219857319</c:v>
                </c:pt>
                <c:pt idx="40">
                  <c:v>22.274468219857319</c:v>
                </c:pt>
                <c:pt idx="41">
                  <c:v>22.274468219857319</c:v>
                </c:pt>
                <c:pt idx="42">
                  <c:v>22.274468219857319</c:v>
                </c:pt>
                <c:pt idx="43">
                  <c:v>22.274468219857319</c:v>
                </c:pt>
                <c:pt idx="44">
                  <c:v>22.274468219857319</c:v>
                </c:pt>
                <c:pt idx="45">
                  <c:v>22.274468219857319</c:v>
                </c:pt>
                <c:pt idx="46">
                  <c:v>22.274468219857319</c:v>
                </c:pt>
                <c:pt idx="47">
                  <c:v>22.274468219857319</c:v>
                </c:pt>
                <c:pt idx="48">
                  <c:v>22.274468219857319</c:v>
                </c:pt>
                <c:pt idx="49">
                  <c:v>22.274468219857319</c:v>
                </c:pt>
                <c:pt idx="50">
                  <c:v>22.274468219857319</c:v>
                </c:pt>
                <c:pt idx="51">
                  <c:v>22.274468219857319</c:v>
                </c:pt>
                <c:pt idx="52">
                  <c:v>22.274468219857319</c:v>
                </c:pt>
                <c:pt idx="53">
                  <c:v>22.274468219857319</c:v>
                </c:pt>
                <c:pt idx="54">
                  <c:v>22.274468219857319</c:v>
                </c:pt>
                <c:pt idx="55">
                  <c:v>22.274468219857319</c:v>
                </c:pt>
                <c:pt idx="56">
                  <c:v>22.274468219857319</c:v>
                </c:pt>
                <c:pt idx="57">
                  <c:v>22.274468219857319</c:v>
                </c:pt>
                <c:pt idx="58">
                  <c:v>22.274468219857319</c:v>
                </c:pt>
                <c:pt idx="59">
                  <c:v>22.274468219857319</c:v>
                </c:pt>
                <c:pt idx="60">
                  <c:v>21.670170709399933</c:v>
                </c:pt>
                <c:pt idx="61">
                  <c:v>21.670170709399933</c:v>
                </c:pt>
                <c:pt idx="62">
                  <c:v>21.670170709399933</c:v>
                </c:pt>
                <c:pt idx="63">
                  <c:v>21.670170709399933</c:v>
                </c:pt>
                <c:pt idx="64">
                  <c:v>21.670170709399933</c:v>
                </c:pt>
                <c:pt idx="65">
                  <c:v>21.670170709399933</c:v>
                </c:pt>
                <c:pt idx="66">
                  <c:v>21.670170709399933</c:v>
                </c:pt>
                <c:pt idx="67">
                  <c:v>21.670170709399933</c:v>
                </c:pt>
                <c:pt idx="68">
                  <c:v>21.670170709399933</c:v>
                </c:pt>
                <c:pt idx="69">
                  <c:v>21.670170709399933</c:v>
                </c:pt>
                <c:pt idx="70">
                  <c:v>21.670170709399933</c:v>
                </c:pt>
                <c:pt idx="71">
                  <c:v>21.670170709399933</c:v>
                </c:pt>
                <c:pt idx="72">
                  <c:v>21.670170709399933</c:v>
                </c:pt>
                <c:pt idx="73">
                  <c:v>21.670170709399933</c:v>
                </c:pt>
                <c:pt idx="74">
                  <c:v>21.670170709399933</c:v>
                </c:pt>
                <c:pt idx="75">
                  <c:v>21.670170709399933</c:v>
                </c:pt>
                <c:pt idx="76">
                  <c:v>21.670170709399933</c:v>
                </c:pt>
                <c:pt idx="77">
                  <c:v>21.670170709399933</c:v>
                </c:pt>
                <c:pt idx="78">
                  <c:v>21.670170709399933</c:v>
                </c:pt>
                <c:pt idx="79">
                  <c:v>21.670170709399933</c:v>
                </c:pt>
                <c:pt idx="80">
                  <c:v>21.670170709399933</c:v>
                </c:pt>
                <c:pt idx="81">
                  <c:v>21.670170709399933</c:v>
                </c:pt>
                <c:pt idx="82">
                  <c:v>21.670170709399933</c:v>
                </c:pt>
                <c:pt idx="83">
                  <c:v>21.670170709399933</c:v>
                </c:pt>
                <c:pt idx="84">
                  <c:v>21.670170709399933</c:v>
                </c:pt>
                <c:pt idx="85">
                  <c:v>21.670170709399933</c:v>
                </c:pt>
                <c:pt idx="86">
                  <c:v>21.670170709399933</c:v>
                </c:pt>
                <c:pt idx="87">
                  <c:v>21.670170709399933</c:v>
                </c:pt>
                <c:pt idx="88">
                  <c:v>21.670170709399933</c:v>
                </c:pt>
                <c:pt idx="89">
                  <c:v>21.670170709399933</c:v>
                </c:pt>
                <c:pt idx="90">
                  <c:v>21.670170709399933</c:v>
                </c:pt>
                <c:pt idx="91">
                  <c:v>21.228923352148151</c:v>
                </c:pt>
                <c:pt idx="92">
                  <c:v>21.228923352148151</c:v>
                </c:pt>
                <c:pt idx="93">
                  <c:v>21.228923352148151</c:v>
                </c:pt>
                <c:pt idx="94">
                  <c:v>21.228923352148151</c:v>
                </c:pt>
                <c:pt idx="95">
                  <c:v>21.228923352148151</c:v>
                </c:pt>
                <c:pt idx="96">
                  <c:v>21.228923352148151</c:v>
                </c:pt>
                <c:pt idx="97">
                  <c:v>21.228923352148151</c:v>
                </c:pt>
                <c:pt idx="98">
                  <c:v>21.228923352148151</c:v>
                </c:pt>
                <c:pt idx="99">
                  <c:v>21.228923352148151</c:v>
                </c:pt>
                <c:pt idx="100">
                  <c:v>21.228923352148151</c:v>
                </c:pt>
                <c:pt idx="101">
                  <c:v>21.228923352148151</c:v>
                </c:pt>
                <c:pt idx="102">
                  <c:v>21.228923352148151</c:v>
                </c:pt>
                <c:pt idx="103">
                  <c:v>21.228923352148151</c:v>
                </c:pt>
                <c:pt idx="104">
                  <c:v>21.228923352148151</c:v>
                </c:pt>
                <c:pt idx="105">
                  <c:v>21.228923352148151</c:v>
                </c:pt>
                <c:pt idx="106">
                  <c:v>21.228923352148151</c:v>
                </c:pt>
                <c:pt idx="107">
                  <c:v>21.228923352148151</c:v>
                </c:pt>
                <c:pt idx="108">
                  <c:v>21.228923352148151</c:v>
                </c:pt>
                <c:pt idx="109">
                  <c:v>21.228923352148151</c:v>
                </c:pt>
                <c:pt idx="110">
                  <c:v>21.228923352148151</c:v>
                </c:pt>
                <c:pt idx="111">
                  <c:v>21.228923352148151</c:v>
                </c:pt>
                <c:pt idx="112">
                  <c:v>21.228923352148151</c:v>
                </c:pt>
                <c:pt idx="113">
                  <c:v>21.228923352148151</c:v>
                </c:pt>
                <c:pt idx="114">
                  <c:v>21.228923352148151</c:v>
                </c:pt>
                <c:pt idx="115">
                  <c:v>21.228923352148151</c:v>
                </c:pt>
                <c:pt idx="116">
                  <c:v>21.228923352148151</c:v>
                </c:pt>
                <c:pt idx="117">
                  <c:v>21.228923352148151</c:v>
                </c:pt>
                <c:pt idx="118">
                  <c:v>21.228923352148151</c:v>
                </c:pt>
                <c:pt idx="119">
                  <c:v>21.228923352148151</c:v>
                </c:pt>
                <c:pt idx="120">
                  <c:v>21.228923352148151</c:v>
                </c:pt>
                <c:pt idx="121">
                  <c:v>16.991002014394731</c:v>
                </c:pt>
                <c:pt idx="122">
                  <c:v>16.991002014394731</c:v>
                </c:pt>
                <c:pt idx="123">
                  <c:v>16.991002014394731</c:v>
                </c:pt>
                <c:pt idx="124">
                  <c:v>16.991002014394731</c:v>
                </c:pt>
                <c:pt idx="125">
                  <c:v>16.991002014394731</c:v>
                </c:pt>
                <c:pt idx="126">
                  <c:v>16.991002014394731</c:v>
                </c:pt>
                <c:pt idx="127">
                  <c:v>16.991002014394731</c:v>
                </c:pt>
                <c:pt idx="128">
                  <c:v>16.991002014394731</c:v>
                </c:pt>
                <c:pt idx="129">
                  <c:v>16.991002014394731</c:v>
                </c:pt>
                <c:pt idx="130">
                  <c:v>16.991002014394731</c:v>
                </c:pt>
                <c:pt idx="131">
                  <c:v>16.991002014394731</c:v>
                </c:pt>
                <c:pt idx="132">
                  <c:v>16.991002014394731</c:v>
                </c:pt>
                <c:pt idx="133">
                  <c:v>16.991002014394731</c:v>
                </c:pt>
                <c:pt idx="134">
                  <c:v>16.991002014394731</c:v>
                </c:pt>
                <c:pt idx="135">
                  <c:v>16.991002014394731</c:v>
                </c:pt>
                <c:pt idx="136">
                  <c:v>16.991002014394731</c:v>
                </c:pt>
                <c:pt idx="137">
                  <c:v>16.991002014394731</c:v>
                </c:pt>
                <c:pt idx="138">
                  <c:v>16.991002014394731</c:v>
                </c:pt>
                <c:pt idx="139">
                  <c:v>16.991002014394731</c:v>
                </c:pt>
                <c:pt idx="140">
                  <c:v>16.991002014394731</c:v>
                </c:pt>
                <c:pt idx="141">
                  <c:v>16.991002014394731</c:v>
                </c:pt>
                <c:pt idx="142">
                  <c:v>16.991002014394731</c:v>
                </c:pt>
                <c:pt idx="143">
                  <c:v>16.991002014394731</c:v>
                </c:pt>
                <c:pt idx="144">
                  <c:v>16.991002014394731</c:v>
                </c:pt>
                <c:pt idx="145">
                  <c:v>16.991002014394731</c:v>
                </c:pt>
                <c:pt idx="146">
                  <c:v>16.991002014394731</c:v>
                </c:pt>
                <c:pt idx="147">
                  <c:v>16.991002014394731</c:v>
                </c:pt>
                <c:pt idx="148">
                  <c:v>16.991002014394731</c:v>
                </c:pt>
                <c:pt idx="149">
                  <c:v>16.991002014394731</c:v>
                </c:pt>
                <c:pt idx="150">
                  <c:v>16.991002014394731</c:v>
                </c:pt>
                <c:pt idx="151">
                  <c:v>16.991002014394731</c:v>
                </c:pt>
                <c:pt idx="152">
                  <c:v>13.603710641037043</c:v>
                </c:pt>
                <c:pt idx="153">
                  <c:v>13.603710641037043</c:v>
                </c:pt>
                <c:pt idx="154">
                  <c:v>13.603710641037043</c:v>
                </c:pt>
                <c:pt idx="155">
                  <c:v>13.603710641037043</c:v>
                </c:pt>
                <c:pt idx="156">
                  <c:v>13.603710641037043</c:v>
                </c:pt>
                <c:pt idx="157">
                  <c:v>13.603710641037043</c:v>
                </c:pt>
                <c:pt idx="158">
                  <c:v>13.603710641037043</c:v>
                </c:pt>
                <c:pt idx="159">
                  <c:v>13.603710641037043</c:v>
                </c:pt>
                <c:pt idx="160">
                  <c:v>13.603710641037043</c:v>
                </c:pt>
                <c:pt idx="161">
                  <c:v>13.603710641037043</c:v>
                </c:pt>
                <c:pt idx="162">
                  <c:v>13.603710641037043</c:v>
                </c:pt>
                <c:pt idx="163">
                  <c:v>13.603710641037043</c:v>
                </c:pt>
                <c:pt idx="164">
                  <c:v>13.603710641037043</c:v>
                </c:pt>
                <c:pt idx="165">
                  <c:v>13.603710641037043</c:v>
                </c:pt>
                <c:pt idx="166">
                  <c:v>13.603710641037043</c:v>
                </c:pt>
                <c:pt idx="167">
                  <c:v>13.603710641037043</c:v>
                </c:pt>
                <c:pt idx="168">
                  <c:v>13.603710641037043</c:v>
                </c:pt>
                <c:pt idx="169">
                  <c:v>13.603710641037043</c:v>
                </c:pt>
                <c:pt idx="170">
                  <c:v>13.603710641037043</c:v>
                </c:pt>
                <c:pt idx="171">
                  <c:v>13.603710641037043</c:v>
                </c:pt>
                <c:pt idx="172">
                  <c:v>13.603710641037043</c:v>
                </c:pt>
                <c:pt idx="173">
                  <c:v>13.603710641037043</c:v>
                </c:pt>
                <c:pt idx="174">
                  <c:v>13.603710641037043</c:v>
                </c:pt>
                <c:pt idx="175">
                  <c:v>13.603710641037043</c:v>
                </c:pt>
                <c:pt idx="176">
                  <c:v>13.603710641037043</c:v>
                </c:pt>
                <c:pt idx="177">
                  <c:v>13.603710641037043</c:v>
                </c:pt>
                <c:pt idx="178">
                  <c:v>13.603710641037043</c:v>
                </c:pt>
                <c:pt idx="179">
                  <c:v>13.603710641037043</c:v>
                </c:pt>
                <c:pt idx="180">
                  <c:v>13.603710641037043</c:v>
                </c:pt>
                <c:pt idx="181">
                  <c:v>13.603710641037043</c:v>
                </c:pt>
                <c:pt idx="182">
                  <c:v>11.150230933333322</c:v>
                </c:pt>
                <c:pt idx="183">
                  <c:v>11.150230933333322</c:v>
                </c:pt>
                <c:pt idx="184">
                  <c:v>11.150230933333322</c:v>
                </c:pt>
                <c:pt idx="185">
                  <c:v>11.150230933333322</c:v>
                </c:pt>
                <c:pt idx="186">
                  <c:v>11.150230933333322</c:v>
                </c:pt>
                <c:pt idx="187">
                  <c:v>11.150230933333322</c:v>
                </c:pt>
                <c:pt idx="188">
                  <c:v>11.150230933333322</c:v>
                </c:pt>
                <c:pt idx="189">
                  <c:v>11.150230933333322</c:v>
                </c:pt>
                <c:pt idx="190">
                  <c:v>11.150230933333322</c:v>
                </c:pt>
                <c:pt idx="191">
                  <c:v>11.150230933333322</c:v>
                </c:pt>
                <c:pt idx="192">
                  <c:v>11.150230933333322</c:v>
                </c:pt>
                <c:pt idx="193">
                  <c:v>11.150230933333322</c:v>
                </c:pt>
                <c:pt idx="194">
                  <c:v>11.150230933333322</c:v>
                </c:pt>
                <c:pt idx="195">
                  <c:v>11.150230933333322</c:v>
                </c:pt>
                <c:pt idx="196">
                  <c:v>11.150230933333322</c:v>
                </c:pt>
                <c:pt idx="197">
                  <c:v>11.150230933333322</c:v>
                </c:pt>
                <c:pt idx="198">
                  <c:v>11.150230933333322</c:v>
                </c:pt>
                <c:pt idx="199">
                  <c:v>11.150230933333322</c:v>
                </c:pt>
                <c:pt idx="200">
                  <c:v>11.150230933333322</c:v>
                </c:pt>
                <c:pt idx="201">
                  <c:v>11.150230933333322</c:v>
                </c:pt>
                <c:pt idx="202">
                  <c:v>11.150230933333322</c:v>
                </c:pt>
                <c:pt idx="203">
                  <c:v>11.150230933333322</c:v>
                </c:pt>
                <c:pt idx="204">
                  <c:v>11.150230933333322</c:v>
                </c:pt>
                <c:pt idx="205">
                  <c:v>11.150230933333322</c:v>
                </c:pt>
                <c:pt idx="206">
                  <c:v>11.150230933333322</c:v>
                </c:pt>
                <c:pt idx="207">
                  <c:v>11.150230933333322</c:v>
                </c:pt>
                <c:pt idx="208">
                  <c:v>11.150230933333322</c:v>
                </c:pt>
                <c:pt idx="209">
                  <c:v>11.150230933333322</c:v>
                </c:pt>
                <c:pt idx="210">
                  <c:v>11.150230933333322</c:v>
                </c:pt>
                <c:pt idx="211">
                  <c:v>11.150230933333322</c:v>
                </c:pt>
                <c:pt idx="212">
                  <c:v>11.150230933333322</c:v>
                </c:pt>
                <c:pt idx="213">
                  <c:v>13.242277007388131</c:v>
                </c:pt>
                <c:pt idx="214">
                  <c:v>13.242277007388131</c:v>
                </c:pt>
                <c:pt idx="215">
                  <c:v>13.242277007388131</c:v>
                </c:pt>
                <c:pt idx="216">
                  <c:v>13.242277007388131</c:v>
                </c:pt>
                <c:pt idx="217">
                  <c:v>13.242277007388131</c:v>
                </c:pt>
                <c:pt idx="218">
                  <c:v>13.242277007388131</c:v>
                </c:pt>
                <c:pt idx="219">
                  <c:v>13.242277007388131</c:v>
                </c:pt>
                <c:pt idx="220">
                  <c:v>13.242277007388131</c:v>
                </c:pt>
                <c:pt idx="221">
                  <c:v>13.242277007388131</c:v>
                </c:pt>
                <c:pt idx="222">
                  <c:v>13.242277007388131</c:v>
                </c:pt>
                <c:pt idx="223">
                  <c:v>13.242277007388131</c:v>
                </c:pt>
                <c:pt idx="224">
                  <c:v>13.242277007388131</c:v>
                </c:pt>
                <c:pt idx="225">
                  <c:v>13.242277007388131</c:v>
                </c:pt>
                <c:pt idx="226">
                  <c:v>13.242277007388131</c:v>
                </c:pt>
                <c:pt idx="227">
                  <c:v>13.242277007388131</c:v>
                </c:pt>
                <c:pt idx="228">
                  <c:v>13.242277007388131</c:v>
                </c:pt>
                <c:pt idx="229">
                  <c:v>13.242277007388131</c:v>
                </c:pt>
                <c:pt idx="230">
                  <c:v>13.242277007388131</c:v>
                </c:pt>
                <c:pt idx="231">
                  <c:v>13.242277007388131</c:v>
                </c:pt>
                <c:pt idx="232">
                  <c:v>13.242277007388131</c:v>
                </c:pt>
                <c:pt idx="233">
                  <c:v>13.242277007388131</c:v>
                </c:pt>
                <c:pt idx="234">
                  <c:v>13.242277007388131</c:v>
                </c:pt>
                <c:pt idx="235">
                  <c:v>13.242277007388131</c:v>
                </c:pt>
                <c:pt idx="236">
                  <c:v>13.242277007388131</c:v>
                </c:pt>
                <c:pt idx="237">
                  <c:v>13.242277007388131</c:v>
                </c:pt>
                <c:pt idx="238">
                  <c:v>13.242277007388131</c:v>
                </c:pt>
                <c:pt idx="239">
                  <c:v>13.242277007388131</c:v>
                </c:pt>
                <c:pt idx="240">
                  <c:v>13.242277007388131</c:v>
                </c:pt>
                <c:pt idx="241">
                  <c:v>13.242277007388131</c:v>
                </c:pt>
                <c:pt idx="242">
                  <c:v>13.242277007388131</c:v>
                </c:pt>
                <c:pt idx="243">
                  <c:v>13.242277007388131</c:v>
                </c:pt>
                <c:pt idx="244">
                  <c:v>21.6282598997037</c:v>
                </c:pt>
                <c:pt idx="245">
                  <c:v>21.6282598997037</c:v>
                </c:pt>
                <c:pt idx="246">
                  <c:v>21.6282598997037</c:v>
                </c:pt>
                <c:pt idx="247">
                  <c:v>21.6282598997037</c:v>
                </c:pt>
                <c:pt idx="248">
                  <c:v>21.6282598997037</c:v>
                </c:pt>
                <c:pt idx="249">
                  <c:v>21.6282598997037</c:v>
                </c:pt>
                <c:pt idx="250">
                  <c:v>21.6282598997037</c:v>
                </c:pt>
                <c:pt idx="251">
                  <c:v>21.6282598997037</c:v>
                </c:pt>
                <c:pt idx="252">
                  <c:v>21.6282598997037</c:v>
                </c:pt>
                <c:pt idx="253">
                  <c:v>21.6282598997037</c:v>
                </c:pt>
                <c:pt idx="254">
                  <c:v>21.6282598997037</c:v>
                </c:pt>
                <c:pt idx="255">
                  <c:v>21.6282598997037</c:v>
                </c:pt>
                <c:pt idx="256">
                  <c:v>21.6282598997037</c:v>
                </c:pt>
                <c:pt idx="257">
                  <c:v>21.6282598997037</c:v>
                </c:pt>
                <c:pt idx="258">
                  <c:v>21.6282598997037</c:v>
                </c:pt>
                <c:pt idx="259">
                  <c:v>21.6282598997037</c:v>
                </c:pt>
                <c:pt idx="260">
                  <c:v>21.6282598997037</c:v>
                </c:pt>
                <c:pt idx="261">
                  <c:v>21.6282598997037</c:v>
                </c:pt>
                <c:pt idx="262">
                  <c:v>21.6282598997037</c:v>
                </c:pt>
                <c:pt idx="263">
                  <c:v>21.6282598997037</c:v>
                </c:pt>
                <c:pt idx="264">
                  <c:v>21.6282598997037</c:v>
                </c:pt>
                <c:pt idx="265">
                  <c:v>21.6282598997037</c:v>
                </c:pt>
                <c:pt idx="266">
                  <c:v>21.6282598997037</c:v>
                </c:pt>
                <c:pt idx="267">
                  <c:v>21.6282598997037</c:v>
                </c:pt>
                <c:pt idx="268">
                  <c:v>21.6282598997037</c:v>
                </c:pt>
                <c:pt idx="269">
                  <c:v>21.6282598997037</c:v>
                </c:pt>
                <c:pt idx="270">
                  <c:v>21.6282598997037</c:v>
                </c:pt>
                <c:pt idx="271">
                  <c:v>21.6282598997037</c:v>
                </c:pt>
                <c:pt idx="272">
                  <c:v>21.6282598997037</c:v>
                </c:pt>
                <c:pt idx="273">
                  <c:v>21.6282598997037</c:v>
                </c:pt>
                <c:pt idx="274">
                  <c:v>20.227849238536248</c:v>
                </c:pt>
                <c:pt idx="275">
                  <c:v>20.227849238536248</c:v>
                </c:pt>
                <c:pt idx="276">
                  <c:v>20.227849238536248</c:v>
                </c:pt>
                <c:pt idx="277">
                  <c:v>20.227849238536248</c:v>
                </c:pt>
                <c:pt idx="278">
                  <c:v>20.227849238536248</c:v>
                </c:pt>
                <c:pt idx="279">
                  <c:v>20.227849238536248</c:v>
                </c:pt>
                <c:pt idx="280">
                  <c:v>20.227849238536248</c:v>
                </c:pt>
                <c:pt idx="281">
                  <c:v>20.227849238536248</c:v>
                </c:pt>
                <c:pt idx="282">
                  <c:v>20.227849238536248</c:v>
                </c:pt>
                <c:pt idx="283">
                  <c:v>20.227849238536248</c:v>
                </c:pt>
                <c:pt idx="284">
                  <c:v>20.227849238536248</c:v>
                </c:pt>
                <c:pt idx="285">
                  <c:v>20.227849238536248</c:v>
                </c:pt>
                <c:pt idx="286">
                  <c:v>20.227849238536248</c:v>
                </c:pt>
                <c:pt idx="287">
                  <c:v>20.227849238536248</c:v>
                </c:pt>
                <c:pt idx="288">
                  <c:v>20.227849238536248</c:v>
                </c:pt>
                <c:pt idx="289">
                  <c:v>20.227849238536248</c:v>
                </c:pt>
                <c:pt idx="290">
                  <c:v>20.227849238536248</c:v>
                </c:pt>
                <c:pt idx="291">
                  <c:v>20.227849238536248</c:v>
                </c:pt>
                <c:pt idx="292">
                  <c:v>20.227849238536248</c:v>
                </c:pt>
                <c:pt idx="293">
                  <c:v>20.227849238536248</c:v>
                </c:pt>
                <c:pt idx="294">
                  <c:v>20.227849238536248</c:v>
                </c:pt>
                <c:pt idx="295">
                  <c:v>20.227849238536248</c:v>
                </c:pt>
                <c:pt idx="296">
                  <c:v>20.227849238536248</c:v>
                </c:pt>
                <c:pt idx="297">
                  <c:v>20.227849238536248</c:v>
                </c:pt>
                <c:pt idx="298">
                  <c:v>20.227849238536248</c:v>
                </c:pt>
                <c:pt idx="299">
                  <c:v>20.227849238536248</c:v>
                </c:pt>
                <c:pt idx="300">
                  <c:v>20.227849238536248</c:v>
                </c:pt>
                <c:pt idx="301">
                  <c:v>20.227849238536248</c:v>
                </c:pt>
                <c:pt idx="302">
                  <c:v>20.227849238536248</c:v>
                </c:pt>
                <c:pt idx="303">
                  <c:v>20.227849238536248</c:v>
                </c:pt>
                <c:pt idx="304">
                  <c:v>20.227849238536248</c:v>
                </c:pt>
                <c:pt idx="305">
                  <c:v>19.487646211370361</c:v>
                </c:pt>
                <c:pt idx="306">
                  <c:v>19.487646211370361</c:v>
                </c:pt>
                <c:pt idx="307">
                  <c:v>19.487646211370361</c:v>
                </c:pt>
                <c:pt idx="308">
                  <c:v>19.487646211370361</c:v>
                </c:pt>
                <c:pt idx="309">
                  <c:v>19.487646211370361</c:v>
                </c:pt>
                <c:pt idx="310">
                  <c:v>19.487646211370361</c:v>
                </c:pt>
                <c:pt idx="311">
                  <c:v>19.487646211370361</c:v>
                </c:pt>
                <c:pt idx="312">
                  <c:v>19.487646211370361</c:v>
                </c:pt>
                <c:pt idx="313">
                  <c:v>19.487646211370361</c:v>
                </c:pt>
                <c:pt idx="314">
                  <c:v>19.487646211370361</c:v>
                </c:pt>
                <c:pt idx="315">
                  <c:v>19.487646211370361</c:v>
                </c:pt>
                <c:pt idx="316">
                  <c:v>19.487646211370361</c:v>
                </c:pt>
                <c:pt idx="317">
                  <c:v>19.487646211370361</c:v>
                </c:pt>
                <c:pt idx="318">
                  <c:v>19.487646211370361</c:v>
                </c:pt>
                <c:pt idx="319">
                  <c:v>19.487646211370361</c:v>
                </c:pt>
                <c:pt idx="320">
                  <c:v>19.487646211370361</c:v>
                </c:pt>
                <c:pt idx="321">
                  <c:v>19.487646211370361</c:v>
                </c:pt>
                <c:pt idx="322">
                  <c:v>19.487646211370361</c:v>
                </c:pt>
                <c:pt idx="323">
                  <c:v>19.487646211370361</c:v>
                </c:pt>
                <c:pt idx="324">
                  <c:v>19.487646211370361</c:v>
                </c:pt>
                <c:pt idx="325">
                  <c:v>19.487646211370361</c:v>
                </c:pt>
                <c:pt idx="326">
                  <c:v>19.487646211370361</c:v>
                </c:pt>
                <c:pt idx="327">
                  <c:v>19.487646211370361</c:v>
                </c:pt>
                <c:pt idx="328">
                  <c:v>19.487646211370361</c:v>
                </c:pt>
                <c:pt idx="329">
                  <c:v>19.487646211370361</c:v>
                </c:pt>
                <c:pt idx="330">
                  <c:v>19.487646211370361</c:v>
                </c:pt>
                <c:pt idx="331">
                  <c:v>19.487646211370361</c:v>
                </c:pt>
                <c:pt idx="332">
                  <c:v>19.487646211370361</c:v>
                </c:pt>
                <c:pt idx="333">
                  <c:v>19.487646211370361</c:v>
                </c:pt>
                <c:pt idx="334">
                  <c:v>19.487646211370361</c:v>
                </c:pt>
                <c:pt idx="335">
                  <c:v>20.801591521436013</c:v>
                </c:pt>
                <c:pt idx="336">
                  <c:v>20.801591521436013</c:v>
                </c:pt>
                <c:pt idx="337">
                  <c:v>20.801591521436013</c:v>
                </c:pt>
                <c:pt idx="338">
                  <c:v>20.801591521436013</c:v>
                </c:pt>
                <c:pt idx="339">
                  <c:v>20.801591521436013</c:v>
                </c:pt>
                <c:pt idx="340">
                  <c:v>20.801591521436013</c:v>
                </c:pt>
                <c:pt idx="341">
                  <c:v>20.801591521436013</c:v>
                </c:pt>
                <c:pt idx="342">
                  <c:v>20.801591521436013</c:v>
                </c:pt>
                <c:pt idx="343">
                  <c:v>20.801591521436013</c:v>
                </c:pt>
                <c:pt idx="344">
                  <c:v>20.801591521436013</c:v>
                </c:pt>
                <c:pt idx="345">
                  <c:v>20.801591521436013</c:v>
                </c:pt>
                <c:pt idx="346">
                  <c:v>20.801591521436013</c:v>
                </c:pt>
                <c:pt idx="347">
                  <c:v>20.801591521436013</c:v>
                </c:pt>
                <c:pt idx="348">
                  <c:v>20.801591521436013</c:v>
                </c:pt>
                <c:pt idx="349">
                  <c:v>20.801591521436013</c:v>
                </c:pt>
                <c:pt idx="350">
                  <c:v>20.801591521436013</c:v>
                </c:pt>
                <c:pt idx="351">
                  <c:v>20.801591521436013</c:v>
                </c:pt>
                <c:pt idx="352">
                  <c:v>20.801591521436013</c:v>
                </c:pt>
                <c:pt idx="353">
                  <c:v>20.801591521436013</c:v>
                </c:pt>
                <c:pt idx="354">
                  <c:v>20.801591521436013</c:v>
                </c:pt>
                <c:pt idx="355">
                  <c:v>20.801591521436013</c:v>
                </c:pt>
                <c:pt idx="356">
                  <c:v>20.801591521436013</c:v>
                </c:pt>
                <c:pt idx="357">
                  <c:v>20.801591521436013</c:v>
                </c:pt>
                <c:pt idx="358">
                  <c:v>20.801591521436013</c:v>
                </c:pt>
                <c:pt idx="359">
                  <c:v>20.801591521436013</c:v>
                </c:pt>
                <c:pt idx="360">
                  <c:v>20.801591521436013</c:v>
                </c:pt>
                <c:pt idx="361">
                  <c:v>20.801591521436013</c:v>
                </c:pt>
                <c:pt idx="362">
                  <c:v>20.801591521436013</c:v>
                </c:pt>
                <c:pt idx="363">
                  <c:v>20.801591521436013</c:v>
                </c:pt>
                <c:pt idx="364">
                  <c:v>20.801591521436013</c:v>
                </c:pt>
                <c:pt idx="365">
                  <c:v>20.801591521436013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A7-4B31-97D6-CAB28F27333E}"/>
            </c:ext>
          </c:extLst>
        </c:ser>
        <c:ser>
          <c:idx val="2"/>
          <c:order val="2"/>
          <c:tx>
            <c:strRef>
              <c:f>Piracicaba!$P$5</c:f>
              <c:strCache>
                <c:ptCount val="1"/>
                <c:pt idx="0">
                  <c:v>Camargo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Piracicaba!$P$6:$P$371</c:f>
              <c:numCache>
                <c:formatCode>0.00</c:formatCode>
                <c:ptCount val="366"/>
                <c:pt idx="0">
                  <c:v>4.1665961290322588</c:v>
                </c:pt>
                <c:pt idx="1">
                  <c:v>4.1665961290322588</c:v>
                </c:pt>
                <c:pt idx="2">
                  <c:v>4.1665961290322588</c:v>
                </c:pt>
                <c:pt idx="3">
                  <c:v>4.1665961290322588</c:v>
                </c:pt>
                <c:pt idx="4">
                  <c:v>4.1665961290322588</c:v>
                </c:pt>
                <c:pt idx="5">
                  <c:v>4.1665961290322588</c:v>
                </c:pt>
                <c:pt idx="6">
                  <c:v>4.1665961290322588</c:v>
                </c:pt>
                <c:pt idx="7">
                  <c:v>4.1665961290322588</c:v>
                </c:pt>
                <c:pt idx="8">
                  <c:v>4.1665961290322588</c:v>
                </c:pt>
                <c:pt idx="9">
                  <c:v>4.1665961290322588</c:v>
                </c:pt>
                <c:pt idx="10">
                  <c:v>4.1665961290322588</c:v>
                </c:pt>
                <c:pt idx="11">
                  <c:v>4.1665961290322588</c:v>
                </c:pt>
                <c:pt idx="12">
                  <c:v>4.1665961290322588</c:v>
                </c:pt>
                <c:pt idx="13">
                  <c:v>4.1665961290322588</c:v>
                </c:pt>
                <c:pt idx="14">
                  <c:v>4.1665961290322588</c:v>
                </c:pt>
                <c:pt idx="15">
                  <c:v>4.1665961290322588</c:v>
                </c:pt>
                <c:pt idx="16">
                  <c:v>4.1665961290322588</c:v>
                </c:pt>
                <c:pt idx="17">
                  <c:v>4.1665961290322588</c:v>
                </c:pt>
                <c:pt idx="18">
                  <c:v>4.1665961290322588</c:v>
                </c:pt>
                <c:pt idx="19">
                  <c:v>4.1665961290322588</c:v>
                </c:pt>
                <c:pt idx="20">
                  <c:v>4.1665961290322588</c:v>
                </c:pt>
                <c:pt idx="21">
                  <c:v>4.1665961290322588</c:v>
                </c:pt>
                <c:pt idx="22">
                  <c:v>4.1665961290322588</c:v>
                </c:pt>
                <c:pt idx="23">
                  <c:v>4.1665961290322588</c:v>
                </c:pt>
                <c:pt idx="24">
                  <c:v>4.1665961290322588</c:v>
                </c:pt>
                <c:pt idx="25">
                  <c:v>4.1665961290322588</c:v>
                </c:pt>
                <c:pt idx="26">
                  <c:v>4.1665961290322588</c:v>
                </c:pt>
                <c:pt idx="27">
                  <c:v>4.1665961290322588</c:v>
                </c:pt>
                <c:pt idx="28">
                  <c:v>4.1665961290322588</c:v>
                </c:pt>
                <c:pt idx="29">
                  <c:v>4.1665961290322588</c:v>
                </c:pt>
                <c:pt idx="30">
                  <c:v>4.1665961290322588</c:v>
                </c:pt>
                <c:pt idx="31">
                  <c:v>4.0277517241379313</c:v>
                </c:pt>
                <c:pt idx="32">
                  <c:v>4.0277517241379313</c:v>
                </c:pt>
                <c:pt idx="33">
                  <c:v>4.0277517241379313</c:v>
                </c:pt>
                <c:pt idx="34">
                  <c:v>4.0277517241379313</c:v>
                </c:pt>
                <c:pt idx="35">
                  <c:v>4.0277517241379313</c:v>
                </c:pt>
                <c:pt idx="36">
                  <c:v>4.0277517241379313</c:v>
                </c:pt>
                <c:pt idx="37">
                  <c:v>4.0277517241379313</c:v>
                </c:pt>
                <c:pt idx="38">
                  <c:v>4.0277517241379313</c:v>
                </c:pt>
                <c:pt idx="39">
                  <c:v>4.0277517241379313</c:v>
                </c:pt>
                <c:pt idx="40">
                  <c:v>4.0277517241379313</c:v>
                </c:pt>
                <c:pt idx="41">
                  <c:v>4.0277517241379313</c:v>
                </c:pt>
                <c:pt idx="42">
                  <c:v>4.0277517241379313</c:v>
                </c:pt>
                <c:pt idx="43">
                  <c:v>4.0277517241379313</c:v>
                </c:pt>
                <c:pt idx="44">
                  <c:v>4.0277517241379313</c:v>
                </c:pt>
                <c:pt idx="45">
                  <c:v>4.0277517241379313</c:v>
                </c:pt>
                <c:pt idx="46">
                  <c:v>4.0277517241379313</c:v>
                </c:pt>
                <c:pt idx="47">
                  <c:v>4.0277517241379313</c:v>
                </c:pt>
                <c:pt idx="48">
                  <c:v>4.0277517241379313</c:v>
                </c:pt>
                <c:pt idx="49">
                  <c:v>4.0277517241379313</c:v>
                </c:pt>
                <c:pt idx="50">
                  <c:v>4.0277517241379313</c:v>
                </c:pt>
                <c:pt idx="51">
                  <c:v>4.0277517241379313</c:v>
                </c:pt>
                <c:pt idx="52">
                  <c:v>4.0277517241379313</c:v>
                </c:pt>
                <c:pt idx="53">
                  <c:v>4.0277517241379313</c:v>
                </c:pt>
                <c:pt idx="54">
                  <c:v>4.0277517241379313</c:v>
                </c:pt>
                <c:pt idx="55">
                  <c:v>4.0277517241379313</c:v>
                </c:pt>
                <c:pt idx="56">
                  <c:v>4.0277517241379313</c:v>
                </c:pt>
                <c:pt idx="57">
                  <c:v>4.0277517241379313</c:v>
                </c:pt>
                <c:pt idx="58">
                  <c:v>4.0277517241379313</c:v>
                </c:pt>
                <c:pt idx="59">
                  <c:v>4.0277517241379313</c:v>
                </c:pt>
                <c:pt idx="60">
                  <c:v>3.6012387096774194</c:v>
                </c:pt>
                <c:pt idx="61">
                  <c:v>3.6012387096774194</c:v>
                </c:pt>
                <c:pt idx="62">
                  <c:v>3.6012387096774194</c:v>
                </c:pt>
                <c:pt idx="63">
                  <c:v>3.6012387096774194</c:v>
                </c:pt>
                <c:pt idx="64">
                  <c:v>3.6012387096774194</c:v>
                </c:pt>
                <c:pt idx="65">
                  <c:v>3.6012387096774194</c:v>
                </c:pt>
                <c:pt idx="66">
                  <c:v>3.6012387096774194</c:v>
                </c:pt>
                <c:pt idx="67">
                  <c:v>3.6012387096774194</c:v>
                </c:pt>
                <c:pt idx="68">
                  <c:v>3.6012387096774194</c:v>
                </c:pt>
                <c:pt idx="69">
                  <c:v>3.6012387096774194</c:v>
                </c:pt>
                <c:pt idx="70">
                  <c:v>3.6012387096774194</c:v>
                </c:pt>
                <c:pt idx="71">
                  <c:v>3.6012387096774194</c:v>
                </c:pt>
                <c:pt idx="72">
                  <c:v>3.6012387096774194</c:v>
                </c:pt>
                <c:pt idx="73">
                  <c:v>3.6012387096774194</c:v>
                </c:pt>
                <c:pt idx="74">
                  <c:v>3.6012387096774194</c:v>
                </c:pt>
                <c:pt idx="75">
                  <c:v>3.6012387096774194</c:v>
                </c:pt>
                <c:pt idx="76">
                  <c:v>3.6012387096774194</c:v>
                </c:pt>
                <c:pt idx="77">
                  <c:v>3.6012387096774194</c:v>
                </c:pt>
                <c:pt idx="78">
                  <c:v>3.6012387096774194</c:v>
                </c:pt>
                <c:pt idx="79">
                  <c:v>3.6012387096774194</c:v>
                </c:pt>
                <c:pt idx="80">
                  <c:v>3.6012387096774194</c:v>
                </c:pt>
                <c:pt idx="81">
                  <c:v>3.6012387096774194</c:v>
                </c:pt>
                <c:pt idx="82">
                  <c:v>3.6012387096774194</c:v>
                </c:pt>
                <c:pt idx="83">
                  <c:v>3.6012387096774194</c:v>
                </c:pt>
                <c:pt idx="84">
                  <c:v>3.6012387096774194</c:v>
                </c:pt>
                <c:pt idx="85">
                  <c:v>3.6012387096774194</c:v>
                </c:pt>
                <c:pt idx="86">
                  <c:v>3.6012387096774194</c:v>
                </c:pt>
                <c:pt idx="87">
                  <c:v>3.6012387096774194</c:v>
                </c:pt>
                <c:pt idx="88">
                  <c:v>3.6012387096774194</c:v>
                </c:pt>
                <c:pt idx="89">
                  <c:v>3.6012387096774194</c:v>
                </c:pt>
                <c:pt idx="90">
                  <c:v>3.6012387096774194</c:v>
                </c:pt>
                <c:pt idx="91">
                  <c:v>3.0489946666666672</c:v>
                </c:pt>
                <c:pt idx="92">
                  <c:v>3.0489946666666672</c:v>
                </c:pt>
                <c:pt idx="93">
                  <c:v>3.0489946666666672</c:v>
                </c:pt>
                <c:pt idx="94">
                  <c:v>3.0489946666666672</c:v>
                </c:pt>
                <c:pt idx="95">
                  <c:v>3.0489946666666672</c:v>
                </c:pt>
                <c:pt idx="96">
                  <c:v>3.0489946666666672</c:v>
                </c:pt>
                <c:pt idx="97">
                  <c:v>3.0489946666666672</c:v>
                </c:pt>
                <c:pt idx="98">
                  <c:v>3.0489946666666672</c:v>
                </c:pt>
                <c:pt idx="99">
                  <c:v>3.0489946666666672</c:v>
                </c:pt>
                <c:pt idx="100">
                  <c:v>3.0489946666666672</c:v>
                </c:pt>
                <c:pt idx="101">
                  <c:v>3.0489946666666672</c:v>
                </c:pt>
                <c:pt idx="102">
                  <c:v>3.0489946666666672</c:v>
                </c:pt>
                <c:pt idx="103">
                  <c:v>3.0489946666666672</c:v>
                </c:pt>
                <c:pt idx="104">
                  <c:v>3.0489946666666672</c:v>
                </c:pt>
                <c:pt idx="105">
                  <c:v>3.0489946666666672</c:v>
                </c:pt>
                <c:pt idx="106">
                  <c:v>3.0489946666666672</c:v>
                </c:pt>
                <c:pt idx="107">
                  <c:v>3.0489946666666672</c:v>
                </c:pt>
                <c:pt idx="108">
                  <c:v>3.0489946666666672</c:v>
                </c:pt>
                <c:pt idx="109">
                  <c:v>3.0489946666666672</c:v>
                </c:pt>
                <c:pt idx="110">
                  <c:v>3.0489946666666672</c:v>
                </c:pt>
                <c:pt idx="111">
                  <c:v>3.0489946666666672</c:v>
                </c:pt>
                <c:pt idx="112">
                  <c:v>3.0489946666666672</c:v>
                </c:pt>
                <c:pt idx="113">
                  <c:v>3.0489946666666672</c:v>
                </c:pt>
                <c:pt idx="114">
                  <c:v>3.0489946666666672</c:v>
                </c:pt>
                <c:pt idx="115">
                  <c:v>3.0489946666666672</c:v>
                </c:pt>
                <c:pt idx="116">
                  <c:v>3.0489946666666672</c:v>
                </c:pt>
                <c:pt idx="117">
                  <c:v>3.0489946666666672</c:v>
                </c:pt>
                <c:pt idx="118">
                  <c:v>3.0489946666666672</c:v>
                </c:pt>
                <c:pt idx="119">
                  <c:v>3.0489946666666672</c:v>
                </c:pt>
                <c:pt idx="120">
                  <c:v>3.0489946666666672</c:v>
                </c:pt>
                <c:pt idx="121">
                  <c:v>2.348925806451613</c:v>
                </c:pt>
                <c:pt idx="122">
                  <c:v>2.348925806451613</c:v>
                </c:pt>
                <c:pt idx="123">
                  <c:v>2.348925806451613</c:v>
                </c:pt>
                <c:pt idx="124">
                  <c:v>2.348925806451613</c:v>
                </c:pt>
                <c:pt idx="125">
                  <c:v>2.348925806451613</c:v>
                </c:pt>
                <c:pt idx="126">
                  <c:v>2.348925806451613</c:v>
                </c:pt>
                <c:pt idx="127">
                  <c:v>2.348925806451613</c:v>
                </c:pt>
                <c:pt idx="128">
                  <c:v>2.348925806451613</c:v>
                </c:pt>
                <c:pt idx="129">
                  <c:v>2.348925806451613</c:v>
                </c:pt>
                <c:pt idx="130">
                  <c:v>2.348925806451613</c:v>
                </c:pt>
                <c:pt idx="131">
                  <c:v>2.348925806451613</c:v>
                </c:pt>
                <c:pt idx="132">
                  <c:v>2.348925806451613</c:v>
                </c:pt>
                <c:pt idx="133">
                  <c:v>2.348925806451613</c:v>
                </c:pt>
                <c:pt idx="134">
                  <c:v>2.348925806451613</c:v>
                </c:pt>
                <c:pt idx="135">
                  <c:v>2.348925806451613</c:v>
                </c:pt>
                <c:pt idx="136">
                  <c:v>2.348925806451613</c:v>
                </c:pt>
                <c:pt idx="137">
                  <c:v>2.348925806451613</c:v>
                </c:pt>
                <c:pt idx="138">
                  <c:v>2.348925806451613</c:v>
                </c:pt>
                <c:pt idx="139">
                  <c:v>2.348925806451613</c:v>
                </c:pt>
                <c:pt idx="140">
                  <c:v>2.348925806451613</c:v>
                </c:pt>
                <c:pt idx="141">
                  <c:v>2.348925806451613</c:v>
                </c:pt>
                <c:pt idx="142">
                  <c:v>2.348925806451613</c:v>
                </c:pt>
                <c:pt idx="143">
                  <c:v>2.348925806451613</c:v>
                </c:pt>
                <c:pt idx="144">
                  <c:v>2.348925806451613</c:v>
                </c:pt>
                <c:pt idx="145">
                  <c:v>2.348925806451613</c:v>
                </c:pt>
                <c:pt idx="146">
                  <c:v>2.348925806451613</c:v>
                </c:pt>
                <c:pt idx="147">
                  <c:v>2.348925806451613</c:v>
                </c:pt>
                <c:pt idx="148">
                  <c:v>2.348925806451613</c:v>
                </c:pt>
                <c:pt idx="149">
                  <c:v>2.348925806451613</c:v>
                </c:pt>
                <c:pt idx="150">
                  <c:v>2.348925806451613</c:v>
                </c:pt>
                <c:pt idx="151">
                  <c:v>2.348925806451613</c:v>
                </c:pt>
                <c:pt idx="152">
                  <c:v>1.9338880000000001</c:v>
                </c:pt>
                <c:pt idx="153">
                  <c:v>1.9338880000000001</c:v>
                </c:pt>
                <c:pt idx="154">
                  <c:v>1.9338880000000001</c:v>
                </c:pt>
                <c:pt idx="155">
                  <c:v>1.9338880000000001</c:v>
                </c:pt>
                <c:pt idx="156">
                  <c:v>1.9338880000000001</c:v>
                </c:pt>
                <c:pt idx="157">
                  <c:v>1.9338880000000001</c:v>
                </c:pt>
                <c:pt idx="158">
                  <c:v>1.9338880000000001</c:v>
                </c:pt>
                <c:pt idx="159">
                  <c:v>1.9338880000000001</c:v>
                </c:pt>
                <c:pt idx="160">
                  <c:v>1.9338880000000001</c:v>
                </c:pt>
                <c:pt idx="161">
                  <c:v>1.9338880000000001</c:v>
                </c:pt>
                <c:pt idx="162">
                  <c:v>1.9338880000000001</c:v>
                </c:pt>
                <c:pt idx="163">
                  <c:v>1.9338880000000001</c:v>
                </c:pt>
                <c:pt idx="164">
                  <c:v>1.9338880000000001</c:v>
                </c:pt>
                <c:pt idx="165">
                  <c:v>1.9338880000000001</c:v>
                </c:pt>
                <c:pt idx="166">
                  <c:v>1.9338880000000001</c:v>
                </c:pt>
                <c:pt idx="167">
                  <c:v>1.9338880000000001</c:v>
                </c:pt>
                <c:pt idx="168">
                  <c:v>1.9338880000000001</c:v>
                </c:pt>
                <c:pt idx="169">
                  <c:v>1.9338880000000001</c:v>
                </c:pt>
                <c:pt idx="170">
                  <c:v>1.9338880000000001</c:v>
                </c:pt>
                <c:pt idx="171">
                  <c:v>1.9338880000000001</c:v>
                </c:pt>
                <c:pt idx="172">
                  <c:v>1.9338880000000001</c:v>
                </c:pt>
                <c:pt idx="173">
                  <c:v>1.9338880000000001</c:v>
                </c:pt>
                <c:pt idx="174">
                  <c:v>1.9338880000000001</c:v>
                </c:pt>
                <c:pt idx="175">
                  <c:v>1.9338880000000001</c:v>
                </c:pt>
                <c:pt idx="176">
                  <c:v>1.9338880000000001</c:v>
                </c:pt>
                <c:pt idx="177">
                  <c:v>1.9338880000000001</c:v>
                </c:pt>
                <c:pt idx="178">
                  <c:v>1.9338880000000001</c:v>
                </c:pt>
                <c:pt idx="179">
                  <c:v>1.9338880000000001</c:v>
                </c:pt>
                <c:pt idx="180">
                  <c:v>1.9338880000000001</c:v>
                </c:pt>
                <c:pt idx="181">
                  <c:v>1.9338880000000001</c:v>
                </c:pt>
                <c:pt idx="182">
                  <c:v>1.8639999999999992</c:v>
                </c:pt>
                <c:pt idx="183">
                  <c:v>1.8639999999999992</c:v>
                </c:pt>
                <c:pt idx="184">
                  <c:v>1.8639999999999992</c:v>
                </c:pt>
                <c:pt idx="185">
                  <c:v>1.8639999999999992</c:v>
                </c:pt>
                <c:pt idx="186">
                  <c:v>1.8639999999999992</c:v>
                </c:pt>
                <c:pt idx="187">
                  <c:v>1.8639999999999992</c:v>
                </c:pt>
                <c:pt idx="188">
                  <c:v>1.8639999999999992</c:v>
                </c:pt>
                <c:pt idx="189">
                  <c:v>1.8639999999999992</c:v>
                </c:pt>
                <c:pt idx="190">
                  <c:v>1.8639999999999992</c:v>
                </c:pt>
                <c:pt idx="191">
                  <c:v>1.8639999999999992</c:v>
                </c:pt>
                <c:pt idx="192">
                  <c:v>1.8639999999999992</c:v>
                </c:pt>
                <c:pt idx="193">
                  <c:v>1.8639999999999992</c:v>
                </c:pt>
                <c:pt idx="194">
                  <c:v>1.8639999999999992</c:v>
                </c:pt>
                <c:pt idx="195">
                  <c:v>1.8639999999999992</c:v>
                </c:pt>
                <c:pt idx="196">
                  <c:v>1.8639999999999992</c:v>
                </c:pt>
                <c:pt idx="197">
                  <c:v>1.8639999999999992</c:v>
                </c:pt>
                <c:pt idx="198">
                  <c:v>1.8639999999999992</c:v>
                </c:pt>
                <c:pt idx="199">
                  <c:v>1.8639999999999992</c:v>
                </c:pt>
                <c:pt idx="200">
                  <c:v>1.8639999999999992</c:v>
                </c:pt>
                <c:pt idx="201">
                  <c:v>1.8639999999999992</c:v>
                </c:pt>
                <c:pt idx="202">
                  <c:v>1.8639999999999992</c:v>
                </c:pt>
                <c:pt idx="203">
                  <c:v>1.8639999999999992</c:v>
                </c:pt>
                <c:pt idx="204">
                  <c:v>1.8639999999999992</c:v>
                </c:pt>
                <c:pt idx="205">
                  <c:v>1.8639999999999992</c:v>
                </c:pt>
                <c:pt idx="206">
                  <c:v>1.8639999999999992</c:v>
                </c:pt>
                <c:pt idx="207">
                  <c:v>1.8639999999999992</c:v>
                </c:pt>
                <c:pt idx="208">
                  <c:v>1.8639999999999992</c:v>
                </c:pt>
                <c:pt idx="209">
                  <c:v>1.8639999999999992</c:v>
                </c:pt>
                <c:pt idx="210">
                  <c:v>1.8639999999999992</c:v>
                </c:pt>
                <c:pt idx="211">
                  <c:v>1.8639999999999992</c:v>
                </c:pt>
                <c:pt idx="212">
                  <c:v>1.8639999999999992</c:v>
                </c:pt>
                <c:pt idx="213">
                  <c:v>2.2914306451612898</c:v>
                </c:pt>
                <c:pt idx="214">
                  <c:v>2.2914306451612898</c:v>
                </c:pt>
                <c:pt idx="215">
                  <c:v>2.2914306451612898</c:v>
                </c:pt>
                <c:pt idx="216">
                  <c:v>2.2914306451612898</c:v>
                </c:pt>
                <c:pt idx="217">
                  <c:v>2.2914306451612898</c:v>
                </c:pt>
                <c:pt idx="218">
                  <c:v>2.2914306451612898</c:v>
                </c:pt>
                <c:pt idx="219">
                  <c:v>2.2914306451612898</c:v>
                </c:pt>
                <c:pt idx="220">
                  <c:v>2.2914306451612898</c:v>
                </c:pt>
                <c:pt idx="221">
                  <c:v>2.2914306451612898</c:v>
                </c:pt>
                <c:pt idx="222">
                  <c:v>2.2914306451612898</c:v>
                </c:pt>
                <c:pt idx="223">
                  <c:v>2.2914306451612898</c:v>
                </c:pt>
                <c:pt idx="224">
                  <c:v>2.2914306451612898</c:v>
                </c:pt>
                <c:pt idx="225">
                  <c:v>2.2914306451612898</c:v>
                </c:pt>
                <c:pt idx="226">
                  <c:v>2.2914306451612898</c:v>
                </c:pt>
                <c:pt idx="227">
                  <c:v>2.2914306451612898</c:v>
                </c:pt>
                <c:pt idx="228">
                  <c:v>2.2914306451612898</c:v>
                </c:pt>
                <c:pt idx="229">
                  <c:v>2.2914306451612898</c:v>
                </c:pt>
                <c:pt idx="230">
                  <c:v>2.2914306451612898</c:v>
                </c:pt>
                <c:pt idx="231">
                  <c:v>2.2914306451612898</c:v>
                </c:pt>
                <c:pt idx="232">
                  <c:v>2.2914306451612898</c:v>
                </c:pt>
                <c:pt idx="233">
                  <c:v>2.2914306451612898</c:v>
                </c:pt>
                <c:pt idx="234">
                  <c:v>2.2914306451612898</c:v>
                </c:pt>
                <c:pt idx="235">
                  <c:v>2.2914306451612898</c:v>
                </c:pt>
                <c:pt idx="236">
                  <c:v>2.2914306451612898</c:v>
                </c:pt>
                <c:pt idx="237">
                  <c:v>2.2914306451612898</c:v>
                </c:pt>
                <c:pt idx="238">
                  <c:v>2.2914306451612898</c:v>
                </c:pt>
                <c:pt idx="239">
                  <c:v>2.2914306451612898</c:v>
                </c:pt>
                <c:pt idx="240">
                  <c:v>2.2914306451612898</c:v>
                </c:pt>
                <c:pt idx="241">
                  <c:v>2.2914306451612898</c:v>
                </c:pt>
                <c:pt idx="242">
                  <c:v>2.2914306451612898</c:v>
                </c:pt>
                <c:pt idx="243">
                  <c:v>2.2914306451612898</c:v>
                </c:pt>
                <c:pt idx="244">
                  <c:v>3.3497099999999995</c:v>
                </c:pt>
                <c:pt idx="245">
                  <c:v>3.3497099999999995</c:v>
                </c:pt>
                <c:pt idx="246">
                  <c:v>3.3497099999999995</c:v>
                </c:pt>
                <c:pt idx="247">
                  <c:v>3.3497099999999995</c:v>
                </c:pt>
                <c:pt idx="248">
                  <c:v>3.3497099999999995</c:v>
                </c:pt>
                <c:pt idx="249">
                  <c:v>3.3497099999999995</c:v>
                </c:pt>
                <c:pt idx="250">
                  <c:v>3.3497099999999995</c:v>
                </c:pt>
                <c:pt idx="251">
                  <c:v>3.3497099999999995</c:v>
                </c:pt>
                <c:pt idx="252">
                  <c:v>3.3497099999999995</c:v>
                </c:pt>
                <c:pt idx="253">
                  <c:v>3.3497099999999995</c:v>
                </c:pt>
                <c:pt idx="254">
                  <c:v>3.3497099999999995</c:v>
                </c:pt>
                <c:pt idx="255">
                  <c:v>3.3497099999999995</c:v>
                </c:pt>
                <c:pt idx="256">
                  <c:v>3.3497099999999995</c:v>
                </c:pt>
                <c:pt idx="257">
                  <c:v>3.3497099999999995</c:v>
                </c:pt>
                <c:pt idx="258">
                  <c:v>3.3497099999999995</c:v>
                </c:pt>
                <c:pt idx="259">
                  <c:v>3.3497099999999995</c:v>
                </c:pt>
                <c:pt idx="260">
                  <c:v>3.3497099999999995</c:v>
                </c:pt>
                <c:pt idx="261">
                  <c:v>3.3497099999999995</c:v>
                </c:pt>
                <c:pt idx="262">
                  <c:v>3.3497099999999995</c:v>
                </c:pt>
                <c:pt idx="263">
                  <c:v>3.3497099999999995</c:v>
                </c:pt>
                <c:pt idx="264">
                  <c:v>3.3497099999999995</c:v>
                </c:pt>
                <c:pt idx="265">
                  <c:v>3.3497099999999995</c:v>
                </c:pt>
                <c:pt idx="266">
                  <c:v>3.3497099999999995</c:v>
                </c:pt>
                <c:pt idx="267">
                  <c:v>3.3497099999999995</c:v>
                </c:pt>
                <c:pt idx="268">
                  <c:v>3.3497099999999995</c:v>
                </c:pt>
                <c:pt idx="269">
                  <c:v>3.3497099999999995</c:v>
                </c:pt>
                <c:pt idx="270">
                  <c:v>3.3497099999999995</c:v>
                </c:pt>
                <c:pt idx="271">
                  <c:v>3.3497099999999995</c:v>
                </c:pt>
                <c:pt idx="272">
                  <c:v>3.3497099999999995</c:v>
                </c:pt>
                <c:pt idx="273">
                  <c:v>3.3497099999999995</c:v>
                </c:pt>
                <c:pt idx="274">
                  <c:v>3.6756029032258066</c:v>
                </c:pt>
                <c:pt idx="275">
                  <c:v>3.6756029032258066</c:v>
                </c:pt>
                <c:pt idx="276">
                  <c:v>3.6756029032258066</c:v>
                </c:pt>
                <c:pt idx="277">
                  <c:v>3.6756029032258066</c:v>
                </c:pt>
                <c:pt idx="278">
                  <c:v>3.6756029032258066</c:v>
                </c:pt>
                <c:pt idx="279">
                  <c:v>3.6756029032258066</c:v>
                </c:pt>
                <c:pt idx="280">
                  <c:v>3.6756029032258066</c:v>
                </c:pt>
                <c:pt idx="281">
                  <c:v>3.6756029032258066</c:v>
                </c:pt>
                <c:pt idx="282">
                  <c:v>3.6756029032258066</c:v>
                </c:pt>
                <c:pt idx="283">
                  <c:v>3.6756029032258066</c:v>
                </c:pt>
                <c:pt idx="284">
                  <c:v>3.6756029032258066</c:v>
                </c:pt>
                <c:pt idx="285">
                  <c:v>3.6756029032258066</c:v>
                </c:pt>
                <c:pt idx="286">
                  <c:v>3.6756029032258066</c:v>
                </c:pt>
                <c:pt idx="287">
                  <c:v>3.6756029032258066</c:v>
                </c:pt>
                <c:pt idx="288">
                  <c:v>3.6756029032258066</c:v>
                </c:pt>
                <c:pt idx="289">
                  <c:v>3.6756029032258066</c:v>
                </c:pt>
                <c:pt idx="290">
                  <c:v>3.6756029032258066</c:v>
                </c:pt>
                <c:pt idx="291">
                  <c:v>3.6756029032258066</c:v>
                </c:pt>
                <c:pt idx="292">
                  <c:v>3.6756029032258066</c:v>
                </c:pt>
                <c:pt idx="293">
                  <c:v>3.6756029032258066</c:v>
                </c:pt>
                <c:pt idx="294">
                  <c:v>3.6756029032258066</c:v>
                </c:pt>
                <c:pt idx="295">
                  <c:v>3.6756029032258066</c:v>
                </c:pt>
                <c:pt idx="296">
                  <c:v>3.6756029032258066</c:v>
                </c:pt>
                <c:pt idx="297">
                  <c:v>3.6756029032258066</c:v>
                </c:pt>
                <c:pt idx="298">
                  <c:v>3.6756029032258066</c:v>
                </c:pt>
                <c:pt idx="299">
                  <c:v>3.6756029032258066</c:v>
                </c:pt>
                <c:pt idx="300">
                  <c:v>3.6756029032258066</c:v>
                </c:pt>
                <c:pt idx="301">
                  <c:v>3.6756029032258066</c:v>
                </c:pt>
                <c:pt idx="302">
                  <c:v>3.6756029032258066</c:v>
                </c:pt>
                <c:pt idx="303">
                  <c:v>3.6756029032258066</c:v>
                </c:pt>
                <c:pt idx="304">
                  <c:v>3.6756029032258066</c:v>
                </c:pt>
                <c:pt idx="305">
                  <c:v>3.823577999999999</c:v>
                </c:pt>
                <c:pt idx="306">
                  <c:v>3.823577999999999</c:v>
                </c:pt>
                <c:pt idx="307">
                  <c:v>3.823577999999999</c:v>
                </c:pt>
                <c:pt idx="308">
                  <c:v>3.823577999999999</c:v>
                </c:pt>
                <c:pt idx="309">
                  <c:v>3.823577999999999</c:v>
                </c:pt>
                <c:pt idx="310">
                  <c:v>3.823577999999999</c:v>
                </c:pt>
                <c:pt idx="311">
                  <c:v>3.823577999999999</c:v>
                </c:pt>
                <c:pt idx="312">
                  <c:v>3.823577999999999</c:v>
                </c:pt>
                <c:pt idx="313">
                  <c:v>3.823577999999999</c:v>
                </c:pt>
                <c:pt idx="314">
                  <c:v>3.823577999999999</c:v>
                </c:pt>
                <c:pt idx="315">
                  <c:v>3.823577999999999</c:v>
                </c:pt>
                <c:pt idx="316">
                  <c:v>3.823577999999999</c:v>
                </c:pt>
                <c:pt idx="317">
                  <c:v>3.823577999999999</c:v>
                </c:pt>
                <c:pt idx="318">
                  <c:v>3.823577999999999</c:v>
                </c:pt>
                <c:pt idx="319">
                  <c:v>3.823577999999999</c:v>
                </c:pt>
                <c:pt idx="320">
                  <c:v>3.823577999999999</c:v>
                </c:pt>
                <c:pt idx="321">
                  <c:v>3.823577999999999</c:v>
                </c:pt>
                <c:pt idx="322">
                  <c:v>3.823577999999999</c:v>
                </c:pt>
                <c:pt idx="323">
                  <c:v>3.823577999999999</c:v>
                </c:pt>
                <c:pt idx="324">
                  <c:v>3.823577999999999</c:v>
                </c:pt>
                <c:pt idx="325">
                  <c:v>3.823577999999999</c:v>
                </c:pt>
                <c:pt idx="326">
                  <c:v>3.823577999999999</c:v>
                </c:pt>
                <c:pt idx="327">
                  <c:v>3.823577999999999</c:v>
                </c:pt>
                <c:pt idx="328">
                  <c:v>3.823577999999999</c:v>
                </c:pt>
                <c:pt idx="329">
                  <c:v>3.823577999999999</c:v>
                </c:pt>
                <c:pt idx="330">
                  <c:v>3.823577999999999</c:v>
                </c:pt>
                <c:pt idx="331">
                  <c:v>3.823577999999999</c:v>
                </c:pt>
                <c:pt idx="332">
                  <c:v>3.823577999999999</c:v>
                </c:pt>
                <c:pt idx="333">
                  <c:v>3.823577999999999</c:v>
                </c:pt>
                <c:pt idx="334">
                  <c:v>3.823577999999999</c:v>
                </c:pt>
                <c:pt idx="335">
                  <c:v>4.0904748387096781</c:v>
                </c:pt>
                <c:pt idx="336">
                  <c:v>4.0904748387096781</c:v>
                </c:pt>
                <c:pt idx="337">
                  <c:v>4.0904748387096781</c:v>
                </c:pt>
                <c:pt idx="338">
                  <c:v>4.0904748387096781</c:v>
                </c:pt>
                <c:pt idx="339">
                  <c:v>4.0904748387096781</c:v>
                </c:pt>
                <c:pt idx="340">
                  <c:v>4.0904748387096781</c:v>
                </c:pt>
                <c:pt idx="341">
                  <c:v>4.0904748387096781</c:v>
                </c:pt>
                <c:pt idx="342">
                  <c:v>4.0904748387096781</c:v>
                </c:pt>
                <c:pt idx="343">
                  <c:v>4.0904748387096781</c:v>
                </c:pt>
                <c:pt idx="344">
                  <c:v>4.0904748387096781</c:v>
                </c:pt>
                <c:pt idx="345">
                  <c:v>4.0904748387096781</c:v>
                </c:pt>
                <c:pt idx="346">
                  <c:v>4.0904748387096781</c:v>
                </c:pt>
                <c:pt idx="347">
                  <c:v>4.0904748387096781</c:v>
                </c:pt>
                <c:pt idx="348">
                  <c:v>4.0904748387096781</c:v>
                </c:pt>
                <c:pt idx="349">
                  <c:v>4.0904748387096781</c:v>
                </c:pt>
                <c:pt idx="350">
                  <c:v>4.0904748387096781</c:v>
                </c:pt>
                <c:pt idx="351">
                  <c:v>4.0904748387096781</c:v>
                </c:pt>
                <c:pt idx="352">
                  <c:v>4.0904748387096781</c:v>
                </c:pt>
                <c:pt idx="353">
                  <c:v>4.0904748387096781</c:v>
                </c:pt>
                <c:pt idx="354">
                  <c:v>4.0904748387096781</c:v>
                </c:pt>
                <c:pt idx="355">
                  <c:v>4.0904748387096781</c:v>
                </c:pt>
                <c:pt idx="356">
                  <c:v>4.0904748387096781</c:v>
                </c:pt>
                <c:pt idx="357">
                  <c:v>4.0904748387096781</c:v>
                </c:pt>
                <c:pt idx="358">
                  <c:v>4.0904748387096781</c:v>
                </c:pt>
                <c:pt idx="359">
                  <c:v>4.0904748387096781</c:v>
                </c:pt>
                <c:pt idx="360">
                  <c:v>4.0904748387096781</c:v>
                </c:pt>
                <c:pt idx="361">
                  <c:v>4.0904748387096781</c:v>
                </c:pt>
                <c:pt idx="362">
                  <c:v>4.0904748387096781</c:v>
                </c:pt>
                <c:pt idx="363">
                  <c:v>4.0904748387096781</c:v>
                </c:pt>
                <c:pt idx="364">
                  <c:v>4.0904748387096781</c:v>
                </c:pt>
                <c:pt idx="365">
                  <c:v>4.0904748387096781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A7-4B31-97D6-CAB28F27333E}"/>
            </c:ext>
          </c:extLst>
        </c:ser>
        <c:ser>
          <c:idx val="3"/>
          <c:order val="3"/>
          <c:tx>
            <c:strRef>
              <c:f>Piracicaba!$Q$5</c:f>
              <c:strCache>
                <c:ptCount val="1"/>
                <c:pt idx="0">
                  <c:v>Hargreaves &amp; Samani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Piracicaba!$Q$6:$Q$371</c:f>
              <c:numCache>
                <c:formatCode>0.00</c:formatCode>
                <c:ptCount val="366"/>
                <c:pt idx="0">
                  <c:v>5.9311335889481303</c:v>
                </c:pt>
                <c:pt idx="1">
                  <c:v>6.0663791415000263</c:v>
                </c:pt>
                <c:pt idx="2">
                  <c:v>6.0760289046533043</c:v>
                </c:pt>
                <c:pt idx="3">
                  <c:v>5.7157570247300908</c:v>
                </c:pt>
                <c:pt idx="4">
                  <c:v>6.3462538400000019</c:v>
                </c:pt>
                <c:pt idx="5">
                  <c:v>6.7046674807451581</c:v>
                </c:pt>
                <c:pt idx="6">
                  <c:v>7.1023745607269797</c:v>
                </c:pt>
                <c:pt idx="7">
                  <c:v>6.4039465120529231</c:v>
                </c:pt>
                <c:pt idx="8">
                  <c:v>6.7546373869726111</c:v>
                </c:pt>
                <c:pt idx="9">
                  <c:v>6.4192282175555677</c:v>
                </c:pt>
                <c:pt idx="10">
                  <c:v>5.5841984681516719</c:v>
                </c:pt>
                <c:pt idx="11">
                  <c:v>4.5349758969510336</c:v>
                </c:pt>
                <c:pt idx="12">
                  <c:v>4.7268463116647883</c:v>
                </c:pt>
                <c:pt idx="13">
                  <c:v>6.3167717836211246</c:v>
                </c:pt>
                <c:pt idx="14">
                  <c:v>5.3514269805336543</c:v>
                </c:pt>
                <c:pt idx="15">
                  <c:v>6.6588511206918994</c:v>
                </c:pt>
                <c:pt idx="16">
                  <c:v>6.8561483782804</c:v>
                </c:pt>
                <c:pt idx="17">
                  <c:v>7.1975095019739861</c:v>
                </c:pt>
                <c:pt idx="18">
                  <c:v>6.0779375330498793</c:v>
                </c:pt>
                <c:pt idx="19">
                  <c:v>5.2410439855677646</c:v>
                </c:pt>
                <c:pt idx="20">
                  <c:v>5.2357343050928504</c:v>
                </c:pt>
                <c:pt idx="21">
                  <c:v>5.1200440736292396</c:v>
                </c:pt>
                <c:pt idx="22">
                  <c:v>2.8615237718227364</c:v>
                </c:pt>
                <c:pt idx="23">
                  <c:v>5.1430121966834648</c:v>
                </c:pt>
                <c:pt idx="24">
                  <c:v>4.8319442909855193</c:v>
                </c:pt>
                <c:pt idx="25">
                  <c:v>5.3600903126968582</c:v>
                </c:pt>
                <c:pt idx="26">
                  <c:v>5.8110148964254975</c:v>
                </c:pt>
                <c:pt idx="27">
                  <c:v>5.1004238707452867</c:v>
                </c:pt>
                <c:pt idx="28">
                  <c:v>5.5744045305902228</c:v>
                </c:pt>
                <c:pt idx="29">
                  <c:v>6.5070505768329703</c:v>
                </c:pt>
                <c:pt idx="30">
                  <c:v>6.1434700073997588</c:v>
                </c:pt>
                <c:pt idx="31">
                  <c:v>5.5351286401061079</c:v>
                </c:pt>
                <c:pt idx="32">
                  <c:v>5.0160180912888412</c:v>
                </c:pt>
                <c:pt idx="33">
                  <c:v>4.5579230045577201</c:v>
                </c:pt>
                <c:pt idx="34">
                  <c:v>4.4813916629507133</c:v>
                </c:pt>
                <c:pt idx="35">
                  <c:v>5.9992071785251087</c:v>
                </c:pt>
                <c:pt idx="36">
                  <c:v>5.9131395977747054</c:v>
                </c:pt>
                <c:pt idx="37">
                  <c:v>5.6134895599463119</c:v>
                </c:pt>
                <c:pt idx="38">
                  <c:v>6.0725090158912591</c:v>
                </c:pt>
                <c:pt idx="39">
                  <c:v>6.070796275352353</c:v>
                </c:pt>
                <c:pt idx="40">
                  <c:v>6.4777499758590631</c:v>
                </c:pt>
                <c:pt idx="41">
                  <c:v>6.4525813752036445</c:v>
                </c:pt>
                <c:pt idx="42">
                  <c:v>5.4483311126079563</c:v>
                </c:pt>
                <c:pt idx="43">
                  <c:v>6.3579283559599835</c:v>
                </c:pt>
                <c:pt idx="44">
                  <c:v>4.397169234132341</c:v>
                </c:pt>
                <c:pt idx="45">
                  <c:v>3.1584071681790999</c:v>
                </c:pt>
                <c:pt idx="46">
                  <c:v>4.4518931924648513</c:v>
                </c:pt>
                <c:pt idx="47">
                  <c:v>4.7320270686211421</c:v>
                </c:pt>
                <c:pt idx="48">
                  <c:v>5.263605409356594</c:v>
                </c:pt>
                <c:pt idx="49">
                  <c:v>5.4032313231049436</c:v>
                </c:pt>
                <c:pt idx="50">
                  <c:v>4.7903700127724074</c:v>
                </c:pt>
                <c:pt idx="51">
                  <c:v>4.9185658178570053</c:v>
                </c:pt>
                <c:pt idx="52">
                  <c:v>5.350763954939131</c:v>
                </c:pt>
                <c:pt idx="53">
                  <c:v>5.0322600030486813</c:v>
                </c:pt>
                <c:pt idx="54">
                  <c:v>4.3170110507192359</c:v>
                </c:pt>
                <c:pt idx="55">
                  <c:v>5.8805931187317748</c:v>
                </c:pt>
                <c:pt idx="56">
                  <c:v>5.363841829882757</c:v>
                </c:pt>
                <c:pt idx="57">
                  <c:v>5.9800114118389551</c:v>
                </c:pt>
                <c:pt idx="58">
                  <c:v>5.6008079588089155</c:v>
                </c:pt>
                <c:pt idx="59">
                  <c:v>6.0331649888337715</c:v>
                </c:pt>
                <c:pt idx="60">
                  <c:v>4.7621706269935071</c:v>
                </c:pt>
                <c:pt idx="61">
                  <c:v>4.9411945939999109</c:v>
                </c:pt>
                <c:pt idx="62">
                  <c:v>5.5930820699098422</c:v>
                </c:pt>
                <c:pt idx="63">
                  <c:v>5.4958407527598032</c:v>
                </c:pt>
                <c:pt idx="64">
                  <c:v>5.0298464144622388</c:v>
                </c:pt>
                <c:pt idx="65">
                  <c:v>4.4622145946662322</c:v>
                </c:pt>
                <c:pt idx="66">
                  <c:v>4.9732854000000009</c:v>
                </c:pt>
                <c:pt idx="67">
                  <c:v>4.9693878089068972</c:v>
                </c:pt>
                <c:pt idx="68">
                  <c:v>4.3513422053217967</c:v>
                </c:pt>
                <c:pt idx="69">
                  <c:v>4.30478681138454</c:v>
                </c:pt>
                <c:pt idx="70">
                  <c:v>4.774512739150274</c:v>
                </c:pt>
                <c:pt idx="71">
                  <c:v>5.6739111183128843</c:v>
                </c:pt>
                <c:pt idx="72">
                  <c:v>5.7686767653736153</c:v>
                </c:pt>
                <c:pt idx="73">
                  <c:v>5.5849179141676384</c:v>
                </c:pt>
                <c:pt idx="74">
                  <c:v>5.8882215198332055</c:v>
                </c:pt>
                <c:pt idx="75">
                  <c:v>5.7533458220270202</c:v>
                </c:pt>
                <c:pt idx="76">
                  <c:v>5.3716381924340366</c:v>
                </c:pt>
                <c:pt idx="77">
                  <c:v>4.6667387988776481</c:v>
                </c:pt>
                <c:pt idx="78">
                  <c:v>4.3079629333363583</c:v>
                </c:pt>
                <c:pt idx="79">
                  <c:v>4.6973679617254023</c:v>
                </c:pt>
                <c:pt idx="80">
                  <c:v>5.1804167514927197</c:v>
                </c:pt>
                <c:pt idx="81">
                  <c:v>3.3070922181787012</c:v>
                </c:pt>
                <c:pt idx="82">
                  <c:v>2.4772840504534357</c:v>
                </c:pt>
                <c:pt idx="83">
                  <c:v>2.9618098762223073</c:v>
                </c:pt>
                <c:pt idx="84">
                  <c:v>4.7984334401547768</c:v>
                </c:pt>
                <c:pt idx="85">
                  <c:v>3.8430029005038029</c:v>
                </c:pt>
                <c:pt idx="86">
                  <c:v>2.9648743466501237</c:v>
                </c:pt>
                <c:pt idx="87">
                  <c:v>2.8078456255441679</c:v>
                </c:pt>
                <c:pt idx="88">
                  <c:v>3.7956679444862234</c:v>
                </c:pt>
                <c:pt idx="89">
                  <c:v>4.7173822493131254</c:v>
                </c:pt>
                <c:pt idx="90">
                  <c:v>5.4791370486279316</c:v>
                </c:pt>
                <c:pt idx="91">
                  <c:v>4.5391182000968202</c:v>
                </c:pt>
                <c:pt idx="92">
                  <c:v>4.1521697600000005</c:v>
                </c:pt>
                <c:pt idx="93">
                  <c:v>4.7143928167952591</c:v>
                </c:pt>
                <c:pt idx="94">
                  <c:v>4.8266461364670032</c:v>
                </c:pt>
                <c:pt idx="95">
                  <c:v>4.4562351167332892</c:v>
                </c:pt>
                <c:pt idx="96">
                  <c:v>4.0549541807581146</c:v>
                </c:pt>
                <c:pt idx="97">
                  <c:v>4.6687803965220507</c:v>
                </c:pt>
                <c:pt idx="98">
                  <c:v>3.1824436880125742</c:v>
                </c:pt>
                <c:pt idx="99">
                  <c:v>3.719515132821237</c:v>
                </c:pt>
                <c:pt idx="100">
                  <c:v>4.3766891308809521</c:v>
                </c:pt>
                <c:pt idx="101">
                  <c:v>3.7828514062101966</c:v>
                </c:pt>
                <c:pt idx="102">
                  <c:v>3.8958166673380559</c:v>
                </c:pt>
                <c:pt idx="103">
                  <c:v>4.3894180566676626</c:v>
                </c:pt>
                <c:pt idx="104">
                  <c:v>3.5217539907067654</c:v>
                </c:pt>
                <c:pt idx="105">
                  <c:v>3.720838332380676</c:v>
                </c:pt>
                <c:pt idx="106">
                  <c:v>4.0721677304996673</c:v>
                </c:pt>
                <c:pt idx="107">
                  <c:v>3.1946251108647159</c:v>
                </c:pt>
                <c:pt idx="108">
                  <c:v>3.0769272138238861</c:v>
                </c:pt>
                <c:pt idx="109">
                  <c:v>4.0489334975970621</c:v>
                </c:pt>
                <c:pt idx="110">
                  <c:v>4.6717017757726422</c:v>
                </c:pt>
                <c:pt idx="111">
                  <c:v>4.3404039953041789</c:v>
                </c:pt>
                <c:pt idx="112">
                  <c:v>4.7172029126086219</c:v>
                </c:pt>
                <c:pt idx="113">
                  <c:v>4.6969679432235978</c:v>
                </c:pt>
                <c:pt idx="114">
                  <c:v>4.6674087718293977</c:v>
                </c:pt>
                <c:pt idx="115">
                  <c:v>4.5399948928672487</c:v>
                </c:pt>
                <c:pt idx="116">
                  <c:v>4.5334905988498315</c:v>
                </c:pt>
                <c:pt idx="117">
                  <c:v>4.6822981844711089</c:v>
                </c:pt>
                <c:pt idx="118">
                  <c:v>4.6911351112216755</c:v>
                </c:pt>
                <c:pt idx="119">
                  <c:v>4.5924930483545072</c:v>
                </c:pt>
                <c:pt idx="120">
                  <c:v>5.9181179788812122</c:v>
                </c:pt>
                <c:pt idx="121">
                  <c:v>4.1779486222763742</c:v>
                </c:pt>
                <c:pt idx="122">
                  <c:v>4.2354772124910882</c:v>
                </c:pt>
                <c:pt idx="123">
                  <c:v>4.1858653789250289</c:v>
                </c:pt>
                <c:pt idx="124">
                  <c:v>4.2526759048282257</c:v>
                </c:pt>
                <c:pt idx="125">
                  <c:v>4.2935128440413219</c:v>
                </c:pt>
                <c:pt idx="126">
                  <c:v>4.1006392491719383</c:v>
                </c:pt>
                <c:pt idx="127">
                  <c:v>4.1582823975948893</c:v>
                </c:pt>
                <c:pt idx="128">
                  <c:v>3.9565578843743245</c:v>
                </c:pt>
                <c:pt idx="129">
                  <c:v>3.9461504264216622</c:v>
                </c:pt>
                <c:pt idx="130">
                  <c:v>3.7290677313988057</c:v>
                </c:pt>
                <c:pt idx="131">
                  <c:v>4.0426384108324038</c:v>
                </c:pt>
                <c:pt idx="132">
                  <c:v>4.1676943720435595</c:v>
                </c:pt>
                <c:pt idx="133">
                  <c:v>4.0801101363152252</c:v>
                </c:pt>
                <c:pt idx="134">
                  <c:v>3.2935195517456424</c:v>
                </c:pt>
                <c:pt idx="135">
                  <c:v>3.3508753244523559</c:v>
                </c:pt>
                <c:pt idx="136">
                  <c:v>4.063703684412908</c:v>
                </c:pt>
                <c:pt idx="137">
                  <c:v>4.2265061916771574</c:v>
                </c:pt>
                <c:pt idx="138">
                  <c:v>4.2006259878930612</c:v>
                </c:pt>
                <c:pt idx="139">
                  <c:v>3.6898534639946243</c:v>
                </c:pt>
                <c:pt idx="140">
                  <c:v>3.5937069722424555</c:v>
                </c:pt>
                <c:pt idx="141">
                  <c:v>3.7036133180661062</c:v>
                </c:pt>
                <c:pt idx="142">
                  <c:v>3.6309430605478914</c:v>
                </c:pt>
                <c:pt idx="143">
                  <c:v>4.063660049759803</c:v>
                </c:pt>
                <c:pt idx="144">
                  <c:v>3.5825182597364695</c:v>
                </c:pt>
                <c:pt idx="145">
                  <c:v>2.8872585430780391</c:v>
                </c:pt>
                <c:pt idx="146">
                  <c:v>1.86331464</c:v>
                </c:pt>
                <c:pt idx="147">
                  <c:v>2.8208395657433796</c:v>
                </c:pt>
                <c:pt idx="148">
                  <c:v>2.6747885104667621</c:v>
                </c:pt>
                <c:pt idx="149">
                  <c:v>2.7885767317355663</c:v>
                </c:pt>
                <c:pt idx="150">
                  <c:v>2.9463194046286705</c:v>
                </c:pt>
                <c:pt idx="151">
                  <c:v>3.3927168844201239</c:v>
                </c:pt>
                <c:pt idx="152">
                  <c:v>3.3154336608470474</c:v>
                </c:pt>
                <c:pt idx="153">
                  <c:v>3.4060938290922862</c:v>
                </c:pt>
                <c:pt idx="154">
                  <c:v>3.1076014650075821</c:v>
                </c:pt>
                <c:pt idx="155">
                  <c:v>2.7233294281735678</c:v>
                </c:pt>
                <c:pt idx="156">
                  <c:v>3.1886472466954836</c:v>
                </c:pt>
                <c:pt idx="157">
                  <c:v>3.4813222905676513</c:v>
                </c:pt>
                <c:pt idx="158">
                  <c:v>3.445144812199886</c:v>
                </c:pt>
                <c:pt idx="159">
                  <c:v>3.4886292369616254</c:v>
                </c:pt>
                <c:pt idx="160">
                  <c:v>3.6049952337544076</c:v>
                </c:pt>
                <c:pt idx="161">
                  <c:v>3.706783334472179</c:v>
                </c:pt>
                <c:pt idx="162">
                  <c:v>3.5397331199999997</c:v>
                </c:pt>
                <c:pt idx="163">
                  <c:v>3.6269262707223575</c:v>
                </c:pt>
                <c:pt idx="164">
                  <c:v>3.5648195286270554</c:v>
                </c:pt>
                <c:pt idx="165">
                  <c:v>3.5403524813369636</c:v>
                </c:pt>
                <c:pt idx="166">
                  <c:v>3.6288575050681726</c:v>
                </c:pt>
                <c:pt idx="167">
                  <c:v>3.5313638452730136</c:v>
                </c:pt>
                <c:pt idx="168">
                  <c:v>3.511793456029134</c:v>
                </c:pt>
                <c:pt idx="169">
                  <c:v>3.5051467781030334</c:v>
                </c:pt>
                <c:pt idx="170">
                  <c:v>3.7116912687324479</c:v>
                </c:pt>
                <c:pt idx="171">
                  <c:v>3.6693660270650534</c:v>
                </c:pt>
                <c:pt idx="172">
                  <c:v>3.5045958922732665</c:v>
                </c:pt>
                <c:pt idx="173">
                  <c:v>3.6937833049012303</c:v>
                </c:pt>
                <c:pt idx="174">
                  <c:v>3.5763548960981684</c:v>
                </c:pt>
                <c:pt idx="175">
                  <c:v>3.745525937117915</c:v>
                </c:pt>
                <c:pt idx="176">
                  <c:v>2.9409391328131904</c:v>
                </c:pt>
                <c:pt idx="177">
                  <c:v>3.7605257186798475</c:v>
                </c:pt>
                <c:pt idx="178">
                  <c:v>3.0944802938083154</c:v>
                </c:pt>
                <c:pt idx="179">
                  <c:v>3.3486585944299061</c:v>
                </c:pt>
                <c:pt idx="180">
                  <c:v>3.263445359342279</c:v>
                </c:pt>
                <c:pt idx="181">
                  <c:v>2.5115477567208244</c:v>
                </c:pt>
                <c:pt idx="182">
                  <c:v>1.7507625973180945</c:v>
                </c:pt>
                <c:pt idx="183">
                  <c:v>3.4230902605522981</c:v>
                </c:pt>
                <c:pt idx="184">
                  <c:v>3.7155729364586572</c:v>
                </c:pt>
                <c:pt idx="185">
                  <c:v>3.2840555255278496</c:v>
                </c:pt>
                <c:pt idx="186">
                  <c:v>3.0997284173527202</c:v>
                </c:pt>
                <c:pt idx="187">
                  <c:v>3.3591836524298575</c:v>
                </c:pt>
                <c:pt idx="188">
                  <c:v>3.7934333074712141</c:v>
                </c:pt>
                <c:pt idx="189">
                  <c:v>3.0315630020098547</c:v>
                </c:pt>
                <c:pt idx="190">
                  <c:v>1.1020068101699734</c:v>
                </c:pt>
                <c:pt idx="191">
                  <c:v>2.4378595225849251</c:v>
                </c:pt>
                <c:pt idx="192">
                  <c:v>3.3863252423215338</c:v>
                </c:pt>
                <c:pt idx="193">
                  <c:v>2.7113286363522953</c:v>
                </c:pt>
                <c:pt idx="194">
                  <c:v>2.6845148087183275</c:v>
                </c:pt>
                <c:pt idx="195">
                  <c:v>3.5429441732101852</c:v>
                </c:pt>
                <c:pt idx="196">
                  <c:v>2.9405600538701799</c:v>
                </c:pt>
                <c:pt idx="197">
                  <c:v>3.3266520519886056</c:v>
                </c:pt>
                <c:pt idx="198">
                  <c:v>3.2396289681536068</c:v>
                </c:pt>
                <c:pt idx="199">
                  <c:v>3.4394517272108924</c:v>
                </c:pt>
                <c:pt idx="200">
                  <c:v>3.2403327484418942</c:v>
                </c:pt>
                <c:pt idx="201">
                  <c:v>3.4935154984857304</c:v>
                </c:pt>
                <c:pt idx="202">
                  <c:v>3.5933785436828107</c:v>
                </c:pt>
                <c:pt idx="203">
                  <c:v>3.6451244315751423</c:v>
                </c:pt>
                <c:pt idx="204">
                  <c:v>3.5725152414440444</c:v>
                </c:pt>
                <c:pt idx="205">
                  <c:v>3.8824057397220599</c:v>
                </c:pt>
                <c:pt idx="206">
                  <c:v>3.7635740659375898</c:v>
                </c:pt>
                <c:pt idx="207">
                  <c:v>3.613874530046111</c:v>
                </c:pt>
                <c:pt idx="208">
                  <c:v>3.6520067936170388</c:v>
                </c:pt>
                <c:pt idx="209">
                  <c:v>4.1235909248595446</c:v>
                </c:pt>
                <c:pt idx="210">
                  <c:v>3.558773992719122</c:v>
                </c:pt>
                <c:pt idx="211">
                  <c:v>1.6910154093206844</c:v>
                </c:pt>
                <c:pt idx="212">
                  <c:v>3.6622379488230967</c:v>
                </c:pt>
                <c:pt idx="213">
                  <c:v>4.1993203338433478</c:v>
                </c:pt>
                <c:pt idx="214">
                  <c:v>4.5574386189613127</c:v>
                </c:pt>
                <c:pt idx="215">
                  <c:v>4.5070871790582494</c:v>
                </c:pt>
                <c:pt idx="216">
                  <c:v>4.4990029072988253</c:v>
                </c:pt>
                <c:pt idx="217">
                  <c:v>4.4650791435700228</c:v>
                </c:pt>
                <c:pt idx="218">
                  <c:v>4.78484514432275</c:v>
                </c:pt>
                <c:pt idx="219">
                  <c:v>4.4588487111697344</c:v>
                </c:pt>
                <c:pt idx="220">
                  <c:v>4.83843786748103</c:v>
                </c:pt>
                <c:pt idx="221">
                  <c:v>3.1298842740657129</c:v>
                </c:pt>
                <c:pt idx="222">
                  <c:v>2.5021833295342626</c:v>
                </c:pt>
                <c:pt idx="223">
                  <c:v>3.4922455533743255</c:v>
                </c:pt>
                <c:pt idx="224">
                  <c:v>3.309160760735173</c:v>
                </c:pt>
                <c:pt idx="225">
                  <c:v>3.0737841350553152</c:v>
                </c:pt>
                <c:pt idx="226">
                  <c:v>4.2279905705935317</c:v>
                </c:pt>
                <c:pt idx="227">
                  <c:v>4.7956599005529483</c:v>
                </c:pt>
                <c:pt idx="228">
                  <c:v>4.8532244131282702</c:v>
                </c:pt>
                <c:pt idx="229">
                  <c:v>4.9401615537464627</c:v>
                </c:pt>
                <c:pt idx="230">
                  <c:v>5.0461770453607349</c:v>
                </c:pt>
                <c:pt idx="231">
                  <c:v>5.0730324391260799</c:v>
                </c:pt>
                <c:pt idx="232">
                  <c:v>5.0301481925031108</c:v>
                </c:pt>
                <c:pt idx="233">
                  <c:v>4.6923187013388823</c:v>
                </c:pt>
                <c:pt idx="234">
                  <c:v>5.1246538230667644</c:v>
                </c:pt>
                <c:pt idx="235">
                  <c:v>5.1873972780921465</c:v>
                </c:pt>
                <c:pt idx="236">
                  <c:v>3.4109289919738872</c:v>
                </c:pt>
                <c:pt idx="237">
                  <c:v>1.8184336804236252</c:v>
                </c:pt>
                <c:pt idx="238">
                  <c:v>2.9088341301752352</c:v>
                </c:pt>
                <c:pt idx="239">
                  <c:v>4.0261705618472599</c:v>
                </c:pt>
                <c:pt idx="240">
                  <c:v>4.2270205534841505</c:v>
                </c:pt>
                <c:pt idx="241">
                  <c:v>4.6726118509224843</c:v>
                </c:pt>
                <c:pt idx="242">
                  <c:v>4.6900719172824417</c:v>
                </c:pt>
                <c:pt idx="243">
                  <c:v>4.8801448968788943</c:v>
                </c:pt>
                <c:pt idx="244">
                  <c:v>6.2496492202670071</c:v>
                </c:pt>
                <c:pt idx="245">
                  <c:v>5.7677034716049311</c:v>
                </c:pt>
                <c:pt idx="246">
                  <c:v>5.9118266698778053</c:v>
                </c:pt>
                <c:pt idx="247">
                  <c:v>6.3382668125793797</c:v>
                </c:pt>
                <c:pt idx="248">
                  <c:v>5.3035855265544765</c:v>
                </c:pt>
                <c:pt idx="249">
                  <c:v>4.5964273699391747</c:v>
                </c:pt>
                <c:pt idx="250">
                  <c:v>6.2308121016811615</c:v>
                </c:pt>
                <c:pt idx="251">
                  <c:v>6.1445812561784185</c:v>
                </c:pt>
                <c:pt idx="252">
                  <c:v>5.9947125800175085</c:v>
                </c:pt>
                <c:pt idx="253">
                  <c:v>6.1003826633870748</c:v>
                </c:pt>
                <c:pt idx="254">
                  <c:v>6.2525645910738339</c:v>
                </c:pt>
                <c:pt idx="255">
                  <c:v>6.2170285047620109</c:v>
                </c:pt>
                <c:pt idx="256">
                  <c:v>6.1365545878804006</c:v>
                </c:pt>
                <c:pt idx="257">
                  <c:v>5.3057249596058336</c:v>
                </c:pt>
                <c:pt idx="258">
                  <c:v>4.5766127671770516</c:v>
                </c:pt>
                <c:pt idx="259">
                  <c:v>1.9904645944765789</c:v>
                </c:pt>
                <c:pt idx="260">
                  <c:v>4.0493474468826411</c:v>
                </c:pt>
                <c:pt idx="261">
                  <c:v>4.3620033177581092</c:v>
                </c:pt>
                <c:pt idx="262">
                  <c:v>5.578043544886313</c:v>
                </c:pt>
                <c:pt idx="263">
                  <c:v>6.1628913167121473</c:v>
                </c:pt>
                <c:pt idx="264">
                  <c:v>4.4864772270512807</c:v>
                </c:pt>
                <c:pt idx="265">
                  <c:v>5.8736726176127974</c:v>
                </c:pt>
                <c:pt idx="266">
                  <c:v>6.0941022756360468</c:v>
                </c:pt>
                <c:pt idx="267">
                  <c:v>6.5195629601080194</c:v>
                </c:pt>
                <c:pt idx="268">
                  <c:v>6.6845180990844879</c:v>
                </c:pt>
                <c:pt idx="269">
                  <c:v>6.7220106217249427</c:v>
                </c:pt>
                <c:pt idx="270">
                  <c:v>4.7541346020221171</c:v>
                </c:pt>
                <c:pt idx="271">
                  <c:v>4.8467570827832995</c:v>
                </c:pt>
                <c:pt idx="272">
                  <c:v>5.8222149503148293</c:v>
                </c:pt>
                <c:pt idx="273">
                  <c:v>6.0215891564541684</c:v>
                </c:pt>
                <c:pt idx="274">
                  <c:v>7.2617384398421088</c:v>
                </c:pt>
                <c:pt idx="275">
                  <c:v>7.0545906123171758</c:v>
                </c:pt>
                <c:pt idx="276">
                  <c:v>5.2242173768471405</c:v>
                </c:pt>
                <c:pt idx="277">
                  <c:v>4.3241968503192041</c:v>
                </c:pt>
                <c:pt idx="278">
                  <c:v>5.6229957569570175</c:v>
                </c:pt>
                <c:pt idx="279">
                  <c:v>6.6082619318830567</c:v>
                </c:pt>
                <c:pt idx="280">
                  <c:v>6.6859135452224923</c:v>
                </c:pt>
                <c:pt idx="281">
                  <c:v>7.2918040467676928</c:v>
                </c:pt>
                <c:pt idx="282">
                  <c:v>5.3617318997988388</c:v>
                </c:pt>
                <c:pt idx="283">
                  <c:v>4.8975872691245579</c:v>
                </c:pt>
                <c:pt idx="284">
                  <c:v>5.0408971655695378</c:v>
                </c:pt>
                <c:pt idx="285">
                  <c:v>5.0275249199999985</c:v>
                </c:pt>
                <c:pt idx="286">
                  <c:v>5.822824042781126</c:v>
                </c:pt>
                <c:pt idx="287">
                  <c:v>5.7560321531068599</c:v>
                </c:pt>
                <c:pt idx="288">
                  <c:v>6.4472802927186281</c:v>
                </c:pt>
                <c:pt idx="289">
                  <c:v>6.197024118543041</c:v>
                </c:pt>
                <c:pt idx="290">
                  <c:v>6.1478584473758495</c:v>
                </c:pt>
                <c:pt idx="291">
                  <c:v>5.824847448223287</c:v>
                </c:pt>
                <c:pt idx="292">
                  <c:v>3.9508334201616835</c:v>
                </c:pt>
                <c:pt idx="293">
                  <c:v>3.8251798017690763</c:v>
                </c:pt>
                <c:pt idx="294">
                  <c:v>5.2265960993150928</c:v>
                </c:pt>
                <c:pt idx="295">
                  <c:v>5.4654079999235474</c:v>
                </c:pt>
                <c:pt idx="296">
                  <c:v>4.6642673271150192</c:v>
                </c:pt>
                <c:pt idx="297">
                  <c:v>5.645629128167883</c:v>
                </c:pt>
                <c:pt idx="298">
                  <c:v>4.7811988025586665</c:v>
                </c:pt>
                <c:pt idx="299">
                  <c:v>5.341285746492817</c:v>
                </c:pt>
                <c:pt idx="300">
                  <c:v>3.5348818033608431</c:v>
                </c:pt>
                <c:pt idx="301">
                  <c:v>4.5986244000147121</c:v>
                </c:pt>
                <c:pt idx="302">
                  <c:v>5.3963143582967241</c:v>
                </c:pt>
                <c:pt idx="303">
                  <c:v>5.638268832997352</c:v>
                </c:pt>
                <c:pt idx="304">
                  <c:v>5.4177944061307635</c:v>
                </c:pt>
                <c:pt idx="305">
                  <c:v>5.8305857219602997</c:v>
                </c:pt>
                <c:pt idx="306">
                  <c:v>4.631466212930067</c:v>
                </c:pt>
                <c:pt idx="307">
                  <c:v>3.6992548900599398</c:v>
                </c:pt>
                <c:pt idx="308">
                  <c:v>3.2327466599594281</c:v>
                </c:pt>
                <c:pt idx="309">
                  <c:v>5.1446602854556485</c:v>
                </c:pt>
                <c:pt idx="310">
                  <c:v>4.7615998158088253</c:v>
                </c:pt>
                <c:pt idx="311">
                  <c:v>3.2183730004484934</c:v>
                </c:pt>
                <c:pt idx="312">
                  <c:v>3.5534883759411393</c:v>
                </c:pt>
                <c:pt idx="313">
                  <c:v>4.5723744132011541</c:v>
                </c:pt>
                <c:pt idx="314">
                  <c:v>5.43318879094788</c:v>
                </c:pt>
                <c:pt idx="315">
                  <c:v>6.4439169562601704</c:v>
                </c:pt>
                <c:pt idx="316">
                  <c:v>6.8433174903339635</c:v>
                </c:pt>
                <c:pt idx="317">
                  <c:v>4.2263755430004259</c:v>
                </c:pt>
                <c:pt idx="318">
                  <c:v>5.5536780909539996</c:v>
                </c:pt>
                <c:pt idx="319">
                  <c:v>5.7375878871316957</c:v>
                </c:pt>
                <c:pt idx="320">
                  <c:v>4.7106315369207268</c:v>
                </c:pt>
                <c:pt idx="321">
                  <c:v>5.3684094264815663</c:v>
                </c:pt>
                <c:pt idx="322">
                  <c:v>6.1940735457341045</c:v>
                </c:pt>
                <c:pt idx="323">
                  <c:v>6.2987161374255569</c:v>
                </c:pt>
                <c:pt idx="324">
                  <c:v>6.4545709298462093</c:v>
                </c:pt>
                <c:pt idx="325">
                  <c:v>4.6645921759451205</c:v>
                </c:pt>
                <c:pt idx="326">
                  <c:v>3.3691961479771013</c:v>
                </c:pt>
                <c:pt idx="327">
                  <c:v>5.2413098955267436</c:v>
                </c:pt>
                <c:pt idx="328">
                  <c:v>5.2327702651799575</c:v>
                </c:pt>
                <c:pt idx="329">
                  <c:v>6.4026834906778936</c:v>
                </c:pt>
                <c:pt idx="330">
                  <c:v>6.4255805220274302</c:v>
                </c:pt>
                <c:pt idx="331">
                  <c:v>6.5595911024629165</c:v>
                </c:pt>
                <c:pt idx="332">
                  <c:v>6.175296011599432</c:v>
                </c:pt>
                <c:pt idx="333">
                  <c:v>4.6851434151134468</c:v>
                </c:pt>
                <c:pt idx="334">
                  <c:v>5.3910790397129533</c:v>
                </c:pt>
                <c:pt idx="335">
                  <c:v>6.8175584104895099</c:v>
                </c:pt>
                <c:pt idx="336">
                  <c:v>5.241774479702312</c:v>
                </c:pt>
                <c:pt idx="337">
                  <c:v>3.26766888</c:v>
                </c:pt>
                <c:pt idx="338">
                  <c:v>3.725153923091058</c:v>
                </c:pt>
                <c:pt idx="339">
                  <c:v>5.6426311208415738</c:v>
                </c:pt>
                <c:pt idx="340">
                  <c:v>6.279752524190747</c:v>
                </c:pt>
                <c:pt idx="341">
                  <c:v>6.3254708421086177</c:v>
                </c:pt>
                <c:pt idx="342">
                  <c:v>4.7528429081668584</c:v>
                </c:pt>
                <c:pt idx="343">
                  <c:v>4.9769284678150649</c:v>
                </c:pt>
                <c:pt idx="344">
                  <c:v>5.5532355956079948</c:v>
                </c:pt>
                <c:pt idx="345">
                  <c:v>5.5575281608049609</c:v>
                </c:pt>
                <c:pt idx="346">
                  <c:v>6.0204011804691362</c:v>
                </c:pt>
                <c:pt idx="347">
                  <c:v>5.9172363123279936</c:v>
                </c:pt>
                <c:pt idx="348">
                  <c:v>3.6522179715072318</c:v>
                </c:pt>
                <c:pt idx="349">
                  <c:v>5.4997721118922387</c:v>
                </c:pt>
                <c:pt idx="350">
                  <c:v>5.4463305135446705</c:v>
                </c:pt>
                <c:pt idx="351">
                  <c:v>6.5293145968473825</c:v>
                </c:pt>
                <c:pt idx="352">
                  <c:v>6.4105699812776713</c:v>
                </c:pt>
                <c:pt idx="353">
                  <c:v>6.4460570576049241</c:v>
                </c:pt>
                <c:pt idx="354">
                  <c:v>5.8710239628079171</c:v>
                </c:pt>
                <c:pt idx="355">
                  <c:v>4.8996083726321658</c:v>
                </c:pt>
                <c:pt idx="356">
                  <c:v>4.829328388251457</c:v>
                </c:pt>
                <c:pt idx="357">
                  <c:v>5.0493503196706468</c:v>
                </c:pt>
                <c:pt idx="358">
                  <c:v>5.8917577725222126</c:v>
                </c:pt>
                <c:pt idx="359">
                  <c:v>5.9578718401840582</c:v>
                </c:pt>
                <c:pt idx="360">
                  <c:v>4.3582862907001338</c:v>
                </c:pt>
                <c:pt idx="361">
                  <c:v>4.4841122124838053</c:v>
                </c:pt>
                <c:pt idx="362">
                  <c:v>5.9475616030566254</c:v>
                </c:pt>
                <c:pt idx="363">
                  <c:v>5.6770610685958198</c:v>
                </c:pt>
                <c:pt idx="364">
                  <c:v>5.8198709125897388</c:v>
                </c:pt>
                <c:pt idx="365">
                  <c:v>6.1127392690772346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A7-4B31-97D6-CAB28F27333E}"/>
            </c:ext>
          </c:extLst>
        </c:ser>
        <c:ser>
          <c:idx val="4"/>
          <c:order val="4"/>
          <c:tx>
            <c:strRef>
              <c:f>Piracicaba!$R$5</c:f>
              <c:strCache>
                <c:ptCount val="1"/>
                <c:pt idx="0">
                  <c:v>Hargreaves &amp; Samani (corrigido)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Piracicaba!$R$6:$R$371</c:f>
              <c:numCache>
                <c:formatCode>0.00</c:formatCode>
                <c:ptCount val="366"/>
                <c:pt idx="0">
                  <c:v>6.186528717177219</c:v>
                </c:pt>
                <c:pt idx="1">
                  <c:v>6.3275979549856354</c:v>
                </c:pt>
                <c:pt idx="2">
                  <c:v>6.337663237779628</c:v>
                </c:pt>
                <c:pt idx="3">
                  <c:v>5.961878019370535</c:v>
                </c:pt>
                <c:pt idx="4">
                  <c:v>6.6195240823464729</c:v>
                </c:pt>
                <c:pt idx="5">
                  <c:v>6.9933710456368727</c:v>
                </c:pt>
                <c:pt idx="6">
                  <c:v>7.4082034270752048</c:v>
                </c:pt>
                <c:pt idx="7">
                  <c:v>6.6797010058760913</c:v>
                </c:pt>
                <c:pt idx="8">
                  <c:v>7.0454926603728536</c:v>
                </c:pt>
                <c:pt idx="9">
                  <c:v>6.6956407429468801</c:v>
                </c:pt>
                <c:pt idx="10">
                  <c:v>5.8246545399029079</c:v>
                </c:pt>
                <c:pt idx="11">
                  <c:v>4.730252353525171</c:v>
                </c:pt>
                <c:pt idx="12">
                  <c:v>4.9303847249853563</c:v>
                </c:pt>
                <c:pt idx="13">
                  <c:v>6.5887725260555765</c:v>
                </c:pt>
                <c:pt idx="14">
                  <c:v>5.5818598917816349</c:v>
                </c:pt>
                <c:pt idx="15">
                  <c:v>6.9455818291346212</c:v>
                </c:pt>
                <c:pt idx="16">
                  <c:v>7.1513747237957643</c:v>
                </c:pt>
                <c:pt idx="17">
                  <c:v>7.5074348871671281</c:v>
                </c:pt>
                <c:pt idx="18">
                  <c:v>6.3396540518809719</c:v>
                </c:pt>
                <c:pt idx="19">
                  <c:v>5.4667237954514203</c:v>
                </c:pt>
                <c:pt idx="20">
                  <c:v>5.4611854796734205</c:v>
                </c:pt>
                <c:pt idx="21">
                  <c:v>5.34051361678027</c:v>
                </c:pt>
                <c:pt idx="22">
                  <c:v>2.9847412343322706</c:v>
                </c:pt>
                <c:pt idx="23">
                  <c:v>5.364470749210974</c:v>
                </c:pt>
                <c:pt idx="24">
                  <c:v>5.0400082324370414</c:v>
                </c:pt>
                <c:pt idx="25">
                  <c:v>5.5908962677813214</c:v>
                </c:pt>
                <c:pt idx="26">
                  <c:v>6.0612377033066585</c:v>
                </c:pt>
                <c:pt idx="27">
                  <c:v>5.3200485662535728</c:v>
                </c:pt>
                <c:pt idx="28">
                  <c:v>5.8144388745381885</c:v>
                </c:pt>
                <c:pt idx="29">
                  <c:v>6.7872447406535414</c:v>
                </c:pt>
                <c:pt idx="30">
                  <c:v>6.4080083602763604</c:v>
                </c:pt>
                <c:pt idx="31">
                  <c:v>5.7734717607936172</c:v>
                </c:pt>
                <c:pt idx="32">
                  <c:v>5.2320082665921319</c:v>
                </c:pt>
                <c:pt idx="33">
                  <c:v>4.7541875655813373</c:v>
                </c:pt>
                <c:pt idx="34">
                  <c:v>4.6743607777480491</c:v>
                </c:pt>
                <c:pt idx="35">
                  <c:v>6.2575335614424112</c:v>
                </c:pt>
                <c:pt idx="36">
                  <c:v>6.1677599031787524</c:v>
                </c:pt>
                <c:pt idx="37">
                  <c:v>5.8552069086579595</c:v>
                </c:pt>
                <c:pt idx="38">
                  <c:v>6.3339917823013296</c:v>
                </c:pt>
                <c:pt idx="39">
                  <c:v>6.3322052910058444</c:v>
                </c:pt>
                <c:pt idx="40">
                  <c:v>6.7566824532531369</c:v>
                </c:pt>
                <c:pt idx="41">
                  <c:v>6.7304300904643348</c:v>
                </c:pt>
                <c:pt idx="42">
                  <c:v>5.6829367242117605</c:v>
                </c:pt>
                <c:pt idx="43">
                  <c:v>6.6317013039791384</c:v>
                </c:pt>
                <c:pt idx="44">
                  <c:v>4.5865117238191058</c:v>
                </c:pt>
                <c:pt idx="45">
                  <c:v>3.2944084555586062</c:v>
                </c:pt>
                <c:pt idx="46">
                  <c:v>4.643592100557294</c:v>
                </c:pt>
                <c:pt idx="47">
                  <c:v>4.9357885657868712</c:v>
                </c:pt>
                <c:pt idx="48">
                  <c:v>5.4902567161109852</c:v>
                </c:pt>
                <c:pt idx="49">
                  <c:v>5.6358949338499764</c:v>
                </c:pt>
                <c:pt idx="50">
                  <c:v>4.9966437621879498</c:v>
                </c:pt>
                <c:pt idx="51">
                  <c:v>5.1303596897899393</c:v>
                </c:pt>
                <c:pt idx="52">
                  <c:v>5.5811683162473411</c:v>
                </c:pt>
                <c:pt idx="53">
                  <c:v>5.2489495564850701</c:v>
                </c:pt>
                <c:pt idx="54">
                  <c:v>4.5029019220560871</c:v>
                </c:pt>
                <c:pt idx="55">
                  <c:v>6.1338119699173461</c:v>
                </c:pt>
                <c:pt idx="56">
                  <c:v>5.5948093256235509</c:v>
                </c:pt>
                <c:pt idx="57">
                  <c:v>6.237511223373108</c:v>
                </c:pt>
                <c:pt idx="58">
                  <c:v>5.8419792366725432</c:v>
                </c:pt>
                <c:pt idx="59">
                  <c:v>6.2929535980166103</c:v>
                </c:pt>
                <c:pt idx="60">
                  <c:v>4.9672301084046326</c:v>
                </c:pt>
                <c:pt idx="61">
                  <c:v>5.1539628630018059</c:v>
                </c:pt>
                <c:pt idx="62">
                  <c:v>5.8339206703254796</c:v>
                </c:pt>
                <c:pt idx="63">
                  <c:v>5.7324921336009265</c:v>
                </c:pt>
                <c:pt idx="64">
                  <c:v>5.2464320385641612</c:v>
                </c:pt>
                <c:pt idx="65">
                  <c:v>4.6543579432352207</c:v>
                </c:pt>
                <c:pt idx="66">
                  <c:v>5.187435501899512</c:v>
                </c:pt>
                <c:pt idx="67">
                  <c:v>5.1833700801949281</c:v>
                </c:pt>
                <c:pt idx="68">
                  <c:v>4.5387113791619527</c:v>
                </c:pt>
                <c:pt idx="69">
                  <c:v>4.4901513059123772</c:v>
                </c:pt>
                <c:pt idx="70">
                  <c:v>4.9801036729843844</c:v>
                </c:pt>
                <c:pt idx="71">
                  <c:v>5.9182302245832537</c:v>
                </c:pt>
                <c:pt idx="72">
                  <c:v>6.0170764886491188</c:v>
                </c:pt>
                <c:pt idx="73">
                  <c:v>5.8254049653268991</c:v>
                </c:pt>
                <c:pt idx="74">
                  <c:v>6.1417688506337216</c:v>
                </c:pt>
                <c:pt idx="75">
                  <c:v>6.0010853935485367</c:v>
                </c:pt>
                <c:pt idx="76">
                  <c:v>5.6029414002244149</c:v>
                </c:pt>
                <c:pt idx="77">
                  <c:v>4.8676889774694603</c:v>
                </c:pt>
                <c:pt idx="78">
                  <c:v>4.4934641919516993</c:v>
                </c:pt>
                <c:pt idx="79">
                  <c:v>4.8996370347335576</c:v>
                </c:pt>
                <c:pt idx="80">
                  <c:v>5.4034859474037571</c:v>
                </c:pt>
                <c:pt idx="81">
                  <c:v>3.4494958967437901</c:v>
                </c:pt>
                <c:pt idx="82">
                  <c:v>2.5839561171397025</c:v>
                </c:pt>
                <c:pt idx="83">
                  <c:v>3.0893456671101549</c:v>
                </c:pt>
                <c:pt idx="84">
                  <c:v>5.0050544014547595</c:v>
                </c:pt>
                <c:pt idx="85">
                  <c:v>4.0084829396632298</c:v>
                </c:pt>
                <c:pt idx="86">
                  <c:v>3.0925420939011405</c:v>
                </c:pt>
                <c:pt idx="87">
                  <c:v>2.9287517024060308</c:v>
                </c:pt>
                <c:pt idx="88">
                  <c:v>3.9591097363223473</c:v>
                </c:pt>
                <c:pt idx="89">
                  <c:v>4.9205131392856476</c:v>
                </c:pt>
                <c:pt idx="90">
                  <c:v>5.7150691665162512</c:v>
                </c:pt>
                <c:pt idx="91">
                  <c:v>4.7345730246047122</c:v>
                </c:pt>
                <c:pt idx="92">
                  <c:v>4.3309625510206144</c:v>
                </c:pt>
                <c:pt idx="93">
                  <c:v>4.9173949815435423</c:v>
                </c:pt>
                <c:pt idx="94">
                  <c:v>5.0344819389241255</c:v>
                </c:pt>
                <c:pt idx="95">
                  <c:v>4.6481209884623906</c:v>
                </c:pt>
                <c:pt idx="96">
                  <c:v>4.2295608604807784</c:v>
                </c:pt>
                <c:pt idx="97">
                  <c:v>4.8698184864860083</c:v>
                </c:pt>
                <c:pt idx="98">
                  <c:v>3.3194799900268022</c:v>
                </c:pt>
                <c:pt idx="99">
                  <c:v>3.879677777963308</c:v>
                </c:pt>
                <c:pt idx="100">
                  <c:v>4.5651497455403565</c:v>
                </c:pt>
                <c:pt idx="101">
                  <c:v>3.9457413167933741</c:v>
                </c:pt>
                <c:pt idx="102">
                  <c:v>4.0635708718910983</c:v>
                </c:pt>
                <c:pt idx="103">
                  <c:v>4.578426779978602</c:v>
                </c:pt>
                <c:pt idx="104">
                  <c:v>3.6734010238681569</c:v>
                </c:pt>
                <c:pt idx="105">
                  <c:v>3.8810579546108679</c:v>
                </c:pt>
                <c:pt idx="106">
                  <c:v>4.2475156271714338</c:v>
                </c:pt>
                <c:pt idx="107">
                  <c:v>3.3321859460064949</c:v>
                </c:pt>
                <c:pt idx="108">
                  <c:v>3.2094199672817441</c:v>
                </c:pt>
                <c:pt idx="109">
                  <c:v>4.2232809261791333</c:v>
                </c:pt>
                <c:pt idx="110">
                  <c:v>4.8728656605812315</c:v>
                </c:pt>
                <c:pt idx="111">
                  <c:v>4.5273021688695723</c:v>
                </c:pt>
                <c:pt idx="112">
                  <c:v>4.9203260803270501</c:v>
                </c:pt>
                <c:pt idx="113">
                  <c:v>4.899219791400272</c:v>
                </c:pt>
                <c:pt idx="114">
                  <c:v>4.8683877995147862</c:v>
                </c:pt>
                <c:pt idx="115">
                  <c:v>4.7354874678420895</c:v>
                </c:pt>
                <c:pt idx="116">
                  <c:v>4.7287030983585403</c:v>
                </c:pt>
                <c:pt idx="117">
                  <c:v>4.8839183515599283</c:v>
                </c:pt>
                <c:pt idx="118">
                  <c:v>4.8931357971450087</c:v>
                </c:pt>
                <c:pt idx="119">
                  <c:v>4.7902461984709106</c:v>
                </c:pt>
                <c:pt idx="120">
                  <c:v>6.172952653808724</c:v>
                </c:pt>
                <c:pt idx="121">
                  <c:v>4.3578514533488502</c:v>
                </c:pt>
                <c:pt idx="122">
                  <c:v>4.4178572296620366</c:v>
                </c:pt>
                <c:pt idx="123">
                  <c:v>4.3661091062273938</c:v>
                </c:pt>
                <c:pt idx="124">
                  <c:v>4.4357964991871501</c:v>
                </c:pt>
                <c:pt idx="125">
                  <c:v>4.478391880554752</c:v>
                </c:pt>
                <c:pt idx="126">
                  <c:v>4.2772131319141806</c:v>
                </c:pt>
                <c:pt idx="127">
                  <c:v>4.3373383993220154</c:v>
                </c:pt>
                <c:pt idx="128">
                  <c:v>4.1269276110162094</c:v>
                </c:pt>
                <c:pt idx="129">
                  <c:v>4.1160720070188663</c:v>
                </c:pt>
                <c:pt idx="130">
                  <c:v>3.8896417122665103</c:v>
                </c:pt>
                <c:pt idx="131">
                  <c:v>4.2167147724308434</c:v>
                </c:pt>
                <c:pt idx="132">
                  <c:v>4.3471556542090974</c:v>
                </c:pt>
                <c:pt idx="133">
                  <c:v>4.255800033672239</c:v>
                </c:pt>
                <c:pt idx="134">
                  <c:v>3.4353387901135757</c:v>
                </c:pt>
                <c:pt idx="135">
                  <c:v>3.4951643073818355</c:v>
                </c:pt>
                <c:pt idx="136">
                  <c:v>4.2386871185239778</c:v>
                </c:pt>
                <c:pt idx="137">
                  <c:v>4.4084999159115599</c:v>
                </c:pt>
                <c:pt idx="138">
                  <c:v>4.381505308301465</c:v>
                </c:pt>
                <c:pt idx="139">
                  <c:v>3.8487388750970544</c:v>
                </c:pt>
                <c:pt idx="140">
                  <c:v>3.748452307047232</c:v>
                </c:pt>
                <c:pt idx="141">
                  <c:v>3.8630912296816842</c:v>
                </c:pt>
                <c:pt idx="142">
                  <c:v>3.7872917845538883</c:v>
                </c:pt>
                <c:pt idx="143">
                  <c:v>4.2386416049589144</c:v>
                </c:pt>
                <c:pt idx="144">
                  <c:v>3.7367818076075459</c:v>
                </c:pt>
                <c:pt idx="145">
                  <c:v>3.0115841470762326</c:v>
                </c:pt>
                <c:pt idx="146">
                  <c:v>1.9435491304691879</c:v>
                </c:pt>
                <c:pt idx="147">
                  <c:v>2.9423051628004311</c:v>
                </c:pt>
                <c:pt idx="148">
                  <c:v>2.7899651363801068</c:v>
                </c:pt>
                <c:pt idx="149">
                  <c:v>2.908653088354026</c:v>
                </c:pt>
                <c:pt idx="150">
                  <c:v>3.0731881744623375</c:v>
                </c:pt>
                <c:pt idx="151">
                  <c:v>3.5388075685611873</c:v>
                </c:pt>
                <c:pt idx="152">
                  <c:v>3.4581965226589726</c:v>
                </c:pt>
                <c:pt idx="153">
                  <c:v>3.5527605256344574</c:v>
                </c:pt>
                <c:pt idx="154">
                  <c:v>3.2414150543894511</c:v>
                </c:pt>
                <c:pt idx="155">
                  <c:v>2.8405962302254486</c:v>
                </c:pt>
                <c:pt idx="156">
                  <c:v>3.3259506744861818</c:v>
                </c:pt>
                <c:pt idx="157">
                  <c:v>3.6312283312043103</c:v>
                </c:pt>
                <c:pt idx="158">
                  <c:v>3.593493047471318</c:v>
                </c:pt>
                <c:pt idx="159">
                  <c:v>3.638849915345566</c:v>
                </c:pt>
                <c:pt idx="160">
                  <c:v>3.7602266420817396</c:v>
                </c:pt>
                <c:pt idx="161">
                  <c:v>3.86639774726993</c:v>
                </c:pt>
                <c:pt idx="162">
                  <c:v>3.6921543360325795</c:v>
                </c:pt>
                <c:pt idx="163">
                  <c:v>3.7831020314090873</c:v>
                </c:pt>
                <c:pt idx="164">
                  <c:v>3.718320967597128</c:v>
                </c:pt>
                <c:pt idx="165">
                  <c:v>3.6928003671225849</c:v>
                </c:pt>
                <c:pt idx="166">
                  <c:v>3.7851164248738116</c:v>
                </c:pt>
                <c:pt idx="167">
                  <c:v>3.6834246796078913</c:v>
                </c:pt>
                <c:pt idx="168">
                  <c:v>3.6630115877009413</c:v>
                </c:pt>
                <c:pt idx="169">
                  <c:v>3.6560787032452158</c:v>
                </c:pt>
                <c:pt idx="170">
                  <c:v>3.8715170176063372</c:v>
                </c:pt>
                <c:pt idx="171">
                  <c:v>3.8273692473513026</c:v>
                </c:pt>
                <c:pt idx="172">
                  <c:v>3.6555040962237033</c:v>
                </c:pt>
                <c:pt idx="173">
                  <c:v>3.8528379352949158</c:v>
                </c:pt>
                <c:pt idx="174">
                  <c:v>3.7303530489948913</c:v>
                </c:pt>
                <c:pt idx="175">
                  <c:v>3.9068086097554162</c:v>
                </c:pt>
                <c:pt idx="176">
                  <c:v>3.067576227674508</c:v>
                </c:pt>
                <c:pt idx="177">
                  <c:v>3.922454283216084</c:v>
                </c:pt>
                <c:pt idx="178">
                  <c:v>3.2277288844170666</c:v>
                </c:pt>
                <c:pt idx="179">
                  <c:v>3.4928521247718081</c:v>
                </c:pt>
                <c:pt idx="180">
                  <c:v>3.4039696003694755</c:v>
                </c:pt>
                <c:pt idx="181">
                  <c:v>2.6196952215792164</c:v>
                </c:pt>
                <c:pt idx="182">
                  <c:v>1.8261505870396422</c:v>
                </c:pt>
                <c:pt idx="183">
                  <c:v>3.5704888249114841</c:v>
                </c:pt>
                <c:pt idx="184">
                  <c:v>3.875565830282464</c:v>
                </c:pt>
                <c:pt idx="185">
                  <c:v>3.4254672421036654</c:v>
                </c:pt>
                <c:pt idx="186">
                  <c:v>3.2332029926177746</c:v>
                </c:pt>
                <c:pt idx="187">
                  <c:v>3.5038303926847054</c:v>
                </c:pt>
                <c:pt idx="188">
                  <c:v>3.9567788756431033</c:v>
                </c:pt>
                <c:pt idx="189">
                  <c:v>3.1621023685612291</c:v>
                </c:pt>
                <c:pt idx="190">
                  <c:v>1.1494593192682558</c:v>
                </c:pt>
                <c:pt idx="191">
                  <c:v>2.5428339656720351</c:v>
                </c:pt>
                <c:pt idx="192">
                  <c:v>3.5321407017978879</c:v>
                </c:pt>
                <c:pt idx="193">
                  <c:v>2.8280786832645251</c:v>
                </c:pt>
                <c:pt idx="194">
                  <c:v>2.8001102498803765</c:v>
                </c:pt>
                <c:pt idx="195">
                  <c:v>3.6955036574732927</c:v>
                </c:pt>
                <c:pt idx="196">
                  <c:v>3.0671808255592392</c:v>
                </c:pt>
                <c:pt idx="197">
                  <c:v>3.4698979786988602</c:v>
                </c:pt>
                <c:pt idx="198">
                  <c:v>3.3791276733046733</c:v>
                </c:pt>
                <c:pt idx="199">
                  <c:v>3.5875548177475149</c:v>
                </c:pt>
                <c:pt idx="200">
                  <c:v>3.379861758433389</c:v>
                </c:pt>
                <c:pt idx="201">
                  <c:v>3.6439465797159052</c:v>
                </c:pt>
                <c:pt idx="202">
                  <c:v>3.748109736325242</c:v>
                </c:pt>
                <c:pt idx="203">
                  <c:v>3.802083806651066</c:v>
                </c:pt>
                <c:pt idx="204">
                  <c:v>3.726348058477388</c:v>
                </c:pt>
                <c:pt idx="205">
                  <c:v>4.0495824685654771</c:v>
                </c:pt>
                <c:pt idx="206">
                  <c:v>3.9256338925718892</c:v>
                </c:pt>
                <c:pt idx="207">
                  <c:v>3.7694882816440836</c:v>
                </c:pt>
                <c:pt idx="208">
                  <c:v>3.8092625238011135</c:v>
                </c:pt>
                <c:pt idx="209">
                  <c:v>4.301153108753228</c:v>
                </c:pt>
                <c:pt idx="210">
                  <c:v>3.712015110387159</c:v>
                </c:pt>
                <c:pt idx="211">
                  <c:v>1.7638306799302634</c:v>
                </c:pt>
                <c:pt idx="212">
                  <c:v>3.819934233440248</c:v>
                </c:pt>
                <c:pt idx="213">
                  <c:v>4.3801434326748048</c:v>
                </c:pt>
                <c:pt idx="214">
                  <c:v>4.7536823222990163</c:v>
                </c:pt>
                <c:pt idx="215">
                  <c:v>4.7011627450141678</c:v>
                </c:pt>
                <c:pt idx="216">
                  <c:v>4.6927303638096145</c:v>
                </c:pt>
                <c:pt idx="217">
                  <c:v>4.6573458398639662</c:v>
                </c:pt>
                <c:pt idx="218">
                  <c:v>4.9908809924222979</c:v>
                </c:pt>
                <c:pt idx="219">
                  <c:v>4.6508471245026</c:v>
                </c:pt>
                <c:pt idx="220">
                  <c:v>5.0467814229012591</c:v>
                </c:pt>
                <c:pt idx="221">
                  <c:v>3.2646573631437801</c:v>
                </c:pt>
                <c:pt idx="222">
                  <c:v>2.6099275613434849</c:v>
                </c:pt>
                <c:pt idx="223">
                  <c:v>3.6426219506575435</c:v>
                </c:pt>
                <c:pt idx="224">
                  <c:v>3.4516535109226649</c:v>
                </c:pt>
                <c:pt idx="225">
                  <c:v>3.2061415472680141</c:v>
                </c:pt>
                <c:pt idx="226">
                  <c:v>4.4100482123131837</c:v>
                </c:pt>
                <c:pt idx="227">
                  <c:v>5.0021614329964343</c:v>
                </c:pt>
                <c:pt idx="228">
                  <c:v>5.0622046784902013</c:v>
                </c:pt>
                <c:pt idx="229">
                  <c:v>5.1528853399451906</c:v>
                </c:pt>
                <c:pt idx="230">
                  <c:v>5.2634658678495825</c:v>
                </c:pt>
                <c:pt idx="231">
                  <c:v>5.2914776572063404</c:v>
                </c:pt>
                <c:pt idx="232">
                  <c:v>5.2467468111937219</c:v>
                </c:pt>
                <c:pt idx="233">
                  <c:v>4.8943703527556108</c:v>
                </c:pt>
                <c:pt idx="234">
                  <c:v>5.3453218624295298</c:v>
                </c:pt>
                <c:pt idx="235">
                  <c:v>5.41076705608572</c:v>
                </c:pt>
                <c:pt idx="236">
                  <c:v>3.5578038910503018</c:v>
                </c:pt>
                <c:pt idx="237">
                  <c:v>1.8967355928697163</c:v>
                </c:pt>
                <c:pt idx="238">
                  <c:v>3.0340887808304746</c:v>
                </c:pt>
                <c:pt idx="239">
                  <c:v>4.1995378164360284</c:v>
                </c:pt>
                <c:pt idx="240">
                  <c:v>4.4090364261827011</c:v>
                </c:pt>
                <c:pt idx="241">
                  <c:v>4.8738149236461838</c:v>
                </c:pt>
                <c:pt idx="242">
                  <c:v>4.8920268219822747</c:v>
                </c:pt>
                <c:pt idx="243">
                  <c:v>5.0902843606126655</c:v>
                </c:pt>
                <c:pt idx="244">
                  <c:v>6.5187596592851218</c:v>
                </c:pt>
                <c:pt idx="245">
                  <c:v>6.0160612847660984</c:v>
                </c:pt>
                <c:pt idx="246">
                  <c:v>6.1663904404924139</c:v>
                </c:pt>
                <c:pt idx="247">
                  <c:v>6.6111931328304081</c:v>
                </c:pt>
                <c:pt idx="248">
                  <c:v>5.5319583806328723</c:v>
                </c:pt>
                <c:pt idx="249">
                  <c:v>4.7943499322852201</c:v>
                </c:pt>
                <c:pt idx="250">
                  <c:v>6.4991114127345204</c:v>
                </c:pt>
                <c:pt idx="251">
                  <c:v>6.4091674595240855</c:v>
                </c:pt>
                <c:pt idx="252">
                  <c:v>6.2528454251321346</c:v>
                </c:pt>
                <c:pt idx="253">
                  <c:v>6.3630656714827607</c:v>
                </c:pt>
                <c:pt idx="254">
                  <c:v>6.5218005662124696</c:v>
                </c:pt>
                <c:pt idx="255">
                  <c:v>6.4847342929331369</c:v>
                </c:pt>
                <c:pt idx="256">
                  <c:v>6.4007951621909962</c:v>
                </c:pt>
                <c:pt idx="257">
                  <c:v>5.5341899378575077</c:v>
                </c:pt>
                <c:pt idx="258">
                  <c:v>4.773682111004689</c:v>
                </c:pt>
                <c:pt idx="259">
                  <c:v>2.0761741730450094</c:v>
                </c:pt>
                <c:pt idx="260">
                  <c:v>4.2237127001569545</c:v>
                </c:pt>
                <c:pt idx="261">
                  <c:v>4.5498315600270738</c:v>
                </c:pt>
                <c:pt idx="262">
                  <c:v>5.8182345851063886</c:v>
                </c:pt>
                <c:pt idx="263">
                  <c:v>6.4282659528570028</c:v>
                </c:pt>
                <c:pt idx="264">
                  <c:v>4.6796653266811292</c:v>
                </c:pt>
                <c:pt idx="265">
                  <c:v>6.126593471418242</c:v>
                </c:pt>
                <c:pt idx="266">
                  <c:v>6.3565148496889057</c:v>
                </c:pt>
                <c:pt idx="267">
                  <c:v>6.8002959082407388</c:v>
                </c:pt>
                <c:pt idx="268">
                  <c:v>6.9723540298493045</c:v>
                </c:pt>
                <c:pt idx="269">
                  <c:v>7.0114609837757502</c:v>
                </c:pt>
                <c:pt idx="270">
                  <c:v>4.9588480514990021</c:v>
                </c:pt>
                <c:pt idx="271">
                  <c:v>5.0554588643380489</c:v>
                </c:pt>
                <c:pt idx="272">
                  <c:v>6.0729200324906438</c:v>
                </c:pt>
                <c:pt idx="273">
                  <c:v>6.2808793092878776</c:v>
                </c:pt>
                <c:pt idx="274">
                  <c:v>7.5744295286864745</c:v>
                </c:pt>
                <c:pt idx="275">
                  <c:v>7.3583618976906351</c:v>
                </c:pt>
                <c:pt idx="276">
                  <c:v>5.4491726314957099</c:v>
                </c:pt>
                <c:pt idx="277">
                  <c:v>4.5103971428118497</c:v>
                </c:pt>
                <c:pt idx="278">
                  <c:v>5.8651224433387936</c:v>
                </c:pt>
                <c:pt idx="279">
                  <c:v>6.8928142654554305</c:v>
                </c:pt>
                <c:pt idx="280">
                  <c:v>6.9738095640193869</c:v>
                </c:pt>
                <c:pt idx="281">
                  <c:v>7.6057897632613756</c:v>
                </c:pt>
                <c:pt idx="282">
                  <c:v>5.5926085417666984</c:v>
                </c:pt>
                <c:pt idx="283">
                  <c:v>5.1084778029243623</c:v>
                </c:pt>
                <c:pt idx="284">
                  <c:v>5.2579586359753332</c:v>
                </c:pt>
                <c:pt idx="285">
                  <c:v>5.244010580348454</c:v>
                </c:pt>
                <c:pt idx="286">
                  <c:v>6.0735553525315185</c:v>
                </c:pt>
                <c:pt idx="287">
                  <c:v>6.003887398278331</c:v>
                </c:pt>
                <c:pt idx="288">
                  <c:v>6.7249007429064269</c:v>
                </c:pt>
                <c:pt idx="289">
                  <c:v>6.4638685161035996</c:v>
                </c:pt>
                <c:pt idx="290">
                  <c:v>6.412585766859527</c:v>
                </c:pt>
                <c:pt idx="291">
                  <c:v>6.0756658859880144</c:v>
                </c:pt>
                <c:pt idx="292">
                  <c:v>4.1209566508766589</c:v>
                </c:pt>
                <c:pt idx="293">
                  <c:v>3.9898923767467362</c:v>
                </c:pt>
                <c:pt idx="294">
                  <c:v>5.451653781960033</c:v>
                </c:pt>
                <c:pt idx="295">
                  <c:v>5.7007489437805061</c:v>
                </c:pt>
                <c:pt idx="296">
                  <c:v>4.865111083917764</c:v>
                </c:pt>
                <c:pt idx="297">
                  <c:v>5.8887304094826458</c:v>
                </c:pt>
                <c:pt idx="298">
                  <c:v>4.9870776388646947</c:v>
                </c:pt>
                <c:pt idx="299">
                  <c:v>5.5712819753209164</c:v>
                </c:pt>
                <c:pt idx="300">
                  <c:v>3.6870941212769743</c:v>
                </c:pt>
                <c:pt idx="301">
                  <c:v>4.7966415666669073</c:v>
                </c:pt>
                <c:pt idx="302">
                  <c:v>5.6286801239354789</c:v>
                </c:pt>
                <c:pt idx="303">
                  <c:v>5.8810531793618743</c:v>
                </c:pt>
                <c:pt idx="304">
                  <c:v>5.6510851044975823</c:v>
                </c:pt>
                <c:pt idx="305">
                  <c:v>6.081651250291257</c:v>
                </c:pt>
                <c:pt idx="306">
                  <c:v>4.8308975509029732</c:v>
                </c:pt>
                <c:pt idx="307">
                  <c:v>3.8585451273864768</c:v>
                </c:pt>
                <c:pt idx="308">
                  <c:v>3.3719490123210312</c:v>
                </c:pt>
                <c:pt idx="309">
                  <c:v>5.3661898048290384</c:v>
                </c:pt>
                <c:pt idx="310">
                  <c:v>4.9666347180406891</c:v>
                </c:pt>
                <c:pt idx="311">
                  <c:v>3.3569564217813372</c:v>
                </c:pt>
                <c:pt idx="312">
                  <c:v>3.7065018944909744</c:v>
                </c:pt>
                <c:pt idx="313">
                  <c:v>4.7692612531379384</c:v>
                </c:pt>
                <c:pt idx="314">
                  <c:v>5.6671423728639256</c:v>
                </c:pt>
                <c:pt idx="315">
                  <c:v>6.7213925808875254</c:v>
                </c:pt>
                <c:pt idx="316">
                  <c:v>7.1379913366983256</c:v>
                </c:pt>
                <c:pt idx="317">
                  <c:v>4.4083636414914444</c:v>
                </c:pt>
                <c:pt idx="318">
                  <c:v>5.792819952608447</c:v>
                </c:pt>
                <c:pt idx="319">
                  <c:v>5.9846489206059967</c:v>
                </c:pt>
                <c:pt idx="320">
                  <c:v>4.9134717406304569</c:v>
                </c:pt>
                <c:pt idx="321">
                  <c:v>5.5995736033291941</c:v>
                </c:pt>
                <c:pt idx="322">
                  <c:v>6.46079089137287</c:v>
                </c:pt>
                <c:pt idx="323">
                  <c:v>6.5699394021643513</c:v>
                </c:pt>
                <c:pt idx="324">
                  <c:v>6.73250531550286</c:v>
                </c:pt>
                <c:pt idx="325">
                  <c:v>4.8654499207667454</c:v>
                </c:pt>
                <c:pt idx="326">
                  <c:v>3.5142740271610986</c:v>
                </c:pt>
                <c:pt idx="327">
                  <c:v>5.4670011555163613</c:v>
                </c:pt>
                <c:pt idx="328">
                  <c:v>5.4580938079440671</c:v>
                </c:pt>
                <c:pt idx="329">
                  <c:v>6.6783835986907958</c:v>
                </c:pt>
                <c:pt idx="330">
                  <c:v>6.7022665782018231</c:v>
                </c:pt>
                <c:pt idx="331">
                  <c:v>6.8420476658870788</c:v>
                </c:pt>
                <c:pt idx="332">
                  <c:v>6.4412047949850919</c:v>
                </c:pt>
                <c:pt idx="333">
                  <c:v>4.8868860980812023</c:v>
                </c:pt>
                <c:pt idx="334">
                  <c:v>5.6232193720781236</c:v>
                </c:pt>
                <c:pt idx="335">
                  <c:v>7.1111230686352496</c:v>
                </c:pt>
                <c:pt idx="336">
                  <c:v>5.4674857447269387</c:v>
                </c:pt>
                <c:pt idx="337">
                  <c:v>3.4083749861940791</c:v>
                </c:pt>
                <c:pt idx="338">
                  <c:v>3.8855593750326083</c:v>
                </c:pt>
                <c:pt idx="339">
                  <c:v>5.8856033077000998</c:v>
                </c:pt>
                <c:pt idx="340">
                  <c:v>6.5501592140941982</c:v>
                </c:pt>
                <c:pt idx="341">
                  <c:v>6.5978461667581838</c:v>
                </c:pt>
                <c:pt idx="342">
                  <c:v>4.9575007371939845</c:v>
                </c:pt>
                <c:pt idx="343">
                  <c:v>5.1912354405315666</c:v>
                </c:pt>
                <c:pt idx="344">
                  <c:v>5.7923584033743554</c:v>
                </c:pt>
                <c:pt idx="345">
                  <c:v>5.7968358068020693</c:v>
                </c:pt>
                <c:pt idx="346">
                  <c:v>6.2796401789536</c:v>
                </c:pt>
                <c:pt idx="347">
                  <c:v>6.172033022617037</c:v>
                </c:pt>
                <c:pt idx="348">
                  <c:v>3.8094827950296262</c:v>
                </c:pt>
                <c:pt idx="349">
                  <c:v>5.7365927773995535</c:v>
                </c:pt>
                <c:pt idx="350">
                  <c:v>5.6808499791787979</c:v>
                </c:pt>
                <c:pt idx="351">
                  <c:v>6.8104674513062946</c:v>
                </c:pt>
                <c:pt idx="352">
                  <c:v>6.686609682261766</c:v>
                </c:pt>
                <c:pt idx="353">
                  <c:v>6.7236248351823296</c:v>
                </c:pt>
                <c:pt idx="354">
                  <c:v>6.1238307653070834</c:v>
                </c:pt>
                <c:pt idx="355">
                  <c:v>5.1105859353248029</c:v>
                </c:pt>
                <c:pt idx="356">
                  <c:v>5.0372796887037197</c:v>
                </c:pt>
                <c:pt idx="357">
                  <c:v>5.2667757836272902</c:v>
                </c:pt>
                <c:pt idx="358">
                  <c:v>6.1454573746710999</c:v>
                </c:pt>
                <c:pt idx="359">
                  <c:v>6.2144183198370548</c:v>
                </c:pt>
                <c:pt idx="360">
                  <c:v>4.5459544774606764</c:v>
                </c:pt>
                <c:pt idx="361">
                  <c:v>4.6771984743806696</c:v>
                </c:pt>
                <c:pt idx="362">
                  <c:v>6.2036641230021319</c:v>
                </c:pt>
                <c:pt idx="363">
                  <c:v>5.9215158119993543</c:v>
                </c:pt>
                <c:pt idx="364">
                  <c:v>6.0704750602972268</c:v>
                </c:pt>
                <c:pt idx="365">
                  <c:v>6.375954353688714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A7-4B31-97D6-CAB28F27333E}"/>
            </c:ext>
          </c:extLst>
        </c:ser>
        <c:ser>
          <c:idx val="5"/>
          <c:order val="5"/>
          <c:tx>
            <c:strRef>
              <c:f>Piracicaba!$S$5</c:f>
              <c:strCache>
                <c:ptCount val="1"/>
                <c:pt idx="0">
                  <c:v>Priestley-Taylor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Piracicaba!$S$6:$S$371</c:f>
              <c:numCache>
                <c:formatCode>0.00</c:formatCode>
                <c:ptCount val="366"/>
                <c:pt idx="0">
                  <c:v>8.3388516428571418</c:v>
                </c:pt>
                <c:pt idx="1">
                  <c:v>7.7769055799999984</c:v>
                </c:pt>
                <c:pt idx="2">
                  <c:v>8.339178985714284</c:v>
                </c:pt>
                <c:pt idx="3">
                  <c:v>8.4719839371428556</c:v>
                </c:pt>
                <c:pt idx="4">
                  <c:v>9.6686575714285699</c:v>
                </c:pt>
                <c:pt idx="5">
                  <c:v>11.216377105714283</c:v>
                </c:pt>
                <c:pt idx="6">
                  <c:v>10.557852685714286</c:v>
                </c:pt>
                <c:pt idx="7">
                  <c:v>8.0523680142857152</c:v>
                </c:pt>
                <c:pt idx="8">
                  <c:v>10.540095557142855</c:v>
                </c:pt>
                <c:pt idx="9">
                  <c:v>9.353114691428571</c:v>
                </c:pt>
                <c:pt idx="10">
                  <c:v>7.7015830114285695</c:v>
                </c:pt>
                <c:pt idx="11">
                  <c:v>4.6141389257142853</c:v>
                </c:pt>
                <c:pt idx="12">
                  <c:v>6.7634897142857131</c:v>
                </c:pt>
                <c:pt idx="13">
                  <c:v>10.078764428571427</c:v>
                </c:pt>
                <c:pt idx="14">
                  <c:v>9.9877152342857123</c:v>
                </c:pt>
                <c:pt idx="15">
                  <c:v>9.2004644571428553</c:v>
                </c:pt>
                <c:pt idx="16">
                  <c:v>8.6334582599999976</c:v>
                </c:pt>
                <c:pt idx="17">
                  <c:v>10.393673142857141</c:v>
                </c:pt>
                <c:pt idx="18">
                  <c:v>8.2274412342857133</c:v>
                </c:pt>
                <c:pt idx="19">
                  <c:v>6.7708798457142851</c:v>
                </c:pt>
                <c:pt idx="20">
                  <c:v>9.2362352142857134</c:v>
                </c:pt>
                <c:pt idx="21">
                  <c:v>7.6888987199999983</c:v>
                </c:pt>
                <c:pt idx="22">
                  <c:v>1.523064363428571</c:v>
                </c:pt>
                <c:pt idx="23">
                  <c:v>7.248638699999999</c:v>
                </c:pt>
                <c:pt idx="24">
                  <c:v>5.5277054485714281</c:v>
                </c:pt>
                <c:pt idx="25">
                  <c:v>7.313008474285712</c:v>
                </c:pt>
                <c:pt idx="26">
                  <c:v>8.5553933399999984</c:v>
                </c:pt>
                <c:pt idx="27">
                  <c:v>6.7462577999999978</c:v>
                </c:pt>
                <c:pt idx="28">
                  <c:v>6.016635</c:v>
                </c:pt>
                <c:pt idx="29">
                  <c:v>9.6805239942857124</c:v>
                </c:pt>
                <c:pt idx="30">
                  <c:v>6.3888013542857136</c:v>
                </c:pt>
                <c:pt idx="31">
                  <c:v>7.5231791999999986</c:v>
                </c:pt>
                <c:pt idx="32">
                  <c:v>6.7443254999999986</c:v>
                </c:pt>
                <c:pt idx="33">
                  <c:v>3.4447124314285711</c:v>
                </c:pt>
                <c:pt idx="34">
                  <c:v>4.2732694799999997</c:v>
                </c:pt>
                <c:pt idx="35">
                  <c:v>8.875851737142856</c:v>
                </c:pt>
                <c:pt idx="36">
                  <c:v>9.4129656685714274</c:v>
                </c:pt>
                <c:pt idx="37">
                  <c:v>6.8590151999999991</c:v>
                </c:pt>
                <c:pt idx="38">
                  <c:v>10.567451159999997</c:v>
                </c:pt>
                <c:pt idx="39">
                  <c:v>9.7720715314285691</c:v>
                </c:pt>
                <c:pt idx="40">
                  <c:v>10.149061062857143</c:v>
                </c:pt>
                <c:pt idx="41">
                  <c:v>10.344069462857142</c:v>
                </c:pt>
                <c:pt idx="42">
                  <c:v>8.8739853942857128</c:v>
                </c:pt>
                <c:pt idx="43">
                  <c:v>9.6886376999999975</c:v>
                </c:pt>
                <c:pt idx="44">
                  <c:v>4.8192685714285712</c:v>
                </c:pt>
                <c:pt idx="45">
                  <c:v>2.5676805959999998</c:v>
                </c:pt>
                <c:pt idx="46">
                  <c:v>6.2117352514285704</c:v>
                </c:pt>
                <c:pt idx="47">
                  <c:v>7.1413005342857137</c:v>
                </c:pt>
                <c:pt idx="48">
                  <c:v>8.6493822685714274</c:v>
                </c:pt>
                <c:pt idx="49">
                  <c:v>9.0917113885714276</c:v>
                </c:pt>
                <c:pt idx="50">
                  <c:v>5.6852418857142846</c:v>
                </c:pt>
                <c:pt idx="51">
                  <c:v>6.2888479457142843</c:v>
                </c:pt>
                <c:pt idx="52">
                  <c:v>7.6517277171428555</c:v>
                </c:pt>
                <c:pt idx="53">
                  <c:v>6.3958846628571422</c:v>
                </c:pt>
                <c:pt idx="54">
                  <c:v>3.0299831999999998</c:v>
                </c:pt>
                <c:pt idx="55">
                  <c:v>9.4023578057142849</c:v>
                </c:pt>
                <c:pt idx="56">
                  <c:v>7.6072647857142863</c:v>
                </c:pt>
                <c:pt idx="57">
                  <c:v>7.8628877999999984</c:v>
                </c:pt>
                <c:pt idx="58">
                  <c:v>8.3900768914285688</c:v>
                </c:pt>
                <c:pt idx="59">
                  <c:v>7.8492234342857135</c:v>
                </c:pt>
                <c:pt idx="60">
                  <c:v>7.5745534628571427</c:v>
                </c:pt>
                <c:pt idx="61">
                  <c:v>9.6342220799999989</c:v>
                </c:pt>
                <c:pt idx="62">
                  <c:v>9.7236409114285696</c:v>
                </c:pt>
                <c:pt idx="63">
                  <c:v>9.1033472057142859</c:v>
                </c:pt>
                <c:pt idx="64">
                  <c:v>8.5877567999999993</c:v>
                </c:pt>
                <c:pt idx="65">
                  <c:v>6.7549494857142847</c:v>
                </c:pt>
                <c:pt idx="66">
                  <c:v>7.3350616114285705</c:v>
                </c:pt>
                <c:pt idx="67">
                  <c:v>6.7836921428571406</c:v>
                </c:pt>
                <c:pt idx="68">
                  <c:v>4.6421711999999991</c:v>
                </c:pt>
                <c:pt idx="69">
                  <c:v>5.5303588799999996</c:v>
                </c:pt>
                <c:pt idx="70">
                  <c:v>9.2886530657142838</c:v>
                </c:pt>
                <c:pt idx="71">
                  <c:v>9.0851342399999986</c:v>
                </c:pt>
                <c:pt idx="72">
                  <c:v>9.4005271285714294</c:v>
                </c:pt>
                <c:pt idx="73">
                  <c:v>8.7340961571428561</c:v>
                </c:pt>
                <c:pt idx="74">
                  <c:v>9.1368548999999994</c:v>
                </c:pt>
                <c:pt idx="75">
                  <c:v>8.6198994257142836</c:v>
                </c:pt>
                <c:pt idx="76">
                  <c:v>7.2675683999999983</c:v>
                </c:pt>
                <c:pt idx="77">
                  <c:v>7.4387638285714273</c:v>
                </c:pt>
                <c:pt idx="78">
                  <c:v>7.9307357142857144</c:v>
                </c:pt>
                <c:pt idx="79">
                  <c:v>5.7421526399999996</c:v>
                </c:pt>
                <c:pt idx="80">
                  <c:v>7.8350284800000001</c:v>
                </c:pt>
                <c:pt idx="81">
                  <c:v>2.501833577142857</c:v>
                </c:pt>
                <c:pt idx="82">
                  <c:v>2.0193906419999998</c:v>
                </c:pt>
                <c:pt idx="83">
                  <c:v>2.1409825371428575</c:v>
                </c:pt>
                <c:pt idx="84">
                  <c:v>7.9824382971428562</c:v>
                </c:pt>
                <c:pt idx="85">
                  <c:v>3.5998748999999997</c:v>
                </c:pt>
                <c:pt idx="86">
                  <c:v>2.5738016142857134</c:v>
                </c:pt>
                <c:pt idx="87">
                  <c:v>2.8608192514285711</c:v>
                </c:pt>
                <c:pt idx="88">
                  <c:v>4.1111761371428566</c:v>
                </c:pt>
                <c:pt idx="89">
                  <c:v>7.325054691428571</c:v>
                </c:pt>
                <c:pt idx="90">
                  <c:v>7.5912743314285711</c:v>
                </c:pt>
                <c:pt idx="91">
                  <c:v>7.3340531999999996</c:v>
                </c:pt>
                <c:pt idx="92">
                  <c:v>5.7494401714285708</c:v>
                </c:pt>
                <c:pt idx="93">
                  <c:v>7.1133571800000004</c:v>
                </c:pt>
                <c:pt idx="94">
                  <c:v>7.7444649257142864</c:v>
                </c:pt>
                <c:pt idx="95">
                  <c:v>7.078672028571428</c:v>
                </c:pt>
                <c:pt idx="96">
                  <c:v>7.1054638199999989</c:v>
                </c:pt>
                <c:pt idx="97">
                  <c:v>7.2568686857142843</c:v>
                </c:pt>
                <c:pt idx="98">
                  <c:v>2.2366230814285708</c:v>
                </c:pt>
                <c:pt idx="99">
                  <c:v>5.8064486399999984</c:v>
                </c:pt>
                <c:pt idx="100">
                  <c:v>7.0823001600000008</c:v>
                </c:pt>
                <c:pt idx="101">
                  <c:v>5.0511758399999982</c:v>
                </c:pt>
                <c:pt idx="102">
                  <c:v>5.6079572142857135</c:v>
                </c:pt>
                <c:pt idx="103">
                  <c:v>6.7056853628571425</c:v>
                </c:pt>
                <c:pt idx="104">
                  <c:v>3.1682381657142851</c:v>
                </c:pt>
                <c:pt idx="105">
                  <c:v>4.9392050399999992</c:v>
                </c:pt>
                <c:pt idx="106">
                  <c:v>6.0789864857142861</c:v>
                </c:pt>
                <c:pt idx="107">
                  <c:v>3.4674695999999998</c:v>
                </c:pt>
                <c:pt idx="108">
                  <c:v>3.6893386799999992</c:v>
                </c:pt>
                <c:pt idx="109">
                  <c:v>6.3631914171428567</c:v>
                </c:pt>
                <c:pt idx="110">
                  <c:v>6.8886231171428554</c:v>
                </c:pt>
                <c:pt idx="111">
                  <c:v>6.642397285714285</c:v>
                </c:pt>
                <c:pt idx="112">
                  <c:v>6.4794254914285689</c:v>
                </c:pt>
                <c:pt idx="113">
                  <c:v>6.5004369942857148</c:v>
                </c:pt>
                <c:pt idx="114">
                  <c:v>6.0154379999999996</c:v>
                </c:pt>
                <c:pt idx="115">
                  <c:v>6.3384692142857144</c:v>
                </c:pt>
                <c:pt idx="116">
                  <c:v>6.4741660199999984</c:v>
                </c:pt>
                <c:pt idx="117">
                  <c:v>6.5820196285714276</c:v>
                </c:pt>
                <c:pt idx="118">
                  <c:v>6.1224595714285694</c:v>
                </c:pt>
                <c:pt idx="119">
                  <c:v>6.237786857142857</c:v>
                </c:pt>
                <c:pt idx="120">
                  <c:v>7.1940335142857137</c:v>
                </c:pt>
                <c:pt idx="121">
                  <c:v>6.3659767628571418</c:v>
                </c:pt>
                <c:pt idx="122">
                  <c:v>6.41244528</c:v>
                </c:pt>
                <c:pt idx="123">
                  <c:v>5.8242282428571412</c:v>
                </c:pt>
                <c:pt idx="124">
                  <c:v>6.26715</c:v>
                </c:pt>
                <c:pt idx="125">
                  <c:v>6.1143854399999977</c:v>
                </c:pt>
                <c:pt idx="126">
                  <c:v>6.1371626399999988</c:v>
                </c:pt>
                <c:pt idx="127">
                  <c:v>5.8324435714285707</c:v>
                </c:pt>
                <c:pt idx="128">
                  <c:v>6.2287824857142846</c:v>
                </c:pt>
                <c:pt idx="129">
                  <c:v>4.9961548799999989</c:v>
                </c:pt>
                <c:pt idx="130">
                  <c:v>5.8142833714285711</c:v>
                </c:pt>
                <c:pt idx="131">
                  <c:v>5.5685441571428571</c:v>
                </c:pt>
                <c:pt idx="132">
                  <c:v>5.7252749400000003</c:v>
                </c:pt>
                <c:pt idx="133">
                  <c:v>5.9819830714285711</c:v>
                </c:pt>
                <c:pt idx="134">
                  <c:v>3.5552131199999994</c:v>
                </c:pt>
                <c:pt idx="135">
                  <c:v>4.3851709028571433</c:v>
                </c:pt>
                <c:pt idx="136">
                  <c:v>5.1207659999999979</c:v>
                </c:pt>
                <c:pt idx="137">
                  <c:v>5.6135816485714276</c:v>
                </c:pt>
                <c:pt idx="138">
                  <c:v>5.4754273285714277</c:v>
                </c:pt>
                <c:pt idx="139">
                  <c:v>5.0867242971428572</c:v>
                </c:pt>
                <c:pt idx="140">
                  <c:v>5.2325281799999992</c:v>
                </c:pt>
                <c:pt idx="141">
                  <c:v>5.127013851428571</c:v>
                </c:pt>
                <c:pt idx="142">
                  <c:v>5.412781722857142</c:v>
                </c:pt>
                <c:pt idx="143">
                  <c:v>5.5302425999999993</c:v>
                </c:pt>
                <c:pt idx="144">
                  <c:v>2.5691922359999997</c:v>
                </c:pt>
                <c:pt idx="145">
                  <c:v>2.4899700857142859</c:v>
                </c:pt>
                <c:pt idx="146">
                  <c:v>1.2568075919999999</c:v>
                </c:pt>
                <c:pt idx="147">
                  <c:v>2.6507589428571423</c:v>
                </c:pt>
                <c:pt idx="148">
                  <c:v>3.1862063571428565</c:v>
                </c:pt>
                <c:pt idx="149">
                  <c:v>5.0871688971428553</c:v>
                </c:pt>
                <c:pt idx="150">
                  <c:v>4.7577281142857135</c:v>
                </c:pt>
                <c:pt idx="151">
                  <c:v>5.0319231942857146</c:v>
                </c:pt>
                <c:pt idx="152">
                  <c:v>5.0348008799999988</c:v>
                </c:pt>
                <c:pt idx="153">
                  <c:v>4.9405593599999991</c:v>
                </c:pt>
                <c:pt idx="154">
                  <c:v>3.7644247799999988</c:v>
                </c:pt>
                <c:pt idx="155">
                  <c:v>4.6484933142857132</c:v>
                </c:pt>
                <c:pt idx="156">
                  <c:v>4.8915136285714285</c:v>
                </c:pt>
                <c:pt idx="157">
                  <c:v>4.9473793285714276</c:v>
                </c:pt>
                <c:pt idx="158">
                  <c:v>4.6055781771428563</c:v>
                </c:pt>
                <c:pt idx="159">
                  <c:v>4.8244415657142845</c:v>
                </c:pt>
                <c:pt idx="160">
                  <c:v>5.0551874999999997</c:v>
                </c:pt>
                <c:pt idx="161">
                  <c:v>5.0663660142857134</c:v>
                </c:pt>
                <c:pt idx="162">
                  <c:v>4.9318793999999988</c:v>
                </c:pt>
                <c:pt idx="163">
                  <c:v>5.0246425028571426</c:v>
                </c:pt>
                <c:pt idx="164">
                  <c:v>5.0167838314285707</c:v>
                </c:pt>
                <c:pt idx="165">
                  <c:v>5.0772464999999993</c:v>
                </c:pt>
                <c:pt idx="166">
                  <c:v>4.8289716</c:v>
                </c:pt>
                <c:pt idx="167">
                  <c:v>4.9537542085714277</c:v>
                </c:pt>
                <c:pt idx="168">
                  <c:v>5.0994144514285704</c:v>
                </c:pt>
                <c:pt idx="169">
                  <c:v>4.9651227771428559</c:v>
                </c:pt>
                <c:pt idx="170">
                  <c:v>4.9351533171428565</c:v>
                </c:pt>
                <c:pt idx="171">
                  <c:v>4.8258916457142851</c:v>
                </c:pt>
                <c:pt idx="172">
                  <c:v>4.7032768285714281</c:v>
                </c:pt>
                <c:pt idx="173">
                  <c:v>4.6325600228571417</c:v>
                </c:pt>
                <c:pt idx="174">
                  <c:v>3.9740155714285712</c:v>
                </c:pt>
                <c:pt idx="175">
                  <c:v>4.9014511714285716</c:v>
                </c:pt>
                <c:pt idx="176">
                  <c:v>4.1098139999999992</c:v>
                </c:pt>
                <c:pt idx="177">
                  <c:v>4.1670374399999996</c:v>
                </c:pt>
                <c:pt idx="178">
                  <c:v>4.112207999999999</c:v>
                </c:pt>
                <c:pt idx="179">
                  <c:v>3.3512873142857145</c:v>
                </c:pt>
                <c:pt idx="180">
                  <c:v>4.6181491199999991</c:v>
                </c:pt>
                <c:pt idx="181">
                  <c:v>2.5801027200000002</c:v>
                </c:pt>
                <c:pt idx="182">
                  <c:v>1.2756826697142853</c:v>
                </c:pt>
                <c:pt idx="183">
                  <c:v>3.9148349142857137</c:v>
                </c:pt>
                <c:pt idx="184">
                  <c:v>4.6714600799999992</c:v>
                </c:pt>
                <c:pt idx="185">
                  <c:v>3.0040327285714277</c:v>
                </c:pt>
                <c:pt idx="186">
                  <c:v>2.4136131137142853</c:v>
                </c:pt>
                <c:pt idx="187">
                  <c:v>4.6996574914285718</c:v>
                </c:pt>
                <c:pt idx="188">
                  <c:v>4.2392209371428571</c:v>
                </c:pt>
                <c:pt idx="189">
                  <c:v>3.233597297142857</c:v>
                </c:pt>
                <c:pt idx="190">
                  <c:v>0.46738330714285697</c:v>
                </c:pt>
                <c:pt idx="191">
                  <c:v>3.0107183399999995</c:v>
                </c:pt>
                <c:pt idx="192">
                  <c:v>3.9659590285714277</c:v>
                </c:pt>
                <c:pt idx="193">
                  <c:v>3.2829537599999985</c:v>
                </c:pt>
                <c:pt idx="194">
                  <c:v>3.8703167742857127</c:v>
                </c:pt>
                <c:pt idx="195">
                  <c:v>4.723340502857142</c:v>
                </c:pt>
                <c:pt idx="196">
                  <c:v>4.6943291314285718</c:v>
                </c:pt>
                <c:pt idx="197">
                  <c:v>4.8265971428571426</c:v>
                </c:pt>
                <c:pt idx="198">
                  <c:v>4.9707647999999987</c:v>
                </c:pt>
                <c:pt idx="199">
                  <c:v>5.1928595999999994</c:v>
                </c:pt>
                <c:pt idx="200">
                  <c:v>5.2565399999999984</c:v>
                </c:pt>
                <c:pt idx="201">
                  <c:v>5.1844805999999997</c:v>
                </c:pt>
                <c:pt idx="202">
                  <c:v>5.127402754285713</c:v>
                </c:pt>
                <c:pt idx="203">
                  <c:v>5.25592098</c:v>
                </c:pt>
                <c:pt idx="204">
                  <c:v>5.3593256571428558</c:v>
                </c:pt>
                <c:pt idx="205">
                  <c:v>5.2688319685714271</c:v>
                </c:pt>
                <c:pt idx="206">
                  <c:v>5.3073201599999988</c:v>
                </c:pt>
                <c:pt idx="207">
                  <c:v>4.5352600457142849</c:v>
                </c:pt>
                <c:pt idx="208">
                  <c:v>4.3593640714285709</c:v>
                </c:pt>
                <c:pt idx="209">
                  <c:v>5.3670616971428569</c:v>
                </c:pt>
                <c:pt idx="210">
                  <c:v>5.1660712285714281</c:v>
                </c:pt>
                <c:pt idx="211">
                  <c:v>1.5343753782857141</c:v>
                </c:pt>
                <c:pt idx="212">
                  <c:v>5.4759476571428554</c:v>
                </c:pt>
                <c:pt idx="213">
                  <c:v>5.4828545914285707</c:v>
                </c:pt>
                <c:pt idx="214">
                  <c:v>5.4685311428571426</c:v>
                </c:pt>
                <c:pt idx="215">
                  <c:v>6.0020999999999987</c:v>
                </c:pt>
                <c:pt idx="216">
                  <c:v>5.5868494628571428</c:v>
                </c:pt>
                <c:pt idx="217">
                  <c:v>5.9268551142857131</c:v>
                </c:pt>
                <c:pt idx="218">
                  <c:v>5.5391072399999999</c:v>
                </c:pt>
                <c:pt idx="219">
                  <c:v>6.0783171428571423</c:v>
                </c:pt>
                <c:pt idx="220">
                  <c:v>5.6926075885714287</c:v>
                </c:pt>
                <c:pt idx="221">
                  <c:v>0.41195307085714272</c:v>
                </c:pt>
                <c:pt idx="222">
                  <c:v>3.0587991428571426</c:v>
                </c:pt>
                <c:pt idx="223">
                  <c:v>5.4330334971428558</c:v>
                </c:pt>
                <c:pt idx="224">
                  <c:v>5.6049593399999997</c:v>
                </c:pt>
                <c:pt idx="225">
                  <c:v>5.6407427999999982</c:v>
                </c:pt>
                <c:pt idx="226">
                  <c:v>5.5458035999999993</c:v>
                </c:pt>
                <c:pt idx="227">
                  <c:v>6.0679779942857142</c:v>
                </c:pt>
                <c:pt idx="228">
                  <c:v>6.2609451428571425</c:v>
                </c:pt>
                <c:pt idx="229">
                  <c:v>6.1597615114285711</c:v>
                </c:pt>
                <c:pt idx="230">
                  <c:v>6.4417273199999991</c:v>
                </c:pt>
                <c:pt idx="231">
                  <c:v>6.4553311028571434</c:v>
                </c:pt>
                <c:pt idx="232">
                  <c:v>6.5270641371428555</c:v>
                </c:pt>
                <c:pt idx="233">
                  <c:v>6.1858565999999993</c:v>
                </c:pt>
                <c:pt idx="234">
                  <c:v>6.793097631428572</c:v>
                </c:pt>
                <c:pt idx="235">
                  <c:v>6.1082118514285719</c:v>
                </c:pt>
                <c:pt idx="236">
                  <c:v>4.0048883999999996</c:v>
                </c:pt>
                <c:pt idx="237">
                  <c:v>0.6726115954285713</c:v>
                </c:pt>
                <c:pt idx="238">
                  <c:v>6.7554830057142849</c:v>
                </c:pt>
                <c:pt idx="239">
                  <c:v>6.832982648571428</c:v>
                </c:pt>
                <c:pt idx="240">
                  <c:v>6.5180343599999988</c:v>
                </c:pt>
                <c:pt idx="241">
                  <c:v>6.5245147714285698</c:v>
                </c:pt>
                <c:pt idx="242">
                  <c:v>7.1443887942857129</c:v>
                </c:pt>
                <c:pt idx="243">
                  <c:v>7.2432419399999999</c:v>
                </c:pt>
                <c:pt idx="244">
                  <c:v>7.1614457999999983</c:v>
                </c:pt>
                <c:pt idx="245">
                  <c:v>5.8485004714285722</c:v>
                </c:pt>
                <c:pt idx="246">
                  <c:v>6.6867839999999994</c:v>
                </c:pt>
                <c:pt idx="247">
                  <c:v>6.8524815342857135</c:v>
                </c:pt>
                <c:pt idx="248">
                  <c:v>6.1640345571428563</c:v>
                </c:pt>
                <c:pt idx="249">
                  <c:v>5.6189945314285712</c:v>
                </c:pt>
                <c:pt idx="250">
                  <c:v>6.3214630199999977</c:v>
                </c:pt>
                <c:pt idx="251">
                  <c:v>6.203958171428571</c:v>
                </c:pt>
                <c:pt idx="252">
                  <c:v>6.6029871599999987</c:v>
                </c:pt>
                <c:pt idx="253">
                  <c:v>6.8273938799999998</c:v>
                </c:pt>
                <c:pt idx="254">
                  <c:v>7.5060108000000003</c:v>
                </c:pt>
                <c:pt idx="255">
                  <c:v>7.9872487714285718</c:v>
                </c:pt>
                <c:pt idx="256">
                  <c:v>6.6575771999999986</c:v>
                </c:pt>
                <c:pt idx="257">
                  <c:v>5.6113322657142852</c:v>
                </c:pt>
                <c:pt idx="258">
                  <c:v>5.8623578228571418</c:v>
                </c:pt>
                <c:pt idx="259">
                  <c:v>1.1952386022857142</c:v>
                </c:pt>
                <c:pt idx="260">
                  <c:v>7.4752249371428574</c:v>
                </c:pt>
                <c:pt idx="261">
                  <c:v>5.5710651857142857</c:v>
                </c:pt>
                <c:pt idx="262">
                  <c:v>6.7592709000000006</c:v>
                </c:pt>
                <c:pt idx="263">
                  <c:v>7.4173819885714281</c:v>
                </c:pt>
                <c:pt idx="264">
                  <c:v>4.9292411142857144</c:v>
                </c:pt>
                <c:pt idx="265">
                  <c:v>7.9653685885714269</c:v>
                </c:pt>
                <c:pt idx="266">
                  <c:v>8.4225219428571414</c:v>
                </c:pt>
                <c:pt idx="267">
                  <c:v>8.1569711571428574</c:v>
                </c:pt>
                <c:pt idx="268">
                  <c:v>8.5663304999999994</c:v>
                </c:pt>
                <c:pt idx="269">
                  <c:v>8.5593023999999982</c:v>
                </c:pt>
                <c:pt idx="270">
                  <c:v>4.406133548571427</c:v>
                </c:pt>
                <c:pt idx="271">
                  <c:v>8.5128998400000011</c:v>
                </c:pt>
                <c:pt idx="272">
                  <c:v>8.3283937714285692</c:v>
                </c:pt>
                <c:pt idx="273">
                  <c:v>8.4368761714285689</c:v>
                </c:pt>
                <c:pt idx="274">
                  <c:v>8.5312867371428549</c:v>
                </c:pt>
                <c:pt idx="275">
                  <c:v>8.2316111914285699</c:v>
                </c:pt>
                <c:pt idx="276">
                  <c:v>6.8838663857142857</c:v>
                </c:pt>
                <c:pt idx="277">
                  <c:v>6.5251596857142848</c:v>
                </c:pt>
                <c:pt idx="278">
                  <c:v>8.961281871428568</c:v>
                </c:pt>
                <c:pt idx="279">
                  <c:v>8.9310490714285695</c:v>
                </c:pt>
                <c:pt idx="280">
                  <c:v>8.1728971199999982</c:v>
                </c:pt>
                <c:pt idx="281">
                  <c:v>8.0289678857142857</c:v>
                </c:pt>
                <c:pt idx="282">
                  <c:v>4.9642663114285712</c:v>
                </c:pt>
                <c:pt idx="283">
                  <c:v>3.9991144628571424</c:v>
                </c:pt>
                <c:pt idx="284">
                  <c:v>4.1280352714285709</c:v>
                </c:pt>
                <c:pt idx="285">
                  <c:v>7.9755631199999986</c:v>
                </c:pt>
                <c:pt idx="286">
                  <c:v>9.1079485714285706</c:v>
                </c:pt>
                <c:pt idx="287">
                  <c:v>8.981746662857141</c:v>
                </c:pt>
                <c:pt idx="288">
                  <c:v>9.3145429542857148</c:v>
                </c:pt>
                <c:pt idx="289">
                  <c:v>7.8369006857142853</c:v>
                </c:pt>
                <c:pt idx="290">
                  <c:v>9.1118634942857124</c:v>
                </c:pt>
                <c:pt idx="291">
                  <c:v>7.1510020971428574</c:v>
                </c:pt>
                <c:pt idx="292">
                  <c:v>3.8523099857142848</c:v>
                </c:pt>
                <c:pt idx="293">
                  <c:v>2.3498560079999997</c:v>
                </c:pt>
                <c:pt idx="294">
                  <c:v>5.4114977571428566</c:v>
                </c:pt>
                <c:pt idx="295">
                  <c:v>5.8684737599999997</c:v>
                </c:pt>
                <c:pt idx="296">
                  <c:v>2.8270403999999996</c:v>
                </c:pt>
                <c:pt idx="297">
                  <c:v>7.436232539999998</c:v>
                </c:pt>
                <c:pt idx="298">
                  <c:v>4.5110137114285713</c:v>
                </c:pt>
                <c:pt idx="299">
                  <c:v>6.0904464171428572</c:v>
                </c:pt>
                <c:pt idx="300">
                  <c:v>4.7987778857142853</c:v>
                </c:pt>
                <c:pt idx="301">
                  <c:v>4.970227371428571</c:v>
                </c:pt>
                <c:pt idx="302">
                  <c:v>8.896958999999999</c:v>
                </c:pt>
                <c:pt idx="303">
                  <c:v>9.4129001999999993</c:v>
                </c:pt>
                <c:pt idx="304">
                  <c:v>9.3109939714285712</c:v>
                </c:pt>
                <c:pt idx="305">
                  <c:v>6.56638974</c:v>
                </c:pt>
                <c:pt idx="306">
                  <c:v>4.1186854799999999</c:v>
                </c:pt>
                <c:pt idx="307">
                  <c:v>3.6215747999999994</c:v>
                </c:pt>
                <c:pt idx="308">
                  <c:v>2.0958609137142852</c:v>
                </c:pt>
                <c:pt idx="309">
                  <c:v>6.4966539857142847</c:v>
                </c:pt>
                <c:pt idx="310">
                  <c:v>5.2633975885714266</c:v>
                </c:pt>
                <c:pt idx="311">
                  <c:v>3.0843221142857136</c:v>
                </c:pt>
                <c:pt idx="312">
                  <c:v>1.9817405459999997</c:v>
                </c:pt>
                <c:pt idx="313">
                  <c:v>5.9269967999999995</c:v>
                </c:pt>
                <c:pt idx="314">
                  <c:v>10.536029177142854</c:v>
                </c:pt>
                <c:pt idx="315">
                  <c:v>10.693303251428569</c:v>
                </c:pt>
                <c:pt idx="316">
                  <c:v>10.205137825714285</c:v>
                </c:pt>
                <c:pt idx="317">
                  <c:v>3.8403419399999992</c:v>
                </c:pt>
                <c:pt idx="318">
                  <c:v>8.8160417999999989</c:v>
                </c:pt>
                <c:pt idx="319">
                  <c:v>8.5583692285714275</c:v>
                </c:pt>
                <c:pt idx="320">
                  <c:v>4.7954360571428571</c:v>
                </c:pt>
                <c:pt idx="321">
                  <c:v>8.6017963885714295</c:v>
                </c:pt>
                <c:pt idx="322">
                  <c:v>10.968941571428569</c:v>
                </c:pt>
                <c:pt idx="323">
                  <c:v>11.10420648</c:v>
                </c:pt>
                <c:pt idx="324">
                  <c:v>9.8647676999999998</c:v>
                </c:pt>
                <c:pt idx="325">
                  <c:v>9.3873518228571413</c:v>
                </c:pt>
                <c:pt idx="326">
                  <c:v>2.8959641485714278</c:v>
                </c:pt>
                <c:pt idx="327">
                  <c:v>8.0765781942857124</c:v>
                </c:pt>
                <c:pt idx="328">
                  <c:v>10.752755554285713</c:v>
                </c:pt>
                <c:pt idx="329">
                  <c:v>9.6415535828571421</c:v>
                </c:pt>
                <c:pt idx="330">
                  <c:v>10.945272728571425</c:v>
                </c:pt>
                <c:pt idx="331">
                  <c:v>9.1533612857142845</c:v>
                </c:pt>
                <c:pt idx="332">
                  <c:v>8.0620295142857135</c:v>
                </c:pt>
                <c:pt idx="333">
                  <c:v>5.1161636571428568</c:v>
                </c:pt>
                <c:pt idx="334">
                  <c:v>7.728386528571427</c:v>
                </c:pt>
                <c:pt idx="335">
                  <c:v>10.990461188571427</c:v>
                </c:pt>
                <c:pt idx="336">
                  <c:v>5.6876749714285699</c:v>
                </c:pt>
                <c:pt idx="337">
                  <c:v>1.9511349659999997</c:v>
                </c:pt>
                <c:pt idx="338">
                  <c:v>3.5253027771428562</c:v>
                </c:pt>
                <c:pt idx="339">
                  <c:v>7.6582823914285703</c:v>
                </c:pt>
                <c:pt idx="340">
                  <c:v>9.1472815028571421</c:v>
                </c:pt>
                <c:pt idx="341">
                  <c:v>10.092477162857142</c:v>
                </c:pt>
                <c:pt idx="342">
                  <c:v>5.1289862142857121</c:v>
                </c:pt>
                <c:pt idx="343">
                  <c:v>6.9298458428571417</c:v>
                </c:pt>
                <c:pt idx="344">
                  <c:v>5.3428070571428572</c:v>
                </c:pt>
                <c:pt idx="345">
                  <c:v>8.8078025314285693</c:v>
                </c:pt>
                <c:pt idx="346">
                  <c:v>10.291936937142857</c:v>
                </c:pt>
                <c:pt idx="347">
                  <c:v>6.4347930257142849</c:v>
                </c:pt>
                <c:pt idx="348">
                  <c:v>3.1999464514285711</c:v>
                </c:pt>
                <c:pt idx="349">
                  <c:v>7.9030376228571422</c:v>
                </c:pt>
                <c:pt idx="350">
                  <c:v>10.663249757142854</c:v>
                </c:pt>
                <c:pt idx="351">
                  <c:v>10.919448308571427</c:v>
                </c:pt>
                <c:pt idx="352">
                  <c:v>10.417238897142855</c:v>
                </c:pt>
                <c:pt idx="353">
                  <c:v>8.6887542857142837</c:v>
                </c:pt>
                <c:pt idx="354">
                  <c:v>6.7124921400000002</c:v>
                </c:pt>
                <c:pt idx="355">
                  <c:v>4.9005688114285704</c:v>
                </c:pt>
                <c:pt idx="356">
                  <c:v>6.8100877028571425</c:v>
                </c:pt>
                <c:pt idx="357">
                  <c:v>7.4781661371428543</c:v>
                </c:pt>
                <c:pt idx="358">
                  <c:v>9.2814720428571427</c:v>
                </c:pt>
                <c:pt idx="359">
                  <c:v>7.7976732857142848</c:v>
                </c:pt>
                <c:pt idx="360">
                  <c:v>3.884572799999999</c:v>
                </c:pt>
                <c:pt idx="361">
                  <c:v>4.289613171428571</c:v>
                </c:pt>
                <c:pt idx="362">
                  <c:v>7.1871988885714266</c:v>
                </c:pt>
                <c:pt idx="363">
                  <c:v>7.3817074799999993</c:v>
                </c:pt>
                <c:pt idx="364">
                  <c:v>10.152833322857139</c:v>
                </c:pt>
                <c:pt idx="365">
                  <c:v>10.080867728571429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AA7-4B31-97D6-CAB28F27333E}"/>
            </c:ext>
          </c:extLst>
        </c:ser>
        <c:ser>
          <c:idx val="6"/>
          <c:order val="6"/>
          <c:tx>
            <c:strRef>
              <c:f>Piracicaba!$T$5</c:f>
              <c:strCache>
                <c:ptCount val="1"/>
                <c:pt idx="0">
                  <c:v>Penman-Monteith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Piracicaba!$T$6:$T$371</c:f>
              <c:numCache>
                <c:formatCode>0.00</c:formatCode>
                <c:ptCount val="366"/>
                <c:pt idx="0">
                  <c:v>5.7778797631142567</c:v>
                </c:pt>
                <c:pt idx="1">
                  <c:v>5.6233468424928468</c:v>
                </c:pt>
                <c:pt idx="2">
                  <c:v>6.0429221802838908</c:v>
                </c:pt>
                <c:pt idx="3">
                  <c:v>5.6004678520321649</c:v>
                </c:pt>
                <c:pt idx="4">
                  <c:v>6.4616345196180527</c:v>
                </c:pt>
                <c:pt idx="5">
                  <c:v>7.281432409072595</c:v>
                </c:pt>
                <c:pt idx="6">
                  <c:v>7.8016440763536581</c:v>
                </c:pt>
                <c:pt idx="7">
                  <c:v>5.9607985517311306</c:v>
                </c:pt>
                <c:pt idx="8">
                  <c:v>7.317869612139229</c:v>
                </c:pt>
                <c:pt idx="9">
                  <c:v>6.45422436659479</c:v>
                </c:pt>
                <c:pt idx="10">
                  <c:v>5.4051273406298472</c:v>
                </c:pt>
                <c:pt idx="11">
                  <c:v>3.3525459438975238</c:v>
                </c:pt>
                <c:pt idx="12">
                  <c:v>3.8451994476393749</c:v>
                </c:pt>
                <c:pt idx="13">
                  <c:v>6.593168187875948</c:v>
                </c:pt>
                <c:pt idx="14">
                  <c:v>5.1830822289430278</c:v>
                </c:pt>
                <c:pt idx="15">
                  <c:v>6.4328404327967643</c:v>
                </c:pt>
                <c:pt idx="16">
                  <c:v>6.8148451654378954</c:v>
                </c:pt>
                <c:pt idx="17">
                  <c:v>7.9329090828151836</c:v>
                </c:pt>
                <c:pt idx="18">
                  <c:v>6.4902868206341653</c:v>
                </c:pt>
                <c:pt idx="19">
                  <c:v>4.6584255037531994</c:v>
                </c:pt>
                <c:pt idx="20">
                  <c:v>5.024933553337724</c:v>
                </c:pt>
                <c:pt idx="21">
                  <c:v>4.5292994010019703</c:v>
                </c:pt>
                <c:pt idx="22">
                  <c:v>1.3035975226042926</c:v>
                </c:pt>
                <c:pt idx="23">
                  <c:v>4.6393904591386192</c:v>
                </c:pt>
                <c:pt idx="24">
                  <c:v>3.9857758604616493</c:v>
                </c:pt>
                <c:pt idx="25">
                  <c:v>4.9620943895011198</c:v>
                </c:pt>
                <c:pt idx="26">
                  <c:v>5.6008152732784078</c:v>
                </c:pt>
                <c:pt idx="27">
                  <c:v>4.3468004657072976</c:v>
                </c:pt>
                <c:pt idx="28">
                  <c:v>4.9807827536192653</c:v>
                </c:pt>
                <c:pt idx="29">
                  <c:v>6.2682850698338308</c:v>
                </c:pt>
                <c:pt idx="30">
                  <c:v>5.7080765267669484</c:v>
                </c:pt>
                <c:pt idx="31">
                  <c:v>5.3008930089015278</c:v>
                </c:pt>
                <c:pt idx="32">
                  <c:v>4.3151922349224039</c:v>
                </c:pt>
                <c:pt idx="33">
                  <c:v>3.3988511831366215</c:v>
                </c:pt>
                <c:pt idx="34">
                  <c:v>3.1544755323655918</c:v>
                </c:pt>
                <c:pt idx="35">
                  <c:v>5.8025485079652173</c:v>
                </c:pt>
                <c:pt idx="36">
                  <c:v>5.8809044498465264</c:v>
                </c:pt>
                <c:pt idx="37">
                  <c:v>4.9300101141439709</c:v>
                </c:pt>
                <c:pt idx="38">
                  <c:v>6.3698642902933962</c:v>
                </c:pt>
                <c:pt idx="39">
                  <c:v>6.3529751477031251</c:v>
                </c:pt>
                <c:pt idx="40">
                  <c:v>6.8018387488286844</c:v>
                </c:pt>
                <c:pt idx="41">
                  <c:v>6.6741765528893255</c:v>
                </c:pt>
                <c:pt idx="42">
                  <c:v>5.2547146469396102</c:v>
                </c:pt>
                <c:pt idx="43">
                  <c:v>6.8608608088421521</c:v>
                </c:pt>
                <c:pt idx="44">
                  <c:v>3.3143215545198372</c:v>
                </c:pt>
                <c:pt idx="45">
                  <c:v>1.6551309856557015</c:v>
                </c:pt>
                <c:pt idx="46">
                  <c:v>3.6507538295245956</c:v>
                </c:pt>
                <c:pt idx="47">
                  <c:v>4.2687058386429344</c:v>
                </c:pt>
                <c:pt idx="48">
                  <c:v>5.3991278350901108</c:v>
                </c:pt>
                <c:pt idx="49">
                  <c:v>5.7174079785319405</c:v>
                </c:pt>
                <c:pt idx="50">
                  <c:v>4.0801113058019425</c:v>
                </c:pt>
                <c:pt idx="51">
                  <c:v>4.2739604375521614</c:v>
                </c:pt>
                <c:pt idx="52">
                  <c:v>4.7759484664341683</c:v>
                </c:pt>
                <c:pt idx="53">
                  <c:v>4.5002998845043161</c:v>
                </c:pt>
                <c:pt idx="54">
                  <c:v>2.911114548873845</c:v>
                </c:pt>
                <c:pt idx="55">
                  <c:v>6.0776635840856512</c:v>
                </c:pt>
                <c:pt idx="56">
                  <c:v>4.9914699567811471</c:v>
                </c:pt>
                <c:pt idx="57">
                  <c:v>5.9376250761740748</c:v>
                </c:pt>
                <c:pt idx="58">
                  <c:v>5.502145004769214</c:v>
                </c:pt>
                <c:pt idx="59">
                  <c:v>6.0428818884428148</c:v>
                </c:pt>
                <c:pt idx="60">
                  <c:v>5.3305687713090277</c:v>
                </c:pt>
                <c:pt idx="61">
                  <c:v>5.5110490066204179</c:v>
                </c:pt>
                <c:pt idx="62">
                  <c:v>6.1758492011246275</c:v>
                </c:pt>
                <c:pt idx="63">
                  <c:v>6.0949981514682925</c:v>
                </c:pt>
                <c:pt idx="64">
                  <c:v>5.5956692463724771</c:v>
                </c:pt>
                <c:pt idx="65">
                  <c:v>4.3179992108435137</c:v>
                </c:pt>
                <c:pt idx="66">
                  <c:v>5.0027538016172386</c:v>
                </c:pt>
                <c:pt idx="67">
                  <c:v>5.3711746374199043</c:v>
                </c:pt>
                <c:pt idx="68">
                  <c:v>4.18603384255597</c:v>
                </c:pt>
                <c:pt idx="69">
                  <c:v>3.8410880590307515</c:v>
                </c:pt>
                <c:pt idx="70">
                  <c:v>5.2125507591925748</c:v>
                </c:pt>
                <c:pt idx="71">
                  <c:v>6.7784724476635034</c:v>
                </c:pt>
                <c:pt idx="72">
                  <c:v>6.5671873016592812</c:v>
                </c:pt>
                <c:pt idx="73">
                  <c:v>6.648999747302776</c:v>
                </c:pt>
                <c:pt idx="74">
                  <c:v>6.3460224443032764</c:v>
                </c:pt>
                <c:pt idx="75">
                  <c:v>6.0009348507944029</c:v>
                </c:pt>
                <c:pt idx="76">
                  <c:v>6.0328333177624813</c:v>
                </c:pt>
                <c:pt idx="77">
                  <c:v>4.250285383022951</c:v>
                </c:pt>
                <c:pt idx="78">
                  <c:v>4.4355652599690547</c:v>
                </c:pt>
                <c:pt idx="79">
                  <c:v>4.8212168514562936</c:v>
                </c:pt>
                <c:pt idx="80">
                  <c:v>5.6519165495554624</c:v>
                </c:pt>
                <c:pt idx="81">
                  <c:v>2.313356172881889</c:v>
                </c:pt>
                <c:pt idx="82">
                  <c:v>1.3664856153782836</c:v>
                </c:pt>
                <c:pt idx="83">
                  <c:v>1.8027339681521271</c:v>
                </c:pt>
                <c:pt idx="84">
                  <c:v>4.9627570344574412</c:v>
                </c:pt>
                <c:pt idx="85">
                  <c:v>2.9602403995741935</c:v>
                </c:pt>
                <c:pt idx="86">
                  <c:v>1.7389528415117008</c:v>
                </c:pt>
                <c:pt idx="87">
                  <c:v>1.5563409291810717</c:v>
                </c:pt>
                <c:pt idx="88">
                  <c:v>2.5533240983280776</c:v>
                </c:pt>
                <c:pt idx="89">
                  <c:v>4.5730989531298372</c:v>
                </c:pt>
                <c:pt idx="90">
                  <c:v>5.2939227319466715</c:v>
                </c:pt>
                <c:pt idx="91">
                  <c:v>4.8844932096309233</c:v>
                </c:pt>
                <c:pt idx="92">
                  <c:v>3.9679102450972406</c:v>
                </c:pt>
                <c:pt idx="93">
                  <c:v>5.2937820721298952</c:v>
                </c:pt>
                <c:pt idx="94">
                  <c:v>5.8066101815028039</c:v>
                </c:pt>
                <c:pt idx="95">
                  <c:v>5.1003579398296237</c:v>
                </c:pt>
                <c:pt idx="96">
                  <c:v>4.9208593275240782</c:v>
                </c:pt>
                <c:pt idx="97">
                  <c:v>5.3102486563559035</c:v>
                </c:pt>
                <c:pt idx="98">
                  <c:v>2.1265304396431608</c:v>
                </c:pt>
                <c:pt idx="99">
                  <c:v>3.9675030617251128</c:v>
                </c:pt>
                <c:pt idx="100">
                  <c:v>4.773205450810825</c:v>
                </c:pt>
                <c:pt idx="101">
                  <c:v>4.0087964530498406</c:v>
                </c:pt>
                <c:pt idx="102">
                  <c:v>4.172145682035449</c:v>
                </c:pt>
                <c:pt idx="103">
                  <c:v>4.8797404266625479</c:v>
                </c:pt>
                <c:pt idx="104">
                  <c:v>3.0071962737349733</c:v>
                </c:pt>
                <c:pt idx="105">
                  <c:v>3.6045356954021637</c:v>
                </c:pt>
                <c:pt idx="106">
                  <c:v>4.3825810761883011</c:v>
                </c:pt>
                <c:pt idx="107">
                  <c:v>2.66606353253158</c:v>
                </c:pt>
                <c:pt idx="108">
                  <c:v>2.5569736582683706</c:v>
                </c:pt>
                <c:pt idx="109">
                  <c:v>4.6095738353718829</c:v>
                </c:pt>
                <c:pt idx="110">
                  <c:v>5.4516775415603549</c:v>
                </c:pt>
                <c:pt idx="111">
                  <c:v>4.6773924832608049</c:v>
                </c:pt>
                <c:pt idx="112">
                  <c:v>5.0980609784122413</c:v>
                </c:pt>
                <c:pt idx="113">
                  <c:v>4.9498972811829924</c:v>
                </c:pt>
                <c:pt idx="114">
                  <c:v>4.6659446331166761</c:v>
                </c:pt>
                <c:pt idx="115">
                  <c:v>4.9670896786112655</c:v>
                </c:pt>
                <c:pt idx="116">
                  <c:v>4.7644539576605647</c:v>
                </c:pt>
                <c:pt idx="117">
                  <c:v>5.1629508027477709</c:v>
                </c:pt>
                <c:pt idx="118">
                  <c:v>5.1199000940299477</c:v>
                </c:pt>
                <c:pt idx="119">
                  <c:v>4.8540716459731508</c:v>
                </c:pt>
                <c:pt idx="120">
                  <c:v>5.0296941170494867</c:v>
                </c:pt>
                <c:pt idx="121">
                  <c:v>5.2689097592564176</c:v>
                </c:pt>
                <c:pt idx="122">
                  <c:v>5.5426758696567351</c:v>
                </c:pt>
                <c:pt idx="123">
                  <c:v>4.9294735204072797</c:v>
                </c:pt>
                <c:pt idx="124">
                  <c:v>5.3824495869977094</c:v>
                </c:pt>
                <c:pt idx="125">
                  <c:v>5.3119968838112079</c:v>
                </c:pt>
                <c:pt idx="126">
                  <c:v>5.3410232704329106</c:v>
                </c:pt>
                <c:pt idx="127">
                  <c:v>5.1375958706978402</c:v>
                </c:pt>
                <c:pt idx="128">
                  <c:v>5.0633258150271203</c:v>
                </c:pt>
                <c:pt idx="129">
                  <c:v>4.734093646922612</c:v>
                </c:pt>
                <c:pt idx="130">
                  <c:v>4.4485337209042983</c:v>
                </c:pt>
                <c:pt idx="131">
                  <c:v>4.9095503371082474</c:v>
                </c:pt>
                <c:pt idx="132">
                  <c:v>5.0964898613906477</c:v>
                </c:pt>
                <c:pt idx="133">
                  <c:v>5.2821850461063473</c:v>
                </c:pt>
                <c:pt idx="134">
                  <c:v>3.448683750171945</c:v>
                </c:pt>
                <c:pt idx="135">
                  <c:v>3.9972374385301954</c:v>
                </c:pt>
                <c:pt idx="136">
                  <c:v>5.0141441759821586</c:v>
                </c:pt>
                <c:pt idx="137">
                  <c:v>5.2943394835035047</c:v>
                </c:pt>
                <c:pt idx="138">
                  <c:v>4.9255773014267419</c:v>
                </c:pt>
                <c:pt idx="139">
                  <c:v>4.2951071183879508</c:v>
                </c:pt>
                <c:pt idx="140">
                  <c:v>4.3265471118258274</c:v>
                </c:pt>
                <c:pt idx="141">
                  <c:v>4.3851715611668114</c:v>
                </c:pt>
                <c:pt idx="142">
                  <c:v>4.2732391108457675</c:v>
                </c:pt>
                <c:pt idx="143">
                  <c:v>4.8188733388833827</c:v>
                </c:pt>
                <c:pt idx="144">
                  <c:v>4.6236087106372921</c:v>
                </c:pt>
                <c:pt idx="145">
                  <c:v>2.7763142764337911</c:v>
                </c:pt>
                <c:pt idx="146">
                  <c:v>1.2946259895179377</c:v>
                </c:pt>
                <c:pt idx="147">
                  <c:v>2.9896373047795164</c:v>
                </c:pt>
                <c:pt idx="148">
                  <c:v>2.6191812541791135</c:v>
                </c:pt>
                <c:pt idx="149">
                  <c:v>3.0035835726911424</c:v>
                </c:pt>
                <c:pt idx="150">
                  <c:v>3.2851624966821582</c:v>
                </c:pt>
                <c:pt idx="151">
                  <c:v>3.9636664798688348</c:v>
                </c:pt>
                <c:pt idx="152">
                  <c:v>4.0684506236771618</c:v>
                </c:pt>
                <c:pt idx="153">
                  <c:v>4.3026018593247697</c:v>
                </c:pt>
                <c:pt idx="154">
                  <c:v>3.6852959718266023</c:v>
                </c:pt>
                <c:pt idx="155">
                  <c:v>3.4178082758658532</c:v>
                </c:pt>
                <c:pt idx="156">
                  <c:v>3.7820860966155054</c:v>
                </c:pt>
                <c:pt idx="157">
                  <c:v>4.1051071139569189</c:v>
                </c:pt>
                <c:pt idx="158">
                  <c:v>3.9605808475060016</c:v>
                </c:pt>
                <c:pt idx="159">
                  <c:v>4.305387009981863</c:v>
                </c:pt>
                <c:pt idx="160">
                  <c:v>4.8445049926569341</c:v>
                </c:pt>
                <c:pt idx="161">
                  <c:v>4.6870862830423521</c:v>
                </c:pt>
                <c:pt idx="162">
                  <c:v>4.3375934440195696</c:v>
                </c:pt>
                <c:pt idx="163">
                  <c:v>4.389831913804807</c:v>
                </c:pt>
                <c:pt idx="164">
                  <c:v>4.7120921324932166</c:v>
                </c:pt>
                <c:pt idx="165">
                  <c:v>5.171253499815692</c:v>
                </c:pt>
                <c:pt idx="166">
                  <c:v>4.5661580122473495</c:v>
                </c:pt>
                <c:pt idx="167">
                  <c:v>4.7684795280197338</c:v>
                </c:pt>
                <c:pt idx="168">
                  <c:v>4.6703201585107745</c:v>
                </c:pt>
                <c:pt idx="169">
                  <c:v>4.6646304892308068</c:v>
                </c:pt>
                <c:pt idx="170">
                  <c:v>4.8643177988057724</c:v>
                </c:pt>
                <c:pt idx="171">
                  <c:v>4.3695555436335001</c:v>
                </c:pt>
                <c:pt idx="172">
                  <c:v>4.9014273744396251</c:v>
                </c:pt>
                <c:pt idx="173">
                  <c:v>4.8359961818304802</c:v>
                </c:pt>
                <c:pt idx="174">
                  <c:v>4.3667015758654397</c:v>
                </c:pt>
                <c:pt idx="175">
                  <c:v>5.1091240807718723</c:v>
                </c:pt>
                <c:pt idx="176">
                  <c:v>3.8767243402343601</c:v>
                </c:pt>
                <c:pt idx="177">
                  <c:v>4.6850321375780943</c:v>
                </c:pt>
                <c:pt idx="178">
                  <c:v>3.663596612055076</c:v>
                </c:pt>
                <c:pt idx="179">
                  <c:v>3.6290792610190463</c:v>
                </c:pt>
                <c:pt idx="180">
                  <c:v>4.2784933539963008</c:v>
                </c:pt>
                <c:pt idx="181">
                  <c:v>2.4820756363554204</c:v>
                </c:pt>
                <c:pt idx="182">
                  <c:v>1.3856160388315286</c:v>
                </c:pt>
                <c:pt idx="183">
                  <c:v>3.914382655935261</c:v>
                </c:pt>
                <c:pt idx="184">
                  <c:v>4.2279561427961312</c:v>
                </c:pt>
                <c:pt idx="185">
                  <c:v>2.8178310571778122</c:v>
                </c:pt>
                <c:pt idx="186">
                  <c:v>2.6650649238945143</c:v>
                </c:pt>
                <c:pt idx="187">
                  <c:v>4.2486381109434417</c:v>
                </c:pt>
                <c:pt idx="188">
                  <c:v>4.599972012424133</c:v>
                </c:pt>
                <c:pt idx="189">
                  <c:v>3.375057738853831</c:v>
                </c:pt>
                <c:pt idx="190">
                  <c:v>0.53080466779897639</c:v>
                </c:pt>
                <c:pt idx="191">
                  <c:v>2.3455276341664235</c:v>
                </c:pt>
                <c:pt idx="192">
                  <c:v>3.3943923618675402</c:v>
                </c:pt>
                <c:pt idx="193">
                  <c:v>2.9929390950445494</c:v>
                </c:pt>
                <c:pt idx="194">
                  <c:v>3.088954069512623</c:v>
                </c:pt>
                <c:pt idx="195">
                  <c:v>4.5586162505807426</c:v>
                </c:pt>
                <c:pt idx="196">
                  <c:v>3.7354431286624759</c:v>
                </c:pt>
                <c:pt idx="197">
                  <c:v>4.3467498688679633</c:v>
                </c:pt>
                <c:pt idx="198">
                  <c:v>3.1625235549935979</c:v>
                </c:pt>
                <c:pt idx="199">
                  <c:v>4.1877014342249268</c:v>
                </c:pt>
                <c:pt idx="200">
                  <c:v>3.9497212416977496</c:v>
                </c:pt>
                <c:pt idx="201">
                  <c:v>4.0714909882059027</c:v>
                </c:pt>
                <c:pt idx="202">
                  <c:v>4.237898045995026</c:v>
                </c:pt>
                <c:pt idx="203">
                  <c:v>4.6088637770845722</c:v>
                </c:pt>
                <c:pt idx="204">
                  <c:v>4.3999713114202832</c:v>
                </c:pt>
                <c:pt idx="205">
                  <c:v>4.7814426600839015</c:v>
                </c:pt>
                <c:pt idx="206">
                  <c:v>4.6075170493382975</c:v>
                </c:pt>
                <c:pt idx="207">
                  <c:v>3.9977658780260557</c:v>
                </c:pt>
                <c:pt idx="208">
                  <c:v>4.0822719011132564</c:v>
                </c:pt>
                <c:pt idx="209">
                  <c:v>5.4232068854153042</c:v>
                </c:pt>
                <c:pt idx="210">
                  <c:v>5.1456286703206873</c:v>
                </c:pt>
                <c:pt idx="211">
                  <c:v>1.3137944509044719</c:v>
                </c:pt>
                <c:pt idx="212">
                  <c:v>4.9273259729441516</c:v>
                </c:pt>
                <c:pt idx="213">
                  <c:v>4.5524774150083811</c:v>
                </c:pt>
                <c:pt idx="214">
                  <c:v>5.1204214226115052</c:v>
                </c:pt>
                <c:pt idx="215">
                  <c:v>5.5992049956282024</c:v>
                </c:pt>
                <c:pt idx="216">
                  <c:v>5.4344909288028056</c:v>
                </c:pt>
                <c:pt idx="217">
                  <c:v>5.2066197339782923</c:v>
                </c:pt>
                <c:pt idx="218">
                  <c:v>5.3167244299362597</c:v>
                </c:pt>
                <c:pt idx="219">
                  <c:v>5.6745600536994329</c:v>
                </c:pt>
                <c:pt idx="220">
                  <c:v>6.3810019312919639</c:v>
                </c:pt>
                <c:pt idx="221">
                  <c:v>2.6418409592035346</c:v>
                </c:pt>
                <c:pt idx="222">
                  <c:v>2.0392383560884393</c:v>
                </c:pt>
                <c:pt idx="223">
                  <c:v>3.713403954006063</c:v>
                </c:pt>
                <c:pt idx="224">
                  <c:v>3.380302870662856</c:v>
                </c:pt>
                <c:pt idx="225">
                  <c:v>3.6447013644896495</c:v>
                </c:pt>
                <c:pt idx="226">
                  <c:v>4.6798592896180589</c:v>
                </c:pt>
                <c:pt idx="227">
                  <c:v>5.7483808721865586</c:v>
                </c:pt>
                <c:pt idx="228">
                  <c:v>5.5277269821010124</c:v>
                </c:pt>
                <c:pt idx="229">
                  <c:v>5.7264162480156555</c:v>
                </c:pt>
                <c:pt idx="230">
                  <c:v>5.980546609844291</c:v>
                </c:pt>
                <c:pt idx="231">
                  <c:v>5.9393227130646107</c:v>
                </c:pt>
                <c:pt idx="232">
                  <c:v>6.3344215403413138</c:v>
                </c:pt>
                <c:pt idx="233">
                  <c:v>5.6076209063499025</c:v>
                </c:pt>
                <c:pt idx="234">
                  <c:v>6.6867332082809687</c:v>
                </c:pt>
                <c:pt idx="235">
                  <c:v>7.4792799074371343</c:v>
                </c:pt>
                <c:pt idx="236">
                  <c:v>4.3283991915521627</c:v>
                </c:pt>
                <c:pt idx="237">
                  <c:v>1.0967525727786538</c:v>
                </c:pt>
                <c:pt idx="238">
                  <c:v>3.1596996949593321</c:v>
                </c:pt>
                <c:pt idx="239">
                  <c:v>5.088073489703266</c:v>
                </c:pt>
                <c:pt idx="240">
                  <c:v>5.3574093210956732</c:v>
                </c:pt>
                <c:pt idx="241">
                  <c:v>5.4976965314031743</c:v>
                </c:pt>
                <c:pt idx="242">
                  <c:v>5.6561111297101663</c:v>
                </c:pt>
                <c:pt idx="243">
                  <c:v>6.0641820374322792</c:v>
                </c:pt>
                <c:pt idx="244">
                  <c:v>6.7202977647052968</c:v>
                </c:pt>
                <c:pt idx="245">
                  <c:v>6.4153457724029721</c:v>
                </c:pt>
                <c:pt idx="246">
                  <c:v>6.1651974868296167</c:v>
                </c:pt>
                <c:pt idx="247">
                  <c:v>6.697104926196638</c:v>
                </c:pt>
                <c:pt idx="248">
                  <c:v>6.1839363539047847</c:v>
                </c:pt>
                <c:pt idx="249">
                  <c:v>4.8453464546344875</c:v>
                </c:pt>
                <c:pt idx="250">
                  <c:v>6.3023031740367994</c:v>
                </c:pt>
                <c:pt idx="251">
                  <c:v>6.1902809624589175</c:v>
                </c:pt>
                <c:pt idx="252">
                  <c:v>6.5330974789888785</c:v>
                </c:pt>
                <c:pt idx="253">
                  <c:v>6.5929888698480896</c:v>
                </c:pt>
                <c:pt idx="254">
                  <c:v>7.4229918014455478</c:v>
                </c:pt>
                <c:pt idx="255">
                  <c:v>8.0245774815361983</c:v>
                </c:pt>
                <c:pt idx="256">
                  <c:v>7.8449410569866105</c:v>
                </c:pt>
                <c:pt idx="257">
                  <c:v>6.245745930684838</c:v>
                </c:pt>
                <c:pt idx="258">
                  <c:v>5.2362443467379958</c:v>
                </c:pt>
                <c:pt idx="259">
                  <c:v>1.0259607703936908</c:v>
                </c:pt>
                <c:pt idx="260">
                  <c:v>4.5874322241648846</c:v>
                </c:pt>
                <c:pt idx="261">
                  <c:v>4.6460271882910735</c:v>
                </c:pt>
                <c:pt idx="262">
                  <c:v>6.2023753535395478</c:v>
                </c:pt>
                <c:pt idx="263">
                  <c:v>7.9742124128252518</c:v>
                </c:pt>
                <c:pt idx="264">
                  <c:v>4.0512667574819812</c:v>
                </c:pt>
                <c:pt idx="265">
                  <c:v>6.5379867116500696</c:v>
                </c:pt>
                <c:pt idx="266">
                  <c:v>7.215575744396391</c:v>
                </c:pt>
                <c:pt idx="267">
                  <c:v>8.0963330991794997</c:v>
                </c:pt>
                <c:pt idx="268">
                  <c:v>7.5779851721374323</c:v>
                </c:pt>
                <c:pt idx="269">
                  <c:v>9.5146116821027888</c:v>
                </c:pt>
                <c:pt idx="270">
                  <c:v>4.5118836508927638</c:v>
                </c:pt>
                <c:pt idx="271">
                  <c:v>6.4069597085308132</c:v>
                </c:pt>
                <c:pt idx="272">
                  <c:v>7.2538682355028827</c:v>
                </c:pt>
                <c:pt idx="273">
                  <c:v>6.9163283438590435</c:v>
                </c:pt>
                <c:pt idx="274">
                  <c:v>7.7296097783894577</c:v>
                </c:pt>
                <c:pt idx="275">
                  <c:v>8.9107776625031097</c:v>
                </c:pt>
                <c:pt idx="276">
                  <c:v>5.5612479816028255</c:v>
                </c:pt>
                <c:pt idx="277">
                  <c:v>3.9971234496060148</c:v>
                </c:pt>
                <c:pt idx="278">
                  <c:v>6.4559740383803206</c:v>
                </c:pt>
                <c:pt idx="279">
                  <c:v>6.8512291455350347</c:v>
                </c:pt>
                <c:pt idx="280">
                  <c:v>7.1863725214379848</c:v>
                </c:pt>
                <c:pt idx="281">
                  <c:v>7.5947763139508666</c:v>
                </c:pt>
                <c:pt idx="282">
                  <c:v>5.1173873858800798</c:v>
                </c:pt>
                <c:pt idx="283">
                  <c:v>3.8210119217769805</c:v>
                </c:pt>
                <c:pt idx="284">
                  <c:v>4.9320069469775811</c:v>
                </c:pt>
                <c:pt idx="285">
                  <c:v>4.7391955901098592</c:v>
                </c:pt>
                <c:pt idx="286">
                  <c:v>6.8485909507210643</c:v>
                </c:pt>
                <c:pt idx="287">
                  <c:v>6.5920222261425563</c:v>
                </c:pt>
                <c:pt idx="288">
                  <c:v>6.9884180404991652</c:v>
                </c:pt>
                <c:pt idx="289">
                  <c:v>6.4427608037807085</c:v>
                </c:pt>
                <c:pt idx="290">
                  <c:v>6.9089322105448376</c:v>
                </c:pt>
                <c:pt idx="291">
                  <c:v>5.9499851994189079</c:v>
                </c:pt>
                <c:pt idx="292">
                  <c:v>3.0348902888839415</c:v>
                </c:pt>
                <c:pt idx="293">
                  <c:v>2.614258295570894</c:v>
                </c:pt>
                <c:pt idx="294">
                  <c:v>4.6715537362336121</c:v>
                </c:pt>
                <c:pt idx="295">
                  <c:v>5.1569060585425923</c:v>
                </c:pt>
                <c:pt idx="296">
                  <c:v>3.867848633468991</c:v>
                </c:pt>
                <c:pt idx="297">
                  <c:v>6.236118120450139</c:v>
                </c:pt>
                <c:pt idx="298">
                  <c:v>4.0391084007187121</c:v>
                </c:pt>
                <c:pt idx="299">
                  <c:v>4.6518637143181349</c:v>
                </c:pt>
                <c:pt idx="300">
                  <c:v>2.7292030026409506</c:v>
                </c:pt>
                <c:pt idx="301">
                  <c:v>4.0247946422028553</c:v>
                </c:pt>
                <c:pt idx="302">
                  <c:v>5.8487785681605811</c:v>
                </c:pt>
                <c:pt idx="303">
                  <c:v>6.1216953772816742</c:v>
                </c:pt>
                <c:pt idx="304">
                  <c:v>6.0089946853549625</c:v>
                </c:pt>
                <c:pt idx="305">
                  <c:v>5.5607004550978827</c:v>
                </c:pt>
                <c:pt idx="306">
                  <c:v>3.6281103925041114</c:v>
                </c:pt>
                <c:pt idx="307">
                  <c:v>2.6705302281395991</c:v>
                </c:pt>
                <c:pt idx="308">
                  <c:v>1.7571841487367503</c:v>
                </c:pt>
                <c:pt idx="309">
                  <c:v>4.4375297253105428</c:v>
                </c:pt>
                <c:pt idx="310">
                  <c:v>3.616590204897919</c:v>
                </c:pt>
                <c:pt idx="311">
                  <c:v>2.0772390851487801</c:v>
                </c:pt>
                <c:pt idx="312">
                  <c:v>2.4388572333718224</c:v>
                </c:pt>
                <c:pt idx="313">
                  <c:v>3.8620328652262472</c:v>
                </c:pt>
                <c:pt idx="314">
                  <c:v>5.5748584827799732</c:v>
                </c:pt>
                <c:pt idx="315">
                  <c:v>6.7256668298574116</c:v>
                </c:pt>
                <c:pt idx="316">
                  <c:v>7.1145480350221249</c:v>
                </c:pt>
                <c:pt idx="317">
                  <c:v>3.0370147387582187</c:v>
                </c:pt>
                <c:pt idx="318">
                  <c:v>6.0374946712823476</c:v>
                </c:pt>
                <c:pt idx="319">
                  <c:v>5.957135511963906</c:v>
                </c:pt>
                <c:pt idx="320">
                  <c:v>4.2399033640392565</c:v>
                </c:pt>
                <c:pt idx="321">
                  <c:v>4.9924819299537679</c:v>
                </c:pt>
                <c:pt idx="322">
                  <c:v>6.5388448410191833</c:v>
                </c:pt>
                <c:pt idx="323">
                  <c:v>6.7643005018327083</c:v>
                </c:pt>
                <c:pt idx="324">
                  <c:v>7.3207116923750579</c:v>
                </c:pt>
                <c:pt idx="325">
                  <c:v>4.4925476291156086</c:v>
                </c:pt>
                <c:pt idx="326">
                  <c:v>1.899479743496052</c:v>
                </c:pt>
                <c:pt idx="327">
                  <c:v>4.9502202814181926</c:v>
                </c:pt>
                <c:pt idx="328">
                  <c:v>5.5743665248489149</c:v>
                </c:pt>
                <c:pt idx="329">
                  <c:v>6.4385471205435785</c:v>
                </c:pt>
                <c:pt idx="330">
                  <c:v>6.7686878376798294</c:v>
                </c:pt>
                <c:pt idx="331">
                  <c:v>6.3886846069688623</c:v>
                </c:pt>
                <c:pt idx="332">
                  <c:v>6.4361338262798462</c:v>
                </c:pt>
                <c:pt idx="333">
                  <c:v>3.6358666905909929</c:v>
                </c:pt>
                <c:pt idx="334">
                  <c:v>4.9471656169411915</c:v>
                </c:pt>
                <c:pt idx="335">
                  <c:v>7.3488573558269668</c:v>
                </c:pt>
                <c:pt idx="336">
                  <c:v>4.6362269157333253</c:v>
                </c:pt>
                <c:pt idx="337">
                  <c:v>1.7620131931964145</c:v>
                </c:pt>
                <c:pt idx="338">
                  <c:v>2.2467990028888338</c:v>
                </c:pt>
                <c:pt idx="339">
                  <c:v>5.5333970271343791</c:v>
                </c:pt>
                <c:pt idx="340">
                  <c:v>6.1949336559748671</c:v>
                </c:pt>
                <c:pt idx="341">
                  <c:v>6.1508077052584715</c:v>
                </c:pt>
                <c:pt idx="342">
                  <c:v>3.667282659500295</c:v>
                </c:pt>
                <c:pt idx="343">
                  <c:v>4.0772512145410884</c:v>
                </c:pt>
                <c:pt idx="344">
                  <c:v>4.8824999570967611</c:v>
                </c:pt>
                <c:pt idx="345">
                  <c:v>5.2198124238837611</c:v>
                </c:pt>
                <c:pt idx="346">
                  <c:v>5.9612772254379562</c:v>
                </c:pt>
                <c:pt idx="347">
                  <c:v>4.7530156953542821</c:v>
                </c:pt>
                <c:pt idx="348">
                  <c:v>2.1075294619784115</c:v>
                </c:pt>
                <c:pt idx="349">
                  <c:v>4.9119813935423631</c:v>
                </c:pt>
                <c:pt idx="350">
                  <c:v>5.1008307515059412</c:v>
                </c:pt>
                <c:pt idx="351">
                  <c:v>6.7709749196259343</c:v>
                </c:pt>
                <c:pt idx="352">
                  <c:v>6.5705221080203176</c:v>
                </c:pt>
                <c:pt idx="353">
                  <c:v>6.225568520756469</c:v>
                </c:pt>
                <c:pt idx="354">
                  <c:v>5.5006568494657202</c:v>
                </c:pt>
                <c:pt idx="355">
                  <c:v>3.9849385231831902</c:v>
                </c:pt>
                <c:pt idx="356">
                  <c:v>3.9700038856920505</c:v>
                </c:pt>
                <c:pt idx="357">
                  <c:v>4.5284160394118684</c:v>
                </c:pt>
                <c:pt idx="358">
                  <c:v>5.7971123910721607</c:v>
                </c:pt>
                <c:pt idx="359">
                  <c:v>5.6209862429269402</c:v>
                </c:pt>
                <c:pt idx="360">
                  <c:v>3.2981012429390613</c:v>
                </c:pt>
                <c:pt idx="361">
                  <c:v>3.4825598362029484</c:v>
                </c:pt>
                <c:pt idx="362">
                  <c:v>5.8285007767998476</c:v>
                </c:pt>
                <c:pt idx="363">
                  <c:v>5.4692384457253</c:v>
                </c:pt>
                <c:pt idx="364">
                  <c:v>5.8358681941936528</c:v>
                </c:pt>
                <c:pt idx="365">
                  <c:v>6.0967886310507744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AA7-4B31-97D6-CAB28F273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5643647"/>
        <c:axId val="1265647487"/>
        <c:extLst>
          <c:ext xmlns:c15="http://schemas.microsoft.com/office/drawing/2012/chart" uri="{02D57815-91ED-43cb-92C2-25804820EDAC}"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Piracicaba!$U$5</c15:sqref>
                        </c15:formulaRef>
                      </c:ext>
                    </c:extLst>
                    <c:strCache>
                      <c:ptCount val="1"/>
                      <c:pt idx="0">
                        <c:v>Garcia Lopez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Piracicaba!$U$6:$U$371</c15:sqref>
                        </c15:formulaRef>
                      </c:ext>
                    </c:extLst>
                    <c:numCache>
                      <c:formatCode>0.00</c:formatCode>
                      <c:ptCount val="366"/>
                      <c:pt idx="0">
                        <c:v>25.189343662690369</c:v>
                      </c:pt>
                      <c:pt idx="1">
                        <c:v>27.112052085868349</c:v>
                      </c:pt>
                      <c:pt idx="2">
                        <c:v>26.103335888218993</c:v>
                      </c:pt>
                      <c:pt idx="3">
                        <c:v>26.369091328100986</c:v>
                      </c:pt>
                      <c:pt idx="4">
                        <c:v>26.845274196529584</c:v>
                      </c:pt>
                      <c:pt idx="5">
                        <c:v>28.770104421776292</c:v>
                      </c:pt>
                      <c:pt idx="6">
                        <c:v>31.324707676579862</c:v>
                      </c:pt>
                      <c:pt idx="7">
                        <c:v>31.422565110653409</c:v>
                      </c:pt>
                      <c:pt idx="8">
                        <c:v>33.908502361946681</c:v>
                      </c:pt>
                      <c:pt idx="9">
                        <c:v>31.022452117078867</c:v>
                      </c:pt>
                      <c:pt idx="10">
                        <c:v>26.097897972968717</c:v>
                      </c:pt>
                      <c:pt idx="11">
                        <c:v>22.63693793954678</c:v>
                      </c:pt>
                      <c:pt idx="12">
                        <c:v>23.656437371246277</c:v>
                      </c:pt>
                      <c:pt idx="13">
                        <c:v>28.421962024569538</c:v>
                      </c:pt>
                      <c:pt idx="14">
                        <c:v>31.620332850640889</c:v>
                      </c:pt>
                      <c:pt idx="15">
                        <c:v>36.272676379967258</c:v>
                      </c:pt>
                      <c:pt idx="16">
                        <c:v>36.760403756018732</c:v>
                      </c:pt>
                      <c:pt idx="17">
                        <c:v>36.269929583425466</c:v>
                      </c:pt>
                      <c:pt idx="18">
                        <c:v>25.26297338139624</c:v>
                      </c:pt>
                      <c:pt idx="19">
                        <c:v>23.248770671343262</c:v>
                      </c:pt>
                      <c:pt idx="20">
                        <c:v>23.628798941128299</c:v>
                      </c:pt>
                      <c:pt idx="21">
                        <c:v>22.937699988342729</c:v>
                      </c:pt>
                      <c:pt idx="22">
                        <c:v>13.057770567600608</c:v>
                      </c:pt>
                      <c:pt idx="23">
                        <c:v>16.686911588717443</c:v>
                      </c:pt>
                      <c:pt idx="24">
                        <c:v>14.8282769339559</c:v>
                      </c:pt>
                      <c:pt idx="25">
                        <c:v>15.739011327359433</c:v>
                      </c:pt>
                      <c:pt idx="26">
                        <c:v>19.633231760809728</c:v>
                      </c:pt>
                      <c:pt idx="27">
                        <c:v>16.682021984440372</c:v>
                      </c:pt>
                      <c:pt idx="28">
                        <c:v>17.580535243151111</c:v>
                      </c:pt>
                      <c:pt idx="29">
                        <c:v>26.134139184061908</c:v>
                      </c:pt>
                      <c:pt idx="30">
                        <c:v>20.836821677923862</c:v>
                      </c:pt>
                      <c:pt idx="31">
                        <c:v>18.908327175624329</c:v>
                      </c:pt>
                      <c:pt idx="32">
                        <c:v>20.691312056037614</c:v>
                      </c:pt>
                      <c:pt idx="33">
                        <c:v>19.676266713012279</c:v>
                      </c:pt>
                      <c:pt idx="34">
                        <c:v>20.93996000477804</c:v>
                      </c:pt>
                      <c:pt idx="35">
                        <c:v>25.761143692227545</c:v>
                      </c:pt>
                      <c:pt idx="36">
                        <c:v>28.609466092635103</c:v>
                      </c:pt>
                      <c:pt idx="37">
                        <c:v>27.741255251214188</c:v>
                      </c:pt>
                      <c:pt idx="38">
                        <c:v>30.593531610161854</c:v>
                      </c:pt>
                      <c:pt idx="39">
                        <c:v>32.749778983229255</c:v>
                      </c:pt>
                      <c:pt idx="40">
                        <c:v>33.308213657718724</c:v>
                      </c:pt>
                      <c:pt idx="41">
                        <c:v>33.168796894841087</c:v>
                      </c:pt>
                      <c:pt idx="42">
                        <c:v>33.587778871743367</c:v>
                      </c:pt>
                      <c:pt idx="43">
                        <c:v>33.199882733159775</c:v>
                      </c:pt>
                      <c:pt idx="44">
                        <c:v>21.404257835844746</c:v>
                      </c:pt>
                      <c:pt idx="45">
                        <c:v>17.710451814022271</c:v>
                      </c:pt>
                      <c:pt idx="46">
                        <c:v>18.697085765603251</c:v>
                      </c:pt>
                      <c:pt idx="47">
                        <c:v>21.68734743317318</c:v>
                      </c:pt>
                      <c:pt idx="48">
                        <c:v>20.884657590596227</c:v>
                      </c:pt>
                      <c:pt idx="49">
                        <c:v>19.888445696846997</c:v>
                      </c:pt>
                      <c:pt idx="50">
                        <c:v>20.982113900775843</c:v>
                      </c:pt>
                      <c:pt idx="51">
                        <c:v>20.490509219923148</c:v>
                      </c:pt>
                      <c:pt idx="52">
                        <c:v>23.519248417240426</c:v>
                      </c:pt>
                      <c:pt idx="53">
                        <c:v>25.092419850599757</c:v>
                      </c:pt>
                      <c:pt idx="54">
                        <c:v>22.557135411945456</c:v>
                      </c:pt>
                      <c:pt idx="55">
                        <c:v>29.807117937713272</c:v>
                      </c:pt>
                      <c:pt idx="56">
                        <c:v>29.20239854431777</c:v>
                      </c:pt>
                      <c:pt idx="57">
                        <c:v>31.248945353563769</c:v>
                      </c:pt>
                      <c:pt idx="58">
                        <c:v>33.791683692780417</c:v>
                      </c:pt>
                      <c:pt idx="59">
                        <c:v>32.36320136749336</c:v>
                      </c:pt>
                      <c:pt idx="60">
                        <c:v>22.639488143563081</c:v>
                      </c:pt>
                      <c:pt idx="61">
                        <c:v>25.043963163839024</c:v>
                      </c:pt>
                      <c:pt idx="62">
                        <c:v>25.81598244607121</c:v>
                      </c:pt>
                      <c:pt idx="63">
                        <c:v>28.697728799784041</c:v>
                      </c:pt>
                      <c:pt idx="64">
                        <c:v>28.353090252958808</c:v>
                      </c:pt>
                      <c:pt idx="65">
                        <c:v>23.926361801245054</c:v>
                      </c:pt>
                      <c:pt idx="66">
                        <c:v>27.985094346265505</c:v>
                      </c:pt>
                      <c:pt idx="67">
                        <c:v>27.646577844263479</c:v>
                      </c:pt>
                      <c:pt idx="68">
                        <c:v>21.909795443183185</c:v>
                      </c:pt>
                      <c:pt idx="69">
                        <c:v>25.033679836786732</c:v>
                      </c:pt>
                      <c:pt idx="70">
                        <c:v>25.412664803472282</c:v>
                      </c:pt>
                      <c:pt idx="71">
                        <c:v>23.985819028724247</c:v>
                      </c:pt>
                      <c:pt idx="72">
                        <c:v>29.809201995032183</c:v>
                      </c:pt>
                      <c:pt idx="73">
                        <c:v>33.055903583729496</c:v>
                      </c:pt>
                      <c:pt idx="74">
                        <c:v>35.344555643840792</c:v>
                      </c:pt>
                      <c:pt idx="75">
                        <c:v>34.833827788273197</c:v>
                      </c:pt>
                      <c:pt idx="76">
                        <c:v>29.679315663489749</c:v>
                      </c:pt>
                      <c:pt idx="77">
                        <c:v>33.026017136215813</c:v>
                      </c:pt>
                      <c:pt idx="78">
                        <c:v>31.658569764352787</c:v>
                      </c:pt>
                      <c:pt idx="79">
                        <c:v>25.832221554401325</c:v>
                      </c:pt>
                      <c:pt idx="80">
                        <c:v>31.180690896508739</c:v>
                      </c:pt>
                      <c:pt idx="81">
                        <c:v>18.198094524568649</c:v>
                      </c:pt>
                      <c:pt idx="82">
                        <c:v>12.865608423766608</c:v>
                      </c:pt>
                      <c:pt idx="83">
                        <c:v>13.450862523671729</c:v>
                      </c:pt>
                      <c:pt idx="84">
                        <c:v>21.110074475720001</c:v>
                      </c:pt>
                      <c:pt idx="85">
                        <c:v>19.441177761246632</c:v>
                      </c:pt>
                      <c:pt idx="86">
                        <c:v>16.999487167468882</c:v>
                      </c:pt>
                      <c:pt idx="87">
                        <c:v>15.667669695048998</c:v>
                      </c:pt>
                      <c:pt idx="88">
                        <c:v>19.158342468803266</c:v>
                      </c:pt>
                      <c:pt idx="89">
                        <c:v>23.253275039995838</c:v>
                      </c:pt>
                      <c:pt idx="90">
                        <c:v>23.072266987884547</c:v>
                      </c:pt>
                      <c:pt idx="91">
                        <c:v>23.691460841641021</c:v>
                      </c:pt>
                      <c:pt idx="92">
                        <c:v>24.932148456265768</c:v>
                      </c:pt>
                      <c:pt idx="93">
                        <c:v>25.64245564856466</c:v>
                      </c:pt>
                      <c:pt idx="94">
                        <c:v>30.525517410185508</c:v>
                      </c:pt>
                      <c:pt idx="95">
                        <c:v>30.234493705019066</c:v>
                      </c:pt>
                      <c:pt idx="96">
                        <c:v>21.137369888957124</c:v>
                      </c:pt>
                      <c:pt idx="97">
                        <c:v>23.525051550250282</c:v>
                      </c:pt>
                      <c:pt idx="98">
                        <c:v>19.064586334298198</c:v>
                      </c:pt>
                      <c:pt idx="99">
                        <c:v>20.614618032759868</c:v>
                      </c:pt>
                      <c:pt idx="100">
                        <c:v>25.040203113145587</c:v>
                      </c:pt>
                      <c:pt idx="101">
                        <c:v>24.645767350199257</c:v>
                      </c:pt>
                      <c:pt idx="102">
                        <c:v>24.731795155664198</c:v>
                      </c:pt>
                      <c:pt idx="103">
                        <c:v>26.63347241756863</c:v>
                      </c:pt>
                      <c:pt idx="104">
                        <c:v>23.438695440315911</c:v>
                      </c:pt>
                      <c:pt idx="105">
                        <c:v>23.871592582169487</c:v>
                      </c:pt>
                      <c:pt idx="106">
                        <c:v>27.345422693734307</c:v>
                      </c:pt>
                      <c:pt idx="107">
                        <c:v>22.480186873615679</c:v>
                      </c:pt>
                      <c:pt idx="108">
                        <c:v>16.350033836111404</c:v>
                      </c:pt>
                      <c:pt idx="109">
                        <c:v>14.049550010234015</c:v>
                      </c:pt>
                      <c:pt idx="110">
                        <c:v>15.7380559464849</c:v>
                      </c:pt>
                      <c:pt idx="111">
                        <c:v>16.580910965516598</c:v>
                      </c:pt>
                      <c:pt idx="112">
                        <c:v>18.052546967217893</c:v>
                      </c:pt>
                      <c:pt idx="113">
                        <c:v>21.117762598405669</c:v>
                      </c:pt>
                      <c:pt idx="114">
                        <c:v>20.793828795703423</c:v>
                      </c:pt>
                      <c:pt idx="115">
                        <c:v>24.289642005277145</c:v>
                      </c:pt>
                      <c:pt idx="116">
                        <c:v>24.287496244431367</c:v>
                      </c:pt>
                      <c:pt idx="117">
                        <c:v>26.603519194133739</c:v>
                      </c:pt>
                      <c:pt idx="118">
                        <c:v>27.351245948404102</c:v>
                      </c:pt>
                      <c:pt idx="119">
                        <c:v>26.310179622816332</c:v>
                      </c:pt>
                      <c:pt idx="120">
                        <c:v>67.073651215393397</c:v>
                      </c:pt>
                      <c:pt idx="121">
                        <c:v>25.417170240885515</c:v>
                      </c:pt>
                      <c:pt idx="122">
                        <c:v>25.646997578081368</c:v>
                      </c:pt>
                      <c:pt idx="123">
                        <c:v>25.303715787646649</c:v>
                      </c:pt>
                      <c:pt idx="124">
                        <c:v>24.881299184188748</c:v>
                      </c:pt>
                      <c:pt idx="125">
                        <c:v>21.649210470659174</c:v>
                      </c:pt>
                      <c:pt idx="126">
                        <c:v>19.496469040392579</c:v>
                      </c:pt>
                      <c:pt idx="127">
                        <c:v>22.312278644117907</c:v>
                      </c:pt>
                      <c:pt idx="128">
                        <c:v>24.210707403749392</c:v>
                      </c:pt>
                      <c:pt idx="129">
                        <c:v>22.233971846850881</c:v>
                      </c:pt>
                      <c:pt idx="130">
                        <c:v>22.180506807836075</c:v>
                      </c:pt>
                      <c:pt idx="131">
                        <c:v>22.836680838033253</c:v>
                      </c:pt>
                      <c:pt idx="132">
                        <c:v>22.628896174994317</c:v>
                      </c:pt>
                      <c:pt idx="133">
                        <c:v>23.375227284266984</c:v>
                      </c:pt>
                      <c:pt idx="134">
                        <c:v>21.896951779997408</c:v>
                      </c:pt>
                      <c:pt idx="135">
                        <c:v>14.047048292330985</c:v>
                      </c:pt>
                      <c:pt idx="136">
                        <c:v>19.706213504695654</c:v>
                      </c:pt>
                      <c:pt idx="137">
                        <c:v>24.686069500956489</c:v>
                      </c:pt>
                      <c:pt idx="138">
                        <c:v>22.315769472351722</c:v>
                      </c:pt>
                      <c:pt idx="139">
                        <c:v>19.847452804725844</c:v>
                      </c:pt>
                      <c:pt idx="140">
                        <c:v>20.988655588415241</c:v>
                      </c:pt>
                      <c:pt idx="141">
                        <c:v>19.681055115774409</c:v>
                      </c:pt>
                      <c:pt idx="142">
                        <c:v>20.015496760434985</c:v>
                      </c:pt>
                      <c:pt idx="143">
                        <c:v>19.452786693249291</c:v>
                      </c:pt>
                      <c:pt idx="144">
                        <c:v>11.79254881235847</c:v>
                      </c:pt>
                      <c:pt idx="145">
                        <c:v>10.636202935104816</c:v>
                      </c:pt>
                      <c:pt idx="146">
                        <c:v>8.6327153356329642</c:v>
                      </c:pt>
                      <c:pt idx="147">
                        <c:v>12.30867212496339</c:v>
                      </c:pt>
                      <c:pt idx="148">
                        <c:v>10.838428179800074</c:v>
                      </c:pt>
                      <c:pt idx="149">
                        <c:v>6.1593909927659567</c:v>
                      </c:pt>
                      <c:pt idx="150">
                        <c:v>6.4055440334938583</c:v>
                      </c:pt>
                      <c:pt idx="151">
                        <c:v>7.4106092127814538</c:v>
                      </c:pt>
                      <c:pt idx="152">
                        <c:v>8.5051876310813199</c:v>
                      </c:pt>
                      <c:pt idx="153">
                        <c:v>11.051641262941768</c:v>
                      </c:pt>
                      <c:pt idx="154">
                        <c:v>11.910558490517683</c:v>
                      </c:pt>
                      <c:pt idx="155">
                        <c:v>11.628342676169495</c:v>
                      </c:pt>
                      <c:pt idx="156">
                        <c:v>11.927761793856375</c:v>
                      </c:pt>
                      <c:pt idx="157">
                        <c:v>13.263680286653232</c:v>
                      </c:pt>
                      <c:pt idx="158">
                        <c:v>13.300477301761855</c:v>
                      </c:pt>
                      <c:pt idx="159">
                        <c:v>12.855379584511919</c:v>
                      </c:pt>
                      <c:pt idx="160">
                        <c:v>14.295828862362155</c:v>
                      </c:pt>
                      <c:pt idx="161">
                        <c:v>16.441227836155267</c:v>
                      </c:pt>
                      <c:pt idx="162">
                        <c:v>14.145444587870482</c:v>
                      </c:pt>
                      <c:pt idx="163">
                        <c:v>14.640555690938303</c:v>
                      </c:pt>
                      <c:pt idx="164">
                        <c:v>12.084352247299025</c:v>
                      </c:pt>
                      <c:pt idx="165">
                        <c:v>14.876307908596077</c:v>
                      </c:pt>
                      <c:pt idx="166">
                        <c:v>16.587741758951452</c:v>
                      </c:pt>
                      <c:pt idx="167">
                        <c:v>15.946377069668502</c:v>
                      </c:pt>
                      <c:pt idx="168">
                        <c:v>15.747142249066226</c:v>
                      </c:pt>
                      <c:pt idx="169">
                        <c:v>12.340067201787999</c:v>
                      </c:pt>
                      <c:pt idx="170">
                        <c:v>12.808012038965211</c:v>
                      </c:pt>
                      <c:pt idx="171">
                        <c:v>11.637088265388671</c:v>
                      </c:pt>
                      <c:pt idx="172">
                        <c:v>10.645637138677973</c:v>
                      </c:pt>
                      <c:pt idx="173">
                        <c:v>13.942976923498614</c:v>
                      </c:pt>
                      <c:pt idx="174">
                        <c:v>18.396301705651339</c:v>
                      </c:pt>
                      <c:pt idx="175">
                        <c:v>17.991707507527519</c:v>
                      </c:pt>
                      <c:pt idx="176">
                        <c:v>14.675096570297697</c:v>
                      </c:pt>
                      <c:pt idx="177">
                        <c:v>17.094622724417299</c:v>
                      </c:pt>
                      <c:pt idx="178">
                        <c:v>17.092565373689638</c:v>
                      </c:pt>
                      <c:pt idx="179">
                        <c:v>14.389502661658183</c:v>
                      </c:pt>
                      <c:pt idx="180">
                        <c:v>17.506286803564635</c:v>
                      </c:pt>
                      <c:pt idx="181">
                        <c:v>9.021549499541111</c:v>
                      </c:pt>
                      <c:pt idx="182">
                        <c:v>4.0687068737981384</c:v>
                      </c:pt>
                      <c:pt idx="183">
                        <c:v>7.4945596642151928</c:v>
                      </c:pt>
                      <c:pt idx="184">
                        <c:v>12.268458250703606</c:v>
                      </c:pt>
                      <c:pt idx="185">
                        <c:v>16.69430188614913</c:v>
                      </c:pt>
                      <c:pt idx="186">
                        <c:v>15.127719418296017</c:v>
                      </c:pt>
                      <c:pt idx="187">
                        <c:v>11.599636045776005</c:v>
                      </c:pt>
                      <c:pt idx="188">
                        <c:v>13.210551745141126</c:v>
                      </c:pt>
                      <c:pt idx="189">
                        <c:v>9.4031861312639773</c:v>
                      </c:pt>
                      <c:pt idx="190">
                        <c:v>5.6223330480618419</c:v>
                      </c:pt>
                      <c:pt idx="191">
                        <c:v>9.9808332978566359</c:v>
                      </c:pt>
                      <c:pt idx="192">
                        <c:v>15.513131092688228</c:v>
                      </c:pt>
                      <c:pt idx="193">
                        <c:v>13.061961860767381</c:v>
                      </c:pt>
                      <c:pt idx="194">
                        <c:v>11.547015797403073</c:v>
                      </c:pt>
                      <c:pt idx="195">
                        <c:v>14.314718029585901</c:v>
                      </c:pt>
                      <c:pt idx="196">
                        <c:v>11.095392408272833</c:v>
                      </c:pt>
                      <c:pt idx="197">
                        <c:v>10.842810003045114</c:v>
                      </c:pt>
                      <c:pt idx="198">
                        <c:v>11.564576692376944</c:v>
                      </c:pt>
                      <c:pt idx="199">
                        <c:v>11.681977821074613</c:v>
                      </c:pt>
                      <c:pt idx="200">
                        <c:v>10.079748726664471</c:v>
                      </c:pt>
                      <c:pt idx="201">
                        <c:v>9.5811959374870277</c:v>
                      </c:pt>
                      <c:pt idx="202">
                        <c:v>9.5356223765913324</c:v>
                      </c:pt>
                      <c:pt idx="203">
                        <c:v>11.421946944470614</c:v>
                      </c:pt>
                      <c:pt idx="204">
                        <c:v>11.327913044528088</c:v>
                      </c:pt>
                      <c:pt idx="205">
                        <c:v>10.633032292038264</c:v>
                      </c:pt>
                      <c:pt idx="206">
                        <c:v>11.071063865497402</c:v>
                      </c:pt>
                      <c:pt idx="207">
                        <c:v>11.44050383303701</c:v>
                      </c:pt>
                      <c:pt idx="208">
                        <c:v>12.495142821658229</c:v>
                      </c:pt>
                      <c:pt idx="209">
                        <c:v>15.207597415729428</c:v>
                      </c:pt>
                      <c:pt idx="210">
                        <c:v>14.989669619840621</c:v>
                      </c:pt>
                      <c:pt idx="211">
                        <c:v>8.0261685131410481</c:v>
                      </c:pt>
                      <c:pt idx="212">
                        <c:v>12.232214308835733</c:v>
                      </c:pt>
                      <c:pt idx="213">
                        <c:v>12.734931308725756</c:v>
                      </c:pt>
                      <c:pt idx="214">
                        <c:v>13.835091600401656</c:v>
                      </c:pt>
                      <c:pt idx="215">
                        <c:v>16.804741302956273</c:v>
                      </c:pt>
                      <c:pt idx="216">
                        <c:v>17.314451709597339</c:v>
                      </c:pt>
                      <c:pt idx="217">
                        <c:v>18.782704656875509</c:v>
                      </c:pt>
                      <c:pt idx="218">
                        <c:v>18.487673258123042</c:v>
                      </c:pt>
                      <c:pt idx="219">
                        <c:v>22.717694920907995</c:v>
                      </c:pt>
                      <c:pt idx="220">
                        <c:v>22.144620971522684</c:v>
                      </c:pt>
                      <c:pt idx="221">
                        <c:v>10.855667603140756</c:v>
                      </c:pt>
                      <c:pt idx="222">
                        <c:v>4.0350285423756391</c:v>
                      </c:pt>
                      <c:pt idx="223">
                        <c:v>4.2991473605659341</c:v>
                      </c:pt>
                      <c:pt idx="224">
                        <c:v>5.8482287060596745</c:v>
                      </c:pt>
                      <c:pt idx="225">
                        <c:v>4.645459862166736</c:v>
                      </c:pt>
                      <c:pt idx="226">
                        <c:v>6.788184141993467</c:v>
                      </c:pt>
                      <c:pt idx="227">
                        <c:v>13.981561374948617</c:v>
                      </c:pt>
                      <c:pt idx="228">
                        <c:v>18.554156006965197</c:v>
                      </c:pt>
                      <c:pt idx="229">
                        <c:v>18.532759378237778</c:v>
                      </c:pt>
                      <c:pt idx="230">
                        <c:v>18.579717911484245</c:v>
                      </c:pt>
                      <c:pt idx="231">
                        <c:v>20.756754939176254</c:v>
                      </c:pt>
                      <c:pt idx="232">
                        <c:v>21.377116013030768</c:v>
                      </c:pt>
                      <c:pt idx="233">
                        <c:v>19.126009866478348</c:v>
                      </c:pt>
                      <c:pt idx="234">
                        <c:v>22.796001585559956</c:v>
                      </c:pt>
                      <c:pt idx="235">
                        <c:v>26.59439214259486</c:v>
                      </c:pt>
                      <c:pt idx="236">
                        <c:v>11.726729433178033</c:v>
                      </c:pt>
                      <c:pt idx="237">
                        <c:v>5.4056255742445583</c:v>
                      </c:pt>
                      <c:pt idx="238">
                        <c:v>5.2327140416607998</c:v>
                      </c:pt>
                      <c:pt idx="239">
                        <c:v>5.8916720340019531</c:v>
                      </c:pt>
                      <c:pt idx="240">
                        <c:v>9.1249382971320454</c:v>
                      </c:pt>
                      <c:pt idx="241">
                        <c:v>14.873154420734636</c:v>
                      </c:pt>
                      <c:pt idx="242">
                        <c:v>19.0603367336983</c:v>
                      </c:pt>
                      <c:pt idx="243">
                        <c:v>19.744684914098372</c:v>
                      </c:pt>
                      <c:pt idx="244">
                        <c:v>21.683619453780516</c:v>
                      </c:pt>
                      <c:pt idx="245">
                        <c:v>22.272896506155195</c:v>
                      </c:pt>
                      <c:pt idx="246">
                        <c:v>23.512637263730674</c:v>
                      </c:pt>
                      <c:pt idx="247">
                        <c:v>27.430200508065074</c:v>
                      </c:pt>
                      <c:pt idx="248">
                        <c:v>22.84690181329022</c:v>
                      </c:pt>
                      <c:pt idx="249">
                        <c:v>16.088795959713647</c:v>
                      </c:pt>
                      <c:pt idx="250">
                        <c:v>23.3173234681074</c:v>
                      </c:pt>
                      <c:pt idx="251">
                        <c:v>31.20311901680255</c:v>
                      </c:pt>
                      <c:pt idx="252">
                        <c:v>31.542797362088709</c:v>
                      </c:pt>
                      <c:pt idx="253">
                        <c:v>28.164149650067422</c:v>
                      </c:pt>
                      <c:pt idx="254">
                        <c:v>29.259600316198313</c:v>
                      </c:pt>
                      <c:pt idx="255">
                        <c:v>29.453824829856327</c:v>
                      </c:pt>
                      <c:pt idx="256">
                        <c:v>27.829314513405805</c:v>
                      </c:pt>
                      <c:pt idx="257">
                        <c:v>33.085224784250777</c:v>
                      </c:pt>
                      <c:pt idx="258">
                        <c:v>19.900632553723984</c:v>
                      </c:pt>
                      <c:pt idx="259">
                        <c:v>10.116715372944048</c:v>
                      </c:pt>
                      <c:pt idx="260">
                        <c:v>12.301668182821683</c:v>
                      </c:pt>
                      <c:pt idx="261">
                        <c:v>14.107694853179789</c:v>
                      </c:pt>
                      <c:pt idx="262">
                        <c:v>19.825686140757607</c:v>
                      </c:pt>
                      <c:pt idx="263">
                        <c:v>28.867324619731168</c:v>
                      </c:pt>
                      <c:pt idx="264">
                        <c:v>18.887924643930301</c:v>
                      </c:pt>
                      <c:pt idx="265">
                        <c:v>27.327503679063717</c:v>
                      </c:pt>
                      <c:pt idx="266">
                        <c:v>32.043791702358817</c:v>
                      </c:pt>
                      <c:pt idx="267">
                        <c:v>35.367634303460115</c:v>
                      </c:pt>
                      <c:pt idx="268">
                        <c:v>37.311214227017338</c:v>
                      </c:pt>
                      <c:pt idx="269">
                        <c:v>41.870125086579044</c:v>
                      </c:pt>
                      <c:pt idx="270">
                        <c:v>25.107037053064332</c:v>
                      </c:pt>
                      <c:pt idx="271">
                        <c:v>16.631410332870043</c:v>
                      </c:pt>
                      <c:pt idx="272">
                        <c:v>21.928597537350715</c:v>
                      </c:pt>
                      <c:pt idx="273">
                        <c:v>27.062979166027301</c:v>
                      </c:pt>
                      <c:pt idx="274">
                        <c:v>35.622710136103755</c:v>
                      </c:pt>
                      <c:pt idx="275">
                        <c:v>41.450996964222973</c:v>
                      </c:pt>
                      <c:pt idx="276">
                        <c:v>21.044928625626802</c:v>
                      </c:pt>
                      <c:pt idx="277">
                        <c:v>13.551005221394705</c:v>
                      </c:pt>
                      <c:pt idx="278">
                        <c:v>17.680435585263265</c:v>
                      </c:pt>
                      <c:pt idx="279">
                        <c:v>18.986078877488698</c:v>
                      </c:pt>
                      <c:pt idx="280">
                        <c:v>21.375038467680355</c:v>
                      </c:pt>
                      <c:pt idx="281">
                        <c:v>27.999207952881541</c:v>
                      </c:pt>
                      <c:pt idx="282">
                        <c:v>18.119945287978666</c:v>
                      </c:pt>
                      <c:pt idx="283">
                        <c:v>18.837987690584288</c:v>
                      </c:pt>
                      <c:pt idx="284">
                        <c:v>23.092157467102314</c:v>
                      </c:pt>
                      <c:pt idx="285">
                        <c:v>22.75401140689133</c:v>
                      </c:pt>
                      <c:pt idx="286">
                        <c:v>20.674122116657443</c:v>
                      </c:pt>
                      <c:pt idx="287">
                        <c:v>21.368269141072165</c:v>
                      </c:pt>
                      <c:pt idx="288">
                        <c:v>24.797763362560737</c:v>
                      </c:pt>
                      <c:pt idx="289">
                        <c:v>25.675207344999897</c:v>
                      </c:pt>
                      <c:pt idx="290">
                        <c:v>29.983050826684092</c:v>
                      </c:pt>
                      <c:pt idx="291">
                        <c:v>22.784151582281709</c:v>
                      </c:pt>
                      <c:pt idx="292">
                        <c:v>15.698059740216777</c:v>
                      </c:pt>
                      <c:pt idx="293">
                        <c:v>14.138338911049726</c:v>
                      </c:pt>
                      <c:pt idx="294">
                        <c:v>24.347537495096326</c:v>
                      </c:pt>
                      <c:pt idx="295">
                        <c:v>30.857616653381349</c:v>
                      </c:pt>
                      <c:pt idx="296">
                        <c:v>21.103312954253511</c:v>
                      </c:pt>
                      <c:pt idx="297">
                        <c:v>24.616629453514108</c:v>
                      </c:pt>
                      <c:pt idx="298">
                        <c:v>22.772269572660594</c:v>
                      </c:pt>
                      <c:pt idx="299">
                        <c:v>29.300352139204872</c:v>
                      </c:pt>
                      <c:pt idx="300">
                        <c:v>16.083126571625311</c:v>
                      </c:pt>
                      <c:pt idx="301">
                        <c:v>17.760884344165468</c:v>
                      </c:pt>
                      <c:pt idx="302">
                        <c:v>20.790604343642954</c:v>
                      </c:pt>
                      <c:pt idx="303">
                        <c:v>21.543904619147042</c:v>
                      </c:pt>
                      <c:pt idx="304">
                        <c:v>20.871506099339996</c:v>
                      </c:pt>
                      <c:pt idx="305">
                        <c:v>21.190903761872054</c:v>
                      </c:pt>
                      <c:pt idx="306">
                        <c:v>19.602028032157367</c:v>
                      </c:pt>
                      <c:pt idx="307">
                        <c:v>16.633508910924728</c:v>
                      </c:pt>
                      <c:pt idx="308">
                        <c:v>16.908665835344486</c:v>
                      </c:pt>
                      <c:pt idx="309">
                        <c:v>21.788555694365773</c:v>
                      </c:pt>
                      <c:pt idx="310">
                        <c:v>23.598755454792059</c:v>
                      </c:pt>
                      <c:pt idx="311">
                        <c:v>17.423698911688899</c:v>
                      </c:pt>
                      <c:pt idx="312">
                        <c:v>16.216137233484801</c:v>
                      </c:pt>
                      <c:pt idx="313">
                        <c:v>16.204167000041739</c:v>
                      </c:pt>
                      <c:pt idx="314">
                        <c:v>17.416323954292885</c:v>
                      </c:pt>
                      <c:pt idx="315">
                        <c:v>21.469703743569838</c:v>
                      </c:pt>
                      <c:pt idx="316">
                        <c:v>26.110268943474413</c:v>
                      </c:pt>
                      <c:pt idx="317">
                        <c:v>14.553629277430657</c:v>
                      </c:pt>
                      <c:pt idx="318">
                        <c:v>16.104931555219125</c:v>
                      </c:pt>
                      <c:pt idx="319">
                        <c:v>19.348146364764677</c:v>
                      </c:pt>
                      <c:pt idx="320">
                        <c:v>17.555371822904966</c:v>
                      </c:pt>
                      <c:pt idx="321">
                        <c:v>21.211569785108537</c:v>
                      </c:pt>
                      <c:pt idx="322">
                        <c:v>25.760471636099776</c:v>
                      </c:pt>
                      <c:pt idx="323">
                        <c:v>26.787163614203344</c:v>
                      </c:pt>
                      <c:pt idx="324">
                        <c:v>27.352122074768836</c:v>
                      </c:pt>
                      <c:pt idx="325">
                        <c:v>24.428241612786245</c:v>
                      </c:pt>
                      <c:pt idx="326">
                        <c:v>17.277836362533414</c:v>
                      </c:pt>
                      <c:pt idx="327">
                        <c:v>19.095447917144828</c:v>
                      </c:pt>
                      <c:pt idx="328">
                        <c:v>17.376305428617208</c:v>
                      </c:pt>
                      <c:pt idx="329">
                        <c:v>21.344702021681929</c:v>
                      </c:pt>
                      <c:pt idx="330">
                        <c:v>29.531548242868187</c:v>
                      </c:pt>
                      <c:pt idx="331">
                        <c:v>32.860155284408634</c:v>
                      </c:pt>
                      <c:pt idx="332">
                        <c:v>29.048079837937426</c:v>
                      </c:pt>
                      <c:pt idx="333">
                        <c:v>23.275563186099468</c:v>
                      </c:pt>
                      <c:pt idx="334">
                        <c:v>28.885109733748333</c:v>
                      </c:pt>
                      <c:pt idx="335">
                        <c:v>33.097540862420161</c:v>
                      </c:pt>
                      <c:pt idx="336">
                        <c:v>25.951915010052829</c:v>
                      </c:pt>
                      <c:pt idx="337">
                        <c:v>18.463712881587131</c:v>
                      </c:pt>
                      <c:pt idx="338">
                        <c:v>17.192760923401003</c:v>
                      </c:pt>
                      <c:pt idx="339">
                        <c:v>21.082295607481722</c:v>
                      </c:pt>
                      <c:pt idx="340">
                        <c:v>29.937032278513438</c:v>
                      </c:pt>
                      <c:pt idx="341">
                        <c:v>34.476933781079282</c:v>
                      </c:pt>
                      <c:pt idx="342">
                        <c:v>22.043144253408784</c:v>
                      </c:pt>
                      <c:pt idx="343">
                        <c:v>23.626037518596171</c:v>
                      </c:pt>
                      <c:pt idx="344">
                        <c:v>21.030008023087767</c:v>
                      </c:pt>
                      <c:pt idx="345">
                        <c:v>18.499987346830743</c:v>
                      </c:pt>
                      <c:pt idx="346">
                        <c:v>21.218533972685957</c:v>
                      </c:pt>
                      <c:pt idx="347">
                        <c:v>21.439000608616503</c:v>
                      </c:pt>
                      <c:pt idx="348">
                        <c:v>18.377404706064439</c:v>
                      </c:pt>
                      <c:pt idx="349">
                        <c:v>24.760070488418567</c:v>
                      </c:pt>
                      <c:pt idx="350">
                        <c:v>25.76277164928652</c:v>
                      </c:pt>
                      <c:pt idx="351">
                        <c:v>22.629946019888347</c:v>
                      </c:pt>
                      <c:pt idx="352">
                        <c:v>23.96561674038967</c:v>
                      </c:pt>
                      <c:pt idx="353">
                        <c:v>27.203091810660258</c:v>
                      </c:pt>
                      <c:pt idx="354">
                        <c:v>25.466199456994797</c:v>
                      </c:pt>
                      <c:pt idx="355">
                        <c:v>19.789139740975525</c:v>
                      </c:pt>
                      <c:pt idx="356">
                        <c:v>22.850166491392525</c:v>
                      </c:pt>
                      <c:pt idx="357">
                        <c:v>22.986256893040252</c:v>
                      </c:pt>
                      <c:pt idx="358">
                        <c:v>25.413931208073265</c:v>
                      </c:pt>
                      <c:pt idx="359">
                        <c:v>25.095091878010088</c:v>
                      </c:pt>
                      <c:pt idx="360">
                        <c:v>18.966478227977838</c:v>
                      </c:pt>
                      <c:pt idx="361">
                        <c:v>19.338426102455966</c:v>
                      </c:pt>
                      <c:pt idx="362">
                        <c:v>25.692020799230814</c:v>
                      </c:pt>
                      <c:pt idx="363">
                        <c:v>20.102653486730134</c:v>
                      </c:pt>
                      <c:pt idx="364">
                        <c:v>21.741109143840468</c:v>
                      </c:pt>
                      <c:pt idx="365">
                        <c:v>25.013927287423417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EAA7-4B31-97D6-CAB28F27333E}"/>
                  </c:ext>
                </c:extLst>
              </c15:ser>
            </c15:filteredLineSeries>
          </c:ext>
        </c:extLst>
      </c:lineChart>
      <c:catAx>
        <c:axId val="1265643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5647487"/>
        <c:crosses val="autoZero"/>
        <c:auto val="1"/>
        <c:lblAlgn val="ctr"/>
        <c:lblOffset val="100"/>
        <c:noMultiLvlLbl val="0"/>
      </c:catAx>
      <c:valAx>
        <c:axId val="126564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5643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Penman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yVal>
            <c:numRef>
              <c:f>Piracicaba!$T$5:$T$371</c:f>
              <c:numCache>
                <c:formatCode>0.00</c:formatCode>
                <c:ptCount val="367"/>
                <c:pt idx="0" formatCode="General">
                  <c:v>0</c:v>
                </c:pt>
                <c:pt idx="1">
                  <c:v>5.7778797631142567</c:v>
                </c:pt>
                <c:pt idx="2">
                  <c:v>5.6233468424928468</c:v>
                </c:pt>
                <c:pt idx="3">
                  <c:v>6.0429221802838908</c:v>
                </c:pt>
                <c:pt idx="4">
                  <c:v>5.6004678520321649</c:v>
                </c:pt>
                <c:pt idx="5">
                  <c:v>6.4616345196180527</c:v>
                </c:pt>
                <c:pt idx="6">
                  <c:v>7.281432409072595</c:v>
                </c:pt>
                <c:pt idx="7">
                  <c:v>7.8016440763536581</c:v>
                </c:pt>
                <c:pt idx="8">
                  <c:v>5.9607985517311306</c:v>
                </c:pt>
                <c:pt idx="9">
                  <c:v>7.317869612139229</c:v>
                </c:pt>
                <c:pt idx="10">
                  <c:v>6.45422436659479</c:v>
                </c:pt>
                <c:pt idx="11">
                  <c:v>5.4051273406298472</c:v>
                </c:pt>
                <c:pt idx="12">
                  <c:v>3.3525459438975238</c:v>
                </c:pt>
                <c:pt idx="13">
                  <c:v>3.8451994476393749</c:v>
                </c:pt>
                <c:pt idx="14">
                  <c:v>6.593168187875948</c:v>
                </c:pt>
                <c:pt idx="15">
                  <c:v>5.1830822289430278</c:v>
                </c:pt>
                <c:pt idx="16">
                  <c:v>6.4328404327967643</c:v>
                </c:pt>
                <c:pt idx="17">
                  <c:v>6.8148451654378954</c:v>
                </c:pt>
                <c:pt idx="18">
                  <c:v>7.9329090828151836</c:v>
                </c:pt>
                <c:pt idx="19">
                  <c:v>6.4902868206341653</c:v>
                </c:pt>
                <c:pt idx="20">
                  <c:v>4.6584255037531994</c:v>
                </c:pt>
                <c:pt idx="21">
                  <c:v>5.024933553337724</c:v>
                </c:pt>
                <c:pt idx="22">
                  <c:v>4.5292994010019703</c:v>
                </c:pt>
                <c:pt idx="23">
                  <c:v>1.3035975226042926</c:v>
                </c:pt>
                <c:pt idx="24">
                  <c:v>4.6393904591386192</c:v>
                </c:pt>
                <c:pt idx="25">
                  <c:v>3.9857758604616493</c:v>
                </c:pt>
                <c:pt idx="26">
                  <c:v>4.9620943895011198</c:v>
                </c:pt>
                <c:pt idx="27">
                  <c:v>5.6008152732784078</c:v>
                </c:pt>
                <c:pt idx="28">
                  <c:v>4.3468004657072976</c:v>
                </c:pt>
                <c:pt idx="29">
                  <c:v>4.9807827536192653</c:v>
                </c:pt>
                <c:pt idx="30">
                  <c:v>6.2682850698338308</c:v>
                </c:pt>
                <c:pt idx="31">
                  <c:v>5.7080765267669484</c:v>
                </c:pt>
                <c:pt idx="32">
                  <c:v>5.3008930089015278</c:v>
                </c:pt>
                <c:pt idx="33">
                  <c:v>4.3151922349224039</c:v>
                </c:pt>
                <c:pt idx="34">
                  <c:v>3.3988511831366215</c:v>
                </c:pt>
                <c:pt idx="35">
                  <c:v>3.1544755323655918</c:v>
                </c:pt>
                <c:pt idx="36">
                  <c:v>5.8025485079652173</c:v>
                </c:pt>
                <c:pt idx="37">
                  <c:v>5.8809044498465264</c:v>
                </c:pt>
                <c:pt idx="38">
                  <c:v>4.9300101141439709</c:v>
                </c:pt>
                <c:pt idx="39">
                  <c:v>6.3698642902933962</c:v>
                </c:pt>
                <c:pt idx="40">
                  <c:v>6.3529751477031251</c:v>
                </c:pt>
                <c:pt idx="41">
                  <c:v>6.8018387488286844</c:v>
                </c:pt>
                <c:pt idx="42">
                  <c:v>6.6741765528893255</c:v>
                </c:pt>
                <c:pt idx="43">
                  <c:v>5.2547146469396102</c:v>
                </c:pt>
                <c:pt idx="44">
                  <c:v>6.8608608088421521</c:v>
                </c:pt>
                <c:pt idx="45">
                  <c:v>3.3143215545198372</c:v>
                </c:pt>
                <c:pt idx="46">
                  <c:v>1.6551309856557015</c:v>
                </c:pt>
                <c:pt idx="47">
                  <c:v>3.6507538295245956</c:v>
                </c:pt>
                <c:pt idx="48">
                  <c:v>4.2687058386429344</c:v>
                </c:pt>
                <c:pt idx="49">
                  <c:v>5.3991278350901108</c:v>
                </c:pt>
                <c:pt idx="50">
                  <c:v>5.7174079785319405</c:v>
                </c:pt>
                <c:pt idx="51">
                  <c:v>4.0801113058019425</c:v>
                </c:pt>
                <c:pt idx="52">
                  <c:v>4.2739604375521614</c:v>
                </c:pt>
                <c:pt idx="53">
                  <c:v>4.7759484664341683</c:v>
                </c:pt>
                <c:pt idx="54">
                  <c:v>4.5002998845043161</c:v>
                </c:pt>
                <c:pt idx="55">
                  <c:v>2.911114548873845</c:v>
                </c:pt>
                <c:pt idx="56">
                  <c:v>6.0776635840856512</c:v>
                </c:pt>
                <c:pt idx="57">
                  <c:v>4.9914699567811471</c:v>
                </c:pt>
                <c:pt idx="58">
                  <c:v>5.9376250761740748</c:v>
                </c:pt>
                <c:pt idx="59">
                  <c:v>5.502145004769214</c:v>
                </c:pt>
                <c:pt idx="60">
                  <c:v>6.0428818884428148</c:v>
                </c:pt>
                <c:pt idx="61">
                  <c:v>5.3305687713090277</c:v>
                </c:pt>
                <c:pt idx="62">
                  <c:v>5.5110490066204179</c:v>
                </c:pt>
                <c:pt idx="63">
                  <c:v>6.1758492011246275</c:v>
                </c:pt>
                <c:pt idx="64">
                  <c:v>6.0949981514682925</c:v>
                </c:pt>
                <c:pt idx="65">
                  <c:v>5.5956692463724771</c:v>
                </c:pt>
                <c:pt idx="66">
                  <c:v>4.3179992108435137</c:v>
                </c:pt>
                <c:pt idx="67">
                  <c:v>5.0027538016172386</c:v>
                </c:pt>
                <c:pt idx="68">
                  <c:v>5.3711746374199043</c:v>
                </c:pt>
                <c:pt idx="69">
                  <c:v>4.18603384255597</c:v>
                </c:pt>
                <c:pt idx="70">
                  <c:v>3.8410880590307515</c:v>
                </c:pt>
                <c:pt idx="71">
                  <c:v>5.2125507591925748</c:v>
                </c:pt>
                <c:pt idx="72">
                  <c:v>6.7784724476635034</c:v>
                </c:pt>
                <c:pt idx="73">
                  <c:v>6.5671873016592812</c:v>
                </c:pt>
                <c:pt idx="74">
                  <c:v>6.648999747302776</c:v>
                </c:pt>
                <c:pt idx="75">
                  <c:v>6.3460224443032764</c:v>
                </c:pt>
                <c:pt idx="76">
                  <c:v>6.0009348507944029</c:v>
                </c:pt>
                <c:pt idx="77">
                  <c:v>6.0328333177624813</c:v>
                </c:pt>
                <c:pt idx="78">
                  <c:v>4.250285383022951</c:v>
                </c:pt>
                <c:pt idx="79">
                  <c:v>4.4355652599690547</c:v>
                </c:pt>
                <c:pt idx="80">
                  <c:v>4.8212168514562936</c:v>
                </c:pt>
                <c:pt idx="81">
                  <c:v>5.6519165495554624</c:v>
                </c:pt>
                <c:pt idx="82">
                  <c:v>2.313356172881889</c:v>
                </c:pt>
                <c:pt idx="83">
                  <c:v>1.3664856153782836</c:v>
                </c:pt>
                <c:pt idx="84">
                  <c:v>1.8027339681521271</c:v>
                </c:pt>
                <c:pt idx="85">
                  <c:v>4.9627570344574412</c:v>
                </c:pt>
                <c:pt idx="86">
                  <c:v>2.9602403995741935</c:v>
                </c:pt>
                <c:pt idx="87">
                  <c:v>1.7389528415117008</c:v>
                </c:pt>
                <c:pt idx="88">
                  <c:v>1.5563409291810717</c:v>
                </c:pt>
                <c:pt idx="89">
                  <c:v>2.5533240983280776</c:v>
                </c:pt>
                <c:pt idx="90">
                  <c:v>4.5730989531298372</c:v>
                </c:pt>
                <c:pt idx="91">
                  <c:v>5.2939227319466715</c:v>
                </c:pt>
                <c:pt idx="92">
                  <c:v>4.8844932096309233</c:v>
                </c:pt>
                <c:pt idx="93">
                  <c:v>3.9679102450972406</c:v>
                </c:pt>
                <c:pt idx="94">
                  <c:v>5.2937820721298952</c:v>
                </c:pt>
                <c:pt idx="95">
                  <c:v>5.8066101815028039</c:v>
                </c:pt>
                <c:pt idx="96">
                  <c:v>5.1003579398296237</c:v>
                </c:pt>
                <c:pt idx="97">
                  <c:v>4.9208593275240782</c:v>
                </c:pt>
                <c:pt idx="98">
                  <c:v>5.3102486563559035</c:v>
                </c:pt>
                <c:pt idx="99">
                  <c:v>2.1265304396431608</c:v>
                </c:pt>
                <c:pt idx="100">
                  <c:v>3.9675030617251128</c:v>
                </c:pt>
                <c:pt idx="101">
                  <c:v>4.773205450810825</c:v>
                </c:pt>
                <c:pt idx="102">
                  <c:v>4.0087964530498406</c:v>
                </c:pt>
                <c:pt idx="103">
                  <c:v>4.172145682035449</c:v>
                </c:pt>
                <c:pt idx="104">
                  <c:v>4.8797404266625479</c:v>
                </c:pt>
                <c:pt idx="105">
                  <c:v>3.0071962737349733</c:v>
                </c:pt>
                <c:pt idx="106">
                  <c:v>3.6045356954021637</c:v>
                </c:pt>
                <c:pt idx="107">
                  <c:v>4.3825810761883011</c:v>
                </c:pt>
                <c:pt idx="108">
                  <c:v>2.66606353253158</c:v>
                </c:pt>
                <c:pt idx="109">
                  <c:v>2.5569736582683706</c:v>
                </c:pt>
                <c:pt idx="110">
                  <c:v>4.6095738353718829</c:v>
                </c:pt>
                <c:pt idx="111">
                  <c:v>5.4516775415603549</c:v>
                </c:pt>
                <c:pt idx="112">
                  <c:v>4.6773924832608049</c:v>
                </c:pt>
                <c:pt idx="113">
                  <c:v>5.0980609784122413</c:v>
                </c:pt>
                <c:pt idx="114">
                  <c:v>4.9498972811829924</c:v>
                </c:pt>
                <c:pt idx="115">
                  <c:v>4.6659446331166761</c:v>
                </c:pt>
                <c:pt idx="116">
                  <c:v>4.9670896786112655</c:v>
                </c:pt>
                <c:pt idx="117">
                  <c:v>4.7644539576605647</c:v>
                </c:pt>
                <c:pt idx="118">
                  <c:v>5.1629508027477709</c:v>
                </c:pt>
                <c:pt idx="119">
                  <c:v>5.1199000940299477</c:v>
                </c:pt>
                <c:pt idx="120">
                  <c:v>4.8540716459731508</c:v>
                </c:pt>
                <c:pt idx="121">
                  <c:v>5.0296941170494867</c:v>
                </c:pt>
                <c:pt idx="122">
                  <c:v>5.2689097592564176</c:v>
                </c:pt>
                <c:pt idx="123">
                  <c:v>5.5426758696567351</c:v>
                </c:pt>
                <c:pt idx="124">
                  <c:v>4.9294735204072797</c:v>
                </c:pt>
                <c:pt idx="125">
                  <c:v>5.3824495869977094</c:v>
                </c:pt>
                <c:pt idx="126">
                  <c:v>5.3119968838112079</c:v>
                </c:pt>
                <c:pt idx="127">
                  <c:v>5.3410232704329106</c:v>
                </c:pt>
                <c:pt idx="128">
                  <c:v>5.1375958706978402</c:v>
                </c:pt>
                <c:pt idx="129">
                  <c:v>5.0633258150271203</c:v>
                </c:pt>
                <c:pt idx="130">
                  <c:v>4.734093646922612</c:v>
                </c:pt>
                <c:pt idx="131">
                  <c:v>4.4485337209042983</c:v>
                </c:pt>
                <c:pt idx="132">
                  <c:v>4.9095503371082474</c:v>
                </c:pt>
                <c:pt idx="133">
                  <c:v>5.0964898613906477</c:v>
                </c:pt>
                <c:pt idx="134">
                  <c:v>5.2821850461063473</c:v>
                </c:pt>
                <c:pt idx="135">
                  <c:v>3.448683750171945</c:v>
                </c:pt>
                <c:pt idx="136">
                  <c:v>3.9972374385301954</c:v>
                </c:pt>
                <c:pt idx="137">
                  <c:v>5.0141441759821586</c:v>
                </c:pt>
                <c:pt idx="138">
                  <c:v>5.2943394835035047</c:v>
                </c:pt>
                <c:pt idx="139">
                  <c:v>4.9255773014267419</c:v>
                </c:pt>
                <c:pt idx="140">
                  <c:v>4.2951071183879508</c:v>
                </c:pt>
                <c:pt idx="141">
                  <c:v>4.3265471118258274</c:v>
                </c:pt>
                <c:pt idx="142">
                  <c:v>4.3851715611668114</c:v>
                </c:pt>
                <c:pt idx="143">
                  <c:v>4.2732391108457675</c:v>
                </c:pt>
                <c:pt idx="144">
                  <c:v>4.8188733388833827</c:v>
                </c:pt>
                <c:pt idx="145">
                  <c:v>4.6236087106372921</c:v>
                </c:pt>
                <c:pt idx="146">
                  <c:v>2.7763142764337911</c:v>
                </c:pt>
                <c:pt idx="147">
                  <c:v>1.2946259895179377</c:v>
                </c:pt>
                <c:pt idx="148">
                  <c:v>2.9896373047795164</c:v>
                </c:pt>
                <c:pt idx="149">
                  <c:v>2.6191812541791135</c:v>
                </c:pt>
                <c:pt idx="150">
                  <c:v>3.0035835726911424</c:v>
                </c:pt>
                <c:pt idx="151">
                  <c:v>3.2851624966821582</c:v>
                </c:pt>
                <c:pt idx="152">
                  <c:v>3.9636664798688348</c:v>
                </c:pt>
                <c:pt idx="153">
                  <c:v>4.0684506236771618</c:v>
                </c:pt>
                <c:pt idx="154">
                  <c:v>4.3026018593247697</c:v>
                </c:pt>
                <c:pt idx="155">
                  <c:v>3.6852959718266023</c:v>
                </c:pt>
                <c:pt idx="156">
                  <c:v>3.4178082758658532</c:v>
                </c:pt>
                <c:pt idx="157">
                  <c:v>3.7820860966155054</c:v>
                </c:pt>
                <c:pt idx="158">
                  <c:v>4.1051071139569189</c:v>
                </c:pt>
                <c:pt idx="159">
                  <c:v>3.9605808475060016</c:v>
                </c:pt>
                <c:pt idx="160">
                  <c:v>4.305387009981863</c:v>
                </c:pt>
                <c:pt idx="161">
                  <c:v>4.8445049926569341</c:v>
                </c:pt>
                <c:pt idx="162">
                  <c:v>4.6870862830423521</c:v>
                </c:pt>
                <c:pt idx="163">
                  <c:v>4.3375934440195696</c:v>
                </c:pt>
                <c:pt idx="164">
                  <c:v>4.389831913804807</c:v>
                </c:pt>
                <c:pt idx="165">
                  <c:v>4.7120921324932166</c:v>
                </c:pt>
                <c:pt idx="166">
                  <c:v>5.171253499815692</c:v>
                </c:pt>
                <c:pt idx="167">
                  <c:v>4.5661580122473495</c:v>
                </c:pt>
                <c:pt idx="168">
                  <c:v>4.7684795280197338</c:v>
                </c:pt>
                <c:pt idx="169">
                  <c:v>4.6703201585107745</c:v>
                </c:pt>
                <c:pt idx="170">
                  <c:v>4.6646304892308068</c:v>
                </c:pt>
                <c:pt idx="171">
                  <c:v>4.8643177988057724</c:v>
                </c:pt>
                <c:pt idx="172">
                  <c:v>4.3695555436335001</c:v>
                </c:pt>
                <c:pt idx="173">
                  <c:v>4.9014273744396251</c:v>
                </c:pt>
                <c:pt idx="174">
                  <c:v>4.8359961818304802</c:v>
                </c:pt>
                <c:pt idx="175">
                  <c:v>4.3667015758654397</c:v>
                </c:pt>
                <c:pt idx="176">
                  <c:v>5.1091240807718723</c:v>
                </c:pt>
                <c:pt idx="177">
                  <c:v>3.8767243402343601</c:v>
                </c:pt>
                <c:pt idx="178">
                  <c:v>4.6850321375780943</c:v>
                </c:pt>
                <c:pt idx="179">
                  <c:v>3.663596612055076</c:v>
                </c:pt>
                <c:pt idx="180">
                  <c:v>3.6290792610190463</c:v>
                </c:pt>
                <c:pt idx="181">
                  <c:v>4.2784933539963008</c:v>
                </c:pt>
                <c:pt idx="182">
                  <c:v>2.4820756363554204</c:v>
                </c:pt>
                <c:pt idx="183">
                  <c:v>1.3856160388315286</c:v>
                </c:pt>
                <c:pt idx="184">
                  <c:v>3.914382655935261</c:v>
                </c:pt>
                <c:pt idx="185">
                  <c:v>4.2279561427961312</c:v>
                </c:pt>
                <c:pt idx="186">
                  <c:v>2.8178310571778122</c:v>
                </c:pt>
                <c:pt idx="187">
                  <c:v>2.6650649238945143</c:v>
                </c:pt>
                <c:pt idx="188">
                  <c:v>4.2486381109434417</c:v>
                </c:pt>
                <c:pt idx="189">
                  <c:v>4.599972012424133</c:v>
                </c:pt>
                <c:pt idx="190">
                  <c:v>3.375057738853831</c:v>
                </c:pt>
                <c:pt idx="191">
                  <c:v>0.53080466779897639</c:v>
                </c:pt>
                <c:pt idx="192">
                  <c:v>2.3455276341664235</c:v>
                </c:pt>
                <c:pt idx="193">
                  <c:v>3.3943923618675402</c:v>
                </c:pt>
                <c:pt idx="194">
                  <c:v>2.9929390950445494</c:v>
                </c:pt>
                <c:pt idx="195">
                  <c:v>3.088954069512623</c:v>
                </c:pt>
                <c:pt idx="196">
                  <c:v>4.5586162505807426</c:v>
                </c:pt>
                <c:pt idx="197">
                  <c:v>3.7354431286624759</c:v>
                </c:pt>
                <c:pt idx="198">
                  <c:v>4.3467498688679633</c:v>
                </c:pt>
                <c:pt idx="199">
                  <c:v>3.1625235549935979</c:v>
                </c:pt>
                <c:pt idx="200">
                  <c:v>4.1877014342249268</c:v>
                </c:pt>
                <c:pt idx="201">
                  <c:v>3.9497212416977496</c:v>
                </c:pt>
                <c:pt idx="202">
                  <c:v>4.0714909882059027</c:v>
                </c:pt>
                <c:pt idx="203">
                  <c:v>4.237898045995026</c:v>
                </c:pt>
                <c:pt idx="204">
                  <c:v>4.6088637770845722</c:v>
                </c:pt>
                <c:pt idx="205">
                  <c:v>4.3999713114202832</c:v>
                </c:pt>
                <c:pt idx="206">
                  <c:v>4.7814426600839015</c:v>
                </c:pt>
                <c:pt idx="207">
                  <c:v>4.6075170493382975</c:v>
                </c:pt>
                <c:pt idx="208">
                  <c:v>3.9977658780260557</c:v>
                </c:pt>
                <c:pt idx="209">
                  <c:v>4.0822719011132564</c:v>
                </c:pt>
                <c:pt idx="210">
                  <c:v>5.4232068854153042</c:v>
                </c:pt>
                <c:pt idx="211">
                  <c:v>5.1456286703206873</c:v>
                </c:pt>
                <c:pt idx="212">
                  <c:v>1.3137944509044719</c:v>
                </c:pt>
                <c:pt idx="213">
                  <c:v>4.9273259729441516</c:v>
                </c:pt>
                <c:pt idx="214">
                  <c:v>4.5524774150083811</c:v>
                </c:pt>
                <c:pt idx="215">
                  <c:v>5.1204214226115052</c:v>
                </c:pt>
                <c:pt idx="216">
                  <c:v>5.5992049956282024</c:v>
                </c:pt>
                <c:pt idx="217">
                  <c:v>5.4344909288028056</c:v>
                </c:pt>
                <c:pt idx="218">
                  <c:v>5.2066197339782923</c:v>
                </c:pt>
                <c:pt idx="219">
                  <c:v>5.3167244299362597</c:v>
                </c:pt>
                <c:pt idx="220">
                  <c:v>5.6745600536994329</c:v>
                </c:pt>
                <c:pt idx="221">
                  <c:v>6.3810019312919639</c:v>
                </c:pt>
                <c:pt idx="222">
                  <c:v>2.6418409592035346</c:v>
                </c:pt>
                <c:pt idx="223">
                  <c:v>2.0392383560884393</c:v>
                </c:pt>
                <c:pt idx="224">
                  <c:v>3.713403954006063</c:v>
                </c:pt>
                <c:pt idx="225">
                  <c:v>3.380302870662856</c:v>
                </c:pt>
                <c:pt idx="226">
                  <c:v>3.6447013644896495</c:v>
                </c:pt>
                <c:pt idx="227">
                  <c:v>4.6798592896180589</c:v>
                </c:pt>
                <c:pt idx="228">
                  <c:v>5.7483808721865586</c:v>
                </c:pt>
                <c:pt idx="229">
                  <c:v>5.5277269821010124</c:v>
                </c:pt>
                <c:pt idx="230">
                  <c:v>5.7264162480156555</c:v>
                </c:pt>
                <c:pt idx="231">
                  <c:v>5.980546609844291</c:v>
                </c:pt>
                <c:pt idx="232">
                  <c:v>5.9393227130646107</c:v>
                </c:pt>
                <c:pt idx="233">
                  <c:v>6.3344215403413138</c:v>
                </c:pt>
                <c:pt idx="234">
                  <c:v>5.6076209063499025</c:v>
                </c:pt>
                <c:pt idx="235">
                  <c:v>6.6867332082809687</c:v>
                </c:pt>
                <c:pt idx="236">
                  <c:v>7.4792799074371343</c:v>
                </c:pt>
                <c:pt idx="237">
                  <c:v>4.3283991915521627</c:v>
                </c:pt>
                <c:pt idx="238">
                  <c:v>1.0967525727786538</c:v>
                </c:pt>
                <c:pt idx="239">
                  <c:v>3.1596996949593321</c:v>
                </c:pt>
                <c:pt idx="240">
                  <c:v>5.088073489703266</c:v>
                </c:pt>
                <c:pt idx="241">
                  <c:v>5.3574093210956732</c:v>
                </c:pt>
                <c:pt idx="242">
                  <c:v>5.4976965314031743</c:v>
                </c:pt>
                <c:pt idx="243">
                  <c:v>5.6561111297101663</c:v>
                </c:pt>
                <c:pt idx="244">
                  <c:v>6.0641820374322792</c:v>
                </c:pt>
                <c:pt idx="245">
                  <c:v>6.7202977647052968</c:v>
                </c:pt>
                <c:pt idx="246">
                  <c:v>6.4153457724029721</c:v>
                </c:pt>
                <c:pt idx="247">
                  <c:v>6.1651974868296167</c:v>
                </c:pt>
                <c:pt idx="248">
                  <c:v>6.697104926196638</c:v>
                </c:pt>
                <c:pt idx="249">
                  <c:v>6.1839363539047847</c:v>
                </c:pt>
                <c:pt idx="250">
                  <c:v>4.8453464546344875</c:v>
                </c:pt>
                <c:pt idx="251">
                  <c:v>6.3023031740367994</c:v>
                </c:pt>
                <c:pt idx="252">
                  <c:v>6.1902809624589175</c:v>
                </c:pt>
                <c:pt idx="253">
                  <c:v>6.5330974789888785</c:v>
                </c:pt>
                <c:pt idx="254">
                  <c:v>6.5929888698480896</c:v>
                </c:pt>
                <c:pt idx="255">
                  <c:v>7.4229918014455478</c:v>
                </c:pt>
                <c:pt idx="256">
                  <c:v>8.0245774815361983</c:v>
                </c:pt>
                <c:pt idx="257">
                  <c:v>7.8449410569866105</c:v>
                </c:pt>
                <c:pt idx="258">
                  <c:v>6.245745930684838</c:v>
                </c:pt>
                <c:pt idx="259">
                  <c:v>5.2362443467379958</c:v>
                </c:pt>
                <c:pt idx="260">
                  <c:v>1.0259607703936908</c:v>
                </c:pt>
                <c:pt idx="261">
                  <c:v>4.5874322241648846</c:v>
                </c:pt>
                <c:pt idx="262">
                  <c:v>4.6460271882910735</c:v>
                </c:pt>
                <c:pt idx="263">
                  <c:v>6.2023753535395478</c:v>
                </c:pt>
                <c:pt idx="264">
                  <c:v>7.9742124128252518</c:v>
                </c:pt>
                <c:pt idx="265">
                  <c:v>4.0512667574819812</c:v>
                </c:pt>
                <c:pt idx="266">
                  <c:v>6.5379867116500696</c:v>
                </c:pt>
                <c:pt idx="267">
                  <c:v>7.215575744396391</c:v>
                </c:pt>
                <c:pt idx="268">
                  <c:v>8.0963330991794997</c:v>
                </c:pt>
                <c:pt idx="269">
                  <c:v>7.5779851721374323</c:v>
                </c:pt>
                <c:pt idx="270">
                  <c:v>9.5146116821027888</c:v>
                </c:pt>
                <c:pt idx="271">
                  <c:v>4.5118836508927638</c:v>
                </c:pt>
                <c:pt idx="272">
                  <c:v>6.4069597085308132</c:v>
                </c:pt>
                <c:pt idx="273">
                  <c:v>7.2538682355028827</c:v>
                </c:pt>
                <c:pt idx="274">
                  <c:v>6.9163283438590435</c:v>
                </c:pt>
                <c:pt idx="275">
                  <c:v>7.7296097783894577</c:v>
                </c:pt>
                <c:pt idx="276">
                  <c:v>8.9107776625031097</c:v>
                </c:pt>
                <c:pt idx="277">
                  <c:v>5.5612479816028255</c:v>
                </c:pt>
                <c:pt idx="278">
                  <c:v>3.9971234496060148</c:v>
                </c:pt>
                <c:pt idx="279">
                  <c:v>6.4559740383803206</c:v>
                </c:pt>
                <c:pt idx="280">
                  <c:v>6.8512291455350347</c:v>
                </c:pt>
                <c:pt idx="281">
                  <c:v>7.1863725214379848</c:v>
                </c:pt>
                <c:pt idx="282">
                  <c:v>7.5947763139508666</c:v>
                </c:pt>
                <c:pt idx="283">
                  <c:v>5.1173873858800798</c:v>
                </c:pt>
                <c:pt idx="284">
                  <c:v>3.8210119217769805</c:v>
                </c:pt>
                <c:pt idx="285">
                  <c:v>4.9320069469775811</c:v>
                </c:pt>
                <c:pt idx="286">
                  <c:v>4.7391955901098592</c:v>
                </c:pt>
                <c:pt idx="287">
                  <c:v>6.8485909507210643</c:v>
                </c:pt>
                <c:pt idx="288">
                  <c:v>6.5920222261425563</c:v>
                </c:pt>
                <c:pt idx="289">
                  <c:v>6.9884180404991652</c:v>
                </c:pt>
                <c:pt idx="290">
                  <c:v>6.4427608037807085</c:v>
                </c:pt>
                <c:pt idx="291">
                  <c:v>6.9089322105448376</c:v>
                </c:pt>
                <c:pt idx="292">
                  <c:v>5.9499851994189079</c:v>
                </c:pt>
                <c:pt idx="293">
                  <c:v>3.0348902888839415</c:v>
                </c:pt>
                <c:pt idx="294">
                  <c:v>2.614258295570894</c:v>
                </c:pt>
                <c:pt idx="295">
                  <c:v>4.6715537362336121</c:v>
                </c:pt>
                <c:pt idx="296">
                  <c:v>5.1569060585425923</c:v>
                </c:pt>
                <c:pt idx="297">
                  <c:v>3.867848633468991</c:v>
                </c:pt>
                <c:pt idx="298">
                  <c:v>6.236118120450139</c:v>
                </c:pt>
                <c:pt idx="299">
                  <c:v>4.0391084007187121</c:v>
                </c:pt>
                <c:pt idx="300">
                  <c:v>4.6518637143181349</c:v>
                </c:pt>
                <c:pt idx="301">
                  <c:v>2.7292030026409506</c:v>
                </c:pt>
                <c:pt idx="302">
                  <c:v>4.0247946422028553</c:v>
                </c:pt>
                <c:pt idx="303">
                  <c:v>5.8487785681605811</c:v>
                </c:pt>
                <c:pt idx="304">
                  <c:v>6.1216953772816742</c:v>
                </c:pt>
                <c:pt idx="305">
                  <c:v>6.0089946853549625</c:v>
                </c:pt>
                <c:pt idx="306">
                  <c:v>5.5607004550978827</c:v>
                </c:pt>
                <c:pt idx="307">
                  <c:v>3.6281103925041114</c:v>
                </c:pt>
                <c:pt idx="308">
                  <c:v>2.6705302281395991</c:v>
                </c:pt>
                <c:pt idx="309">
                  <c:v>1.7571841487367503</c:v>
                </c:pt>
                <c:pt idx="310">
                  <c:v>4.4375297253105428</c:v>
                </c:pt>
                <c:pt idx="311">
                  <c:v>3.616590204897919</c:v>
                </c:pt>
                <c:pt idx="312">
                  <c:v>2.0772390851487801</c:v>
                </c:pt>
                <c:pt idx="313">
                  <c:v>2.4388572333718224</c:v>
                </c:pt>
                <c:pt idx="314">
                  <c:v>3.8620328652262472</c:v>
                </c:pt>
                <c:pt idx="315">
                  <c:v>5.5748584827799732</c:v>
                </c:pt>
                <c:pt idx="316">
                  <c:v>6.7256668298574116</c:v>
                </c:pt>
                <c:pt idx="317">
                  <c:v>7.1145480350221249</c:v>
                </c:pt>
                <c:pt idx="318">
                  <c:v>3.0370147387582187</c:v>
                </c:pt>
                <c:pt idx="319">
                  <c:v>6.0374946712823476</c:v>
                </c:pt>
                <c:pt idx="320">
                  <c:v>5.957135511963906</c:v>
                </c:pt>
                <c:pt idx="321">
                  <c:v>4.2399033640392565</c:v>
                </c:pt>
                <c:pt idx="322">
                  <c:v>4.9924819299537679</c:v>
                </c:pt>
                <c:pt idx="323">
                  <c:v>6.5388448410191833</c:v>
                </c:pt>
                <c:pt idx="324">
                  <c:v>6.7643005018327083</c:v>
                </c:pt>
                <c:pt idx="325">
                  <c:v>7.3207116923750579</c:v>
                </c:pt>
                <c:pt idx="326">
                  <c:v>4.4925476291156086</c:v>
                </c:pt>
                <c:pt idx="327">
                  <c:v>1.899479743496052</c:v>
                </c:pt>
                <c:pt idx="328">
                  <c:v>4.9502202814181926</c:v>
                </c:pt>
                <c:pt idx="329">
                  <c:v>5.5743665248489149</c:v>
                </c:pt>
                <c:pt idx="330">
                  <c:v>6.4385471205435785</c:v>
                </c:pt>
                <c:pt idx="331">
                  <c:v>6.7686878376798294</c:v>
                </c:pt>
                <c:pt idx="332">
                  <c:v>6.3886846069688623</c:v>
                </c:pt>
                <c:pt idx="333">
                  <c:v>6.4361338262798462</c:v>
                </c:pt>
                <c:pt idx="334">
                  <c:v>3.6358666905909929</c:v>
                </c:pt>
                <c:pt idx="335">
                  <c:v>4.9471656169411915</c:v>
                </c:pt>
                <c:pt idx="336">
                  <c:v>7.3488573558269668</c:v>
                </c:pt>
                <c:pt idx="337">
                  <c:v>4.6362269157333253</c:v>
                </c:pt>
                <c:pt idx="338">
                  <c:v>1.7620131931964145</c:v>
                </c:pt>
                <c:pt idx="339">
                  <c:v>2.2467990028888338</c:v>
                </c:pt>
                <c:pt idx="340">
                  <c:v>5.5333970271343791</c:v>
                </c:pt>
                <c:pt idx="341">
                  <c:v>6.1949336559748671</c:v>
                </c:pt>
                <c:pt idx="342">
                  <c:v>6.1508077052584715</c:v>
                </c:pt>
                <c:pt idx="343">
                  <c:v>3.667282659500295</c:v>
                </c:pt>
                <c:pt idx="344">
                  <c:v>4.0772512145410884</c:v>
                </c:pt>
                <c:pt idx="345">
                  <c:v>4.8824999570967611</c:v>
                </c:pt>
                <c:pt idx="346">
                  <c:v>5.2198124238837611</c:v>
                </c:pt>
                <c:pt idx="347">
                  <c:v>5.9612772254379562</c:v>
                </c:pt>
                <c:pt idx="348">
                  <c:v>4.7530156953542821</c:v>
                </c:pt>
                <c:pt idx="349">
                  <c:v>2.1075294619784115</c:v>
                </c:pt>
                <c:pt idx="350">
                  <c:v>4.9119813935423631</c:v>
                </c:pt>
                <c:pt idx="351">
                  <c:v>5.1008307515059412</c:v>
                </c:pt>
                <c:pt idx="352">
                  <c:v>6.7709749196259343</c:v>
                </c:pt>
                <c:pt idx="353">
                  <c:v>6.5705221080203176</c:v>
                </c:pt>
                <c:pt idx="354">
                  <c:v>6.225568520756469</c:v>
                </c:pt>
                <c:pt idx="355">
                  <c:v>5.5006568494657202</c:v>
                </c:pt>
                <c:pt idx="356">
                  <c:v>3.9849385231831902</c:v>
                </c:pt>
                <c:pt idx="357">
                  <c:v>3.9700038856920505</c:v>
                </c:pt>
                <c:pt idx="358">
                  <c:v>4.5284160394118684</c:v>
                </c:pt>
                <c:pt idx="359">
                  <c:v>5.7971123910721607</c:v>
                </c:pt>
                <c:pt idx="360">
                  <c:v>5.6209862429269402</c:v>
                </c:pt>
                <c:pt idx="361">
                  <c:v>3.2981012429390613</c:v>
                </c:pt>
                <c:pt idx="362">
                  <c:v>3.4825598362029484</c:v>
                </c:pt>
                <c:pt idx="363">
                  <c:v>5.8285007767998476</c:v>
                </c:pt>
                <c:pt idx="364">
                  <c:v>5.4692384457253</c:v>
                </c:pt>
                <c:pt idx="365">
                  <c:v>5.8358681941936528</c:v>
                </c:pt>
                <c:pt idx="366">
                  <c:v>6.0967886310507744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5B-4B5B-9FFC-830998015874}"/>
            </c:ext>
          </c:extLst>
        </c:ser>
        <c:ser>
          <c:idx val="1"/>
          <c:order val="1"/>
          <c:tx>
            <c:v>Hargreaves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Piracicaba!$R$5:$R$371</c:f>
              <c:numCache>
                <c:formatCode>0.00</c:formatCode>
                <c:ptCount val="367"/>
                <c:pt idx="0" formatCode="General">
                  <c:v>0</c:v>
                </c:pt>
                <c:pt idx="1">
                  <c:v>6.186528717177219</c:v>
                </c:pt>
                <c:pt idx="2">
                  <c:v>6.3275979549856354</c:v>
                </c:pt>
                <c:pt idx="3">
                  <c:v>6.337663237779628</c:v>
                </c:pt>
                <c:pt idx="4">
                  <c:v>5.961878019370535</c:v>
                </c:pt>
                <c:pt idx="5">
                  <c:v>6.6195240823464729</c:v>
                </c:pt>
                <c:pt idx="6">
                  <c:v>6.9933710456368727</c:v>
                </c:pt>
                <c:pt idx="7">
                  <c:v>7.4082034270752048</c:v>
                </c:pt>
                <c:pt idx="8">
                  <c:v>6.6797010058760913</c:v>
                </c:pt>
                <c:pt idx="9">
                  <c:v>7.0454926603728536</c:v>
                </c:pt>
                <c:pt idx="10">
                  <c:v>6.6956407429468801</c:v>
                </c:pt>
                <c:pt idx="11">
                  <c:v>5.8246545399029079</c:v>
                </c:pt>
                <c:pt idx="12">
                  <c:v>4.730252353525171</c:v>
                </c:pt>
                <c:pt idx="13">
                  <c:v>4.9303847249853563</c:v>
                </c:pt>
                <c:pt idx="14">
                  <c:v>6.5887725260555765</c:v>
                </c:pt>
                <c:pt idx="15">
                  <c:v>5.5818598917816349</c:v>
                </c:pt>
                <c:pt idx="16">
                  <c:v>6.9455818291346212</c:v>
                </c:pt>
                <c:pt idx="17">
                  <c:v>7.1513747237957643</c:v>
                </c:pt>
                <c:pt idx="18">
                  <c:v>7.5074348871671281</c:v>
                </c:pt>
                <c:pt idx="19">
                  <c:v>6.3396540518809719</c:v>
                </c:pt>
                <c:pt idx="20">
                  <c:v>5.4667237954514203</c:v>
                </c:pt>
                <c:pt idx="21">
                  <c:v>5.4611854796734205</c:v>
                </c:pt>
                <c:pt idx="22">
                  <c:v>5.34051361678027</c:v>
                </c:pt>
                <c:pt idx="23">
                  <c:v>2.9847412343322706</c:v>
                </c:pt>
                <c:pt idx="24">
                  <c:v>5.364470749210974</c:v>
                </c:pt>
                <c:pt idx="25">
                  <c:v>5.0400082324370414</c:v>
                </c:pt>
                <c:pt idx="26">
                  <c:v>5.5908962677813214</c:v>
                </c:pt>
                <c:pt idx="27">
                  <c:v>6.0612377033066585</c:v>
                </c:pt>
                <c:pt idx="28">
                  <c:v>5.3200485662535728</c:v>
                </c:pt>
                <c:pt idx="29">
                  <c:v>5.8144388745381885</c:v>
                </c:pt>
                <c:pt idx="30">
                  <c:v>6.7872447406535414</c:v>
                </c:pt>
                <c:pt idx="31">
                  <c:v>6.4080083602763604</c:v>
                </c:pt>
                <c:pt idx="32">
                  <c:v>5.7734717607936172</c:v>
                </c:pt>
                <c:pt idx="33">
                  <c:v>5.2320082665921319</c:v>
                </c:pt>
                <c:pt idx="34">
                  <c:v>4.7541875655813373</c:v>
                </c:pt>
                <c:pt idx="35">
                  <c:v>4.6743607777480491</c:v>
                </c:pt>
                <c:pt idx="36">
                  <c:v>6.2575335614424112</c:v>
                </c:pt>
                <c:pt idx="37">
                  <c:v>6.1677599031787524</c:v>
                </c:pt>
                <c:pt idx="38">
                  <c:v>5.8552069086579595</c:v>
                </c:pt>
                <c:pt idx="39">
                  <c:v>6.3339917823013296</c:v>
                </c:pt>
                <c:pt idx="40">
                  <c:v>6.3322052910058444</c:v>
                </c:pt>
                <c:pt idx="41">
                  <c:v>6.7566824532531369</c:v>
                </c:pt>
                <c:pt idx="42">
                  <c:v>6.7304300904643348</c:v>
                </c:pt>
                <c:pt idx="43">
                  <c:v>5.6829367242117605</c:v>
                </c:pt>
                <c:pt idx="44">
                  <c:v>6.6317013039791384</c:v>
                </c:pt>
                <c:pt idx="45">
                  <c:v>4.5865117238191058</c:v>
                </c:pt>
                <c:pt idx="46">
                  <c:v>3.2944084555586062</c:v>
                </c:pt>
                <c:pt idx="47">
                  <c:v>4.643592100557294</c:v>
                </c:pt>
                <c:pt idx="48">
                  <c:v>4.9357885657868712</c:v>
                </c:pt>
                <c:pt idx="49">
                  <c:v>5.4902567161109852</c:v>
                </c:pt>
                <c:pt idx="50">
                  <c:v>5.6358949338499764</c:v>
                </c:pt>
                <c:pt idx="51">
                  <c:v>4.9966437621879498</c:v>
                </c:pt>
                <c:pt idx="52">
                  <c:v>5.1303596897899393</c:v>
                </c:pt>
                <c:pt idx="53">
                  <c:v>5.5811683162473411</c:v>
                </c:pt>
                <c:pt idx="54">
                  <c:v>5.2489495564850701</c:v>
                </c:pt>
                <c:pt idx="55">
                  <c:v>4.5029019220560871</c:v>
                </c:pt>
                <c:pt idx="56">
                  <c:v>6.1338119699173461</c:v>
                </c:pt>
                <c:pt idx="57">
                  <c:v>5.5948093256235509</c:v>
                </c:pt>
                <c:pt idx="58">
                  <c:v>6.237511223373108</c:v>
                </c:pt>
                <c:pt idx="59">
                  <c:v>5.8419792366725432</c:v>
                </c:pt>
                <c:pt idx="60">
                  <c:v>6.2929535980166103</c:v>
                </c:pt>
                <c:pt idx="61">
                  <c:v>4.9672301084046326</c:v>
                </c:pt>
                <c:pt idx="62">
                  <c:v>5.1539628630018059</c:v>
                </c:pt>
                <c:pt idx="63">
                  <c:v>5.8339206703254796</c:v>
                </c:pt>
                <c:pt idx="64">
                  <c:v>5.7324921336009265</c:v>
                </c:pt>
                <c:pt idx="65">
                  <c:v>5.2464320385641612</c:v>
                </c:pt>
                <c:pt idx="66">
                  <c:v>4.6543579432352207</c:v>
                </c:pt>
                <c:pt idx="67">
                  <c:v>5.187435501899512</c:v>
                </c:pt>
                <c:pt idx="68">
                  <c:v>5.1833700801949281</c:v>
                </c:pt>
                <c:pt idx="69">
                  <c:v>4.5387113791619527</c:v>
                </c:pt>
                <c:pt idx="70">
                  <c:v>4.4901513059123772</c:v>
                </c:pt>
                <c:pt idx="71">
                  <c:v>4.9801036729843844</c:v>
                </c:pt>
                <c:pt idx="72">
                  <c:v>5.9182302245832537</c:v>
                </c:pt>
                <c:pt idx="73">
                  <c:v>6.0170764886491188</c:v>
                </c:pt>
                <c:pt idx="74">
                  <c:v>5.8254049653268991</c:v>
                </c:pt>
                <c:pt idx="75">
                  <c:v>6.1417688506337216</c:v>
                </c:pt>
                <c:pt idx="76">
                  <c:v>6.0010853935485367</c:v>
                </c:pt>
                <c:pt idx="77">
                  <c:v>5.6029414002244149</c:v>
                </c:pt>
                <c:pt idx="78">
                  <c:v>4.8676889774694603</c:v>
                </c:pt>
                <c:pt idx="79">
                  <c:v>4.4934641919516993</c:v>
                </c:pt>
                <c:pt idx="80">
                  <c:v>4.8996370347335576</c:v>
                </c:pt>
                <c:pt idx="81">
                  <c:v>5.4034859474037571</c:v>
                </c:pt>
                <c:pt idx="82">
                  <c:v>3.4494958967437901</c:v>
                </c:pt>
                <c:pt idx="83">
                  <c:v>2.5839561171397025</c:v>
                </c:pt>
                <c:pt idx="84">
                  <c:v>3.0893456671101549</c:v>
                </c:pt>
                <c:pt idx="85">
                  <c:v>5.0050544014547595</c:v>
                </c:pt>
                <c:pt idx="86">
                  <c:v>4.0084829396632298</c:v>
                </c:pt>
                <c:pt idx="87">
                  <c:v>3.0925420939011405</c:v>
                </c:pt>
                <c:pt idx="88">
                  <c:v>2.9287517024060308</c:v>
                </c:pt>
                <c:pt idx="89">
                  <c:v>3.9591097363223473</c:v>
                </c:pt>
                <c:pt idx="90">
                  <c:v>4.9205131392856476</c:v>
                </c:pt>
                <c:pt idx="91">
                  <c:v>5.7150691665162512</c:v>
                </c:pt>
                <c:pt idx="92">
                  <c:v>4.7345730246047122</c:v>
                </c:pt>
                <c:pt idx="93">
                  <c:v>4.3309625510206144</c:v>
                </c:pt>
                <c:pt idx="94">
                  <c:v>4.9173949815435423</c:v>
                </c:pt>
                <c:pt idx="95">
                  <c:v>5.0344819389241255</c:v>
                </c:pt>
                <c:pt idx="96">
                  <c:v>4.6481209884623906</c:v>
                </c:pt>
                <c:pt idx="97">
                  <c:v>4.2295608604807784</c:v>
                </c:pt>
                <c:pt idx="98">
                  <c:v>4.8698184864860083</c:v>
                </c:pt>
                <c:pt idx="99">
                  <c:v>3.3194799900268022</c:v>
                </c:pt>
                <c:pt idx="100">
                  <c:v>3.879677777963308</c:v>
                </c:pt>
                <c:pt idx="101">
                  <c:v>4.5651497455403565</c:v>
                </c:pt>
                <c:pt idx="102">
                  <c:v>3.9457413167933741</c:v>
                </c:pt>
                <c:pt idx="103">
                  <c:v>4.0635708718910983</c:v>
                </c:pt>
                <c:pt idx="104">
                  <c:v>4.578426779978602</c:v>
                </c:pt>
                <c:pt idx="105">
                  <c:v>3.6734010238681569</c:v>
                </c:pt>
                <c:pt idx="106">
                  <c:v>3.8810579546108679</c:v>
                </c:pt>
                <c:pt idx="107">
                  <c:v>4.2475156271714338</c:v>
                </c:pt>
                <c:pt idx="108">
                  <c:v>3.3321859460064949</c:v>
                </c:pt>
                <c:pt idx="109">
                  <c:v>3.2094199672817441</c:v>
                </c:pt>
                <c:pt idx="110">
                  <c:v>4.2232809261791333</c:v>
                </c:pt>
                <c:pt idx="111">
                  <c:v>4.8728656605812315</c:v>
                </c:pt>
                <c:pt idx="112">
                  <c:v>4.5273021688695723</c:v>
                </c:pt>
                <c:pt idx="113">
                  <c:v>4.9203260803270501</c:v>
                </c:pt>
                <c:pt idx="114">
                  <c:v>4.899219791400272</c:v>
                </c:pt>
                <c:pt idx="115">
                  <c:v>4.8683877995147862</c:v>
                </c:pt>
                <c:pt idx="116">
                  <c:v>4.7354874678420895</c:v>
                </c:pt>
                <c:pt idx="117">
                  <c:v>4.7287030983585403</c:v>
                </c:pt>
                <c:pt idx="118">
                  <c:v>4.8839183515599283</c:v>
                </c:pt>
                <c:pt idx="119">
                  <c:v>4.8931357971450087</c:v>
                </c:pt>
                <c:pt idx="120">
                  <c:v>4.7902461984709106</c:v>
                </c:pt>
                <c:pt idx="121">
                  <c:v>6.172952653808724</c:v>
                </c:pt>
                <c:pt idx="122">
                  <c:v>4.3578514533488502</c:v>
                </c:pt>
                <c:pt idx="123">
                  <c:v>4.4178572296620366</c:v>
                </c:pt>
                <c:pt idx="124">
                  <c:v>4.3661091062273938</c:v>
                </c:pt>
                <c:pt idx="125">
                  <c:v>4.4357964991871501</c:v>
                </c:pt>
                <c:pt idx="126">
                  <c:v>4.478391880554752</c:v>
                </c:pt>
                <c:pt idx="127">
                  <c:v>4.2772131319141806</c:v>
                </c:pt>
                <c:pt idx="128">
                  <c:v>4.3373383993220154</c:v>
                </c:pt>
                <c:pt idx="129">
                  <c:v>4.1269276110162094</c:v>
                </c:pt>
                <c:pt idx="130">
                  <c:v>4.1160720070188663</c:v>
                </c:pt>
                <c:pt idx="131">
                  <c:v>3.8896417122665103</c:v>
                </c:pt>
                <c:pt idx="132">
                  <c:v>4.2167147724308434</c:v>
                </c:pt>
                <c:pt idx="133">
                  <c:v>4.3471556542090974</c:v>
                </c:pt>
                <c:pt idx="134">
                  <c:v>4.255800033672239</c:v>
                </c:pt>
                <c:pt idx="135">
                  <c:v>3.4353387901135757</c:v>
                </c:pt>
                <c:pt idx="136">
                  <c:v>3.4951643073818355</c:v>
                </c:pt>
                <c:pt idx="137">
                  <c:v>4.2386871185239778</c:v>
                </c:pt>
                <c:pt idx="138">
                  <c:v>4.4084999159115599</c:v>
                </c:pt>
                <c:pt idx="139">
                  <c:v>4.381505308301465</c:v>
                </c:pt>
                <c:pt idx="140">
                  <c:v>3.8487388750970544</c:v>
                </c:pt>
                <c:pt idx="141">
                  <c:v>3.748452307047232</c:v>
                </c:pt>
                <c:pt idx="142">
                  <c:v>3.8630912296816842</c:v>
                </c:pt>
                <c:pt idx="143">
                  <c:v>3.7872917845538883</c:v>
                </c:pt>
                <c:pt idx="144">
                  <c:v>4.2386416049589144</c:v>
                </c:pt>
                <c:pt idx="145">
                  <c:v>3.7367818076075459</c:v>
                </c:pt>
                <c:pt idx="146">
                  <c:v>3.0115841470762326</c:v>
                </c:pt>
                <c:pt idx="147">
                  <c:v>1.9435491304691879</c:v>
                </c:pt>
                <c:pt idx="148">
                  <c:v>2.9423051628004311</c:v>
                </c:pt>
                <c:pt idx="149">
                  <c:v>2.7899651363801068</c:v>
                </c:pt>
                <c:pt idx="150">
                  <c:v>2.908653088354026</c:v>
                </c:pt>
                <c:pt idx="151">
                  <c:v>3.0731881744623375</c:v>
                </c:pt>
                <c:pt idx="152">
                  <c:v>3.5388075685611873</c:v>
                </c:pt>
                <c:pt idx="153">
                  <c:v>3.4581965226589726</c:v>
                </c:pt>
                <c:pt idx="154">
                  <c:v>3.5527605256344574</c:v>
                </c:pt>
                <c:pt idx="155">
                  <c:v>3.2414150543894511</c:v>
                </c:pt>
                <c:pt idx="156">
                  <c:v>2.8405962302254486</c:v>
                </c:pt>
                <c:pt idx="157">
                  <c:v>3.3259506744861818</c:v>
                </c:pt>
                <c:pt idx="158">
                  <c:v>3.6312283312043103</c:v>
                </c:pt>
                <c:pt idx="159">
                  <c:v>3.593493047471318</c:v>
                </c:pt>
                <c:pt idx="160">
                  <c:v>3.638849915345566</c:v>
                </c:pt>
                <c:pt idx="161">
                  <c:v>3.7602266420817396</c:v>
                </c:pt>
                <c:pt idx="162">
                  <c:v>3.86639774726993</c:v>
                </c:pt>
                <c:pt idx="163">
                  <c:v>3.6921543360325795</c:v>
                </c:pt>
                <c:pt idx="164">
                  <c:v>3.7831020314090873</c:v>
                </c:pt>
                <c:pt idx="165">
                  <c:v>3.718320967597128</c:v>
                </c:pt>
                <c:pt idx="166">
                  <c:v>3.6928003671225849</c:v>
                </c:pt>
                <c:pt idx="167">
                  <c:v>3.7851164248738116</c:v>
                </c:pt>
                <c:pt idx="168">
                  <c:v>3.6834246796078913</c:v>
                </c:pt>
                <c:pt idx="169">
                  <c:v>3.6630115877009413</c:v>
                </c:pt>
                <c:pt idx="170">
                  <c:v>3.6560787032452158</c:v>
                </c:pt>
                <c:pt idx="171">
                  <c:v>3.8715170176063372</c:v>
                </c:pt>
                <c:pt idx="172">
                  <c:v>3.8273692473513026</c:v>
                </c:pt>
                <c:pt idx="173">
                  <c:v>3.6555040962237033</c:v>
                </c:pt>
                <c:pt idx="174">
                  <c:v>3.8528379352949158</c:v>
                </c:pt>
                <c:pt idx="175">
                  <c:v>3.7303530489948913</c:v>
                </c:pt>
                <c:pt idx="176">
                  <c:v>3.9068086097554162</c:v>
                </c:pt>
                <c:pt idx="177">
                  <c:v>3.067576227674508</c:v>
                </c:pt>
                <c:pt idx="178">
                  <c:v>3.922454283216084</c:v>
                </c:pt>
                <c:pt idx="179">
                  <c:v>3.2277288844170666</c:v>
                </c:pt>
                <c:pt idx="180">
                  <c:v>3.4928521247718081</c:v>
                </c:pt>
                <c:pt idx="181">
                  <c:v>3.4039696003694755</c:v>
                </c:pt>
                <c:pt idx="182">
                  <c:v>2.6196952215792164</c:v>
                </c:pt>
                <c:pt idx="183">
                  <c:v>1.8261505870396422</c:v>
                </c:pt>
                <c:pt idx="184">
                  <c:v>3.5704888249114841</c:v>
                </c:pt>
                <c:pt idx="185">
                  <c:v>3.875565830282464</c:v>
                </c:pt>
                <c:pt idx="186">
                  <c:v>3.4254672421036654</c:v>
                </c:pt>
                <c:pt idx="187">
                  <c:v>3.2332029926177746</c:v>
                </c:pt>
                <c:pt idx="188">
                  <c:v>3.5038303926847054</c:v>
                </c:pt>
                <c:pt idx="189">
                  <c:v>3.9567788756431033</c:v>
                </c:pt>
                <c:pt idx="190">
                  <c:v>3.1621023685612291</c:v>
                </c:pt>
                <c:pt idx="191">
                  <c:v>1.1494593192682558</c:v>
                </c:pt>
                <c:pt idx="192">
                  <c:v>2.5428339656720351</c:v>
                </c:pt>
                <c:pt idx="193">
                  <c:v>3.5321407017978879</c:v>
                </c:pt>
                <c:pt idx="194">
                  <c:v>2.8280786832645251</c:v>
                </c:pt>
                <c:pt idx="195">
                  <c:v>2.8001102498803765</c:v>
                </c:pt>
                <c:pt idx="196">
                  <c:v>3.6955036574732927</c:v>
                </c:pt>
                <c:pt idx="197">
                  <c:v>3.0671808255592392</c:v>
                </c:pt>
                <c:pt idx="198">
                  <c:v>3.4698979786988602</c:v>
                </c:pt>
                <c:pt idx="199">
                  <c:v>3.3791276733046733</c:v>
                </c:pt>
                <c:pt idx="200">
                  <c:v>3.5875548177475149</c:v>
                </c:pt>
                <c:pt idx="201">
                  <c:v>3.379861758433389</c:v>
                </c:pt>
                <c:pt idx="202">
                  <c:v>3.6439465797159052</c:v>
                </c:pt>
                <c:pt idx="203">
                  <c:v>3.748109736325242</c:v>
                </c:pt>
                <c:pt idx="204">
                  <c:v>3.802083806651066</c:v>
                </c:pt>
                <c:pt idx="205">
                  <c:v>3.726348058477388</c:v>
                </c:pt>
                <c:pt idx="206">
                  <c:v>4.0495824685654771</c:v>
                </c:pt>
                <c:pt idx="207">
                  <c:v>3.9256338925718892</c:v>
                </c:pt>
                <c:pt idx="208">
                  <c:v>3.7694882816440836</c:v>
                </c:pt>
                <c:pt idx="209">
                  <c:v>3.8092625238011135</c:v>
                </c:pt>
                <c:pt idx="210">
                  <c:v>4.301153108753228</c:v>
                </c:pt>
                <c:pt idx="211">
                  <c:v>3.712015110387159</c:v>
                </c:pt>
                <c:pt idx="212">
                  <c:v>1.7638306799302634</c:v>
                </c:pt>
                <c:pt idx="213">
                  <c:v>3.819934233440248</c:v>
                </c:pt>
                <c:pt idx="214">
                  <c:v>4.3801434326748048</c:v>
                </c:pt>
                <c:pt idx="215">
                  <c:v>4.7536823222990163</c:v>
                </c:pt>
                <c:pt idx="216">
                  <c:v>4.7011627450141678</c:v>
                </c:pt>
                <c:pt idx="217">
                  <c:v>4.6927303638096145</c:v>
                </c:pt>
                <c:pt idx="218">
                  <c:v>4.6573458398639662</c:v>
                </c:pt>
                <c:pt idx="219">
                  <c:v>4.9908809924222979</c:v>
                </c:pt>
                <c:pt idx="220">
                  <c:v>4.6508471245026</c:v>
                </c:pt>
                <c:pt idx="221">
                  <c:v>5.0467814229012591</c:v>
                </c:pt>
                <c:pt idx="222">
                  <c:v>3.2646573631437801</c:v>
                </c:pt>
                <c:pt idx="223">
                  <c:v>2.6099275613434849</c:v>
                </c:pt>
                <c:pt idx="224">
                  <c:v>3.6426219506575435</c:v>
                </c:pt>
                <c:pt idx="225">
                  <c:v>3.4516535109226649</c:v>
                </c:pt>
                <c:pt idx="226">
                  <c:v>3.2061415472680141</c:v>
                </c:pt>
                <c:pt idx="227">
                  <c:v>4.4100482123131837</c:v>
                </c:pt>
                <c:pt idx="228">
                  <c:v>5.0021614329964343</c:v>
                </c:pt>
                <c:pt idx="229">
                  <c:v>5.0622046784902013</c:v>
                </c:pt>
                <c:pt idx="230">
                  <c:v>5.1528853399451906</c:v>
                </c:pt>
                <c:pt idx="231">
                  <c:v>5.2634658678495825</c:v>
                </c:pt>
                <c:pt idx="232">
                  <c:v>5.2914776572063404</c:v>
                </c:pt>
                <c:pt idx="233">
                  <c:v>5.2467468111937219</c:v>
                </c:pt>
                <c:pt idx="234">
                  <c:v>4.8943703527556108</c:v>
                </c:pt>
                <c:pt idx="235">
                  <c:v>5.3453218624295298</c:v>
                </c:pt>
                <c:pt idx="236">
                  <c:v>5.41076705608572</c:v>
                </c:pt>
                <c:pt idx="237">
                  <c:v>3.5578038910503018</c:v>
                </c:pt>
                <c:pt idx="238">
                  <c:v>1.8967355928697163</c:v>
                </c:pt>
                <c:pt idx="239">
                  <c:v>3.0340887808304746</c:v>
                </c:pt>
                <c:pt idx="240">
                  <c:v>4.1995378164360284</c:v>
                </c:pt>
                <c:pt idx="241">
                  <c:v>4.4090364261827011</c:v>
                </c:pt>
                <c:pt idx="242">
                  <c:v>4.8738149236461838</c:v>
                </c:pt>
                <c:pt idx="243">
                  <c:v>4.8920268219822747</c:v>
                </c:pt>
                <c:pt idx="244">
                  <c:v>5.0902843606126655</c:v>
                </c:pt>
                <c:pt idx="245">
                  <c:v>6.5187596592851218</c:v>
                </c:pt>
                <c:pt idx="246">
                  <c:v>6.0160612847660984</c:v>
                </c:pt>
                <c:pt idx="247">
                  <c:v>6.1663904404924139</c:v>
                </c:pt>
                <c:pt idx="248">
                  <c:v>6.6111931328304081</c:v>
                </c:pt>
                <c:pt idx="249">
                  <c:v>5.5319583806328723</c:v>
                </c:pt>
                <c:pt idx="250">
                  <c:v>4.7943499322852201</c:v>
                </c:pt>
                <c:pt idx="251">
                  <c:v>6.4991114127345204</c:v>
                </c:pt>
                <c:pt idx="252">
                  <c:v>6.4091674595240855</c:v>
                </c:pt>
                <c:pt idx="253">
                  <c:v>6.2528454251321346</c:v>
                </c:pt>
                <c:pt idx="254">
                  <c:v>6.3630656714827607</c:v>
                </c:pt>
                <c:pt idx="255">
                  <c:v>6.5218005662124696</c:v>
                </c:pt>
                <c:pt idx="256">
                  <c:v>6.4847342929331369</c:v>
                </c:pt>
                <c:pt idx="257">
                  <c:v>6.4007951621909962</c:v>
                </c:pt>
                <c:pt idx="258">
                  <c:v>5.5341899378575077</c:v>
                </c:pt>
                <c:pt idx="259">
                  <c:v>4.773682111004689</c:v>
                </c:pt>
                <c:pt idx="260">
                  <c:v>2.0761741730450094</c:v>
                </c:pt>
                <c:pt idx="261">
                  <c:v>4.2237127001569545</c:v>
                </c:pt>
                <c:pt idx="262">
                  <c:v>4.5498315600270738</c:v>
                </c:pt>
                <c:pt idx="263">
                  <c:v>5.8182345851063886</c:v>
                </c:pt>
                <c:pt idx="264">
                  <c:v>6.4282659528570028</c:v>
                </c:pt>
                <c:pt idx="265">
                  <c:v>4.6796653266811292</c:v>
                </c:pt>
                <c:pt idx="266">
                  <c:v>6.126593471418242</c:v>
                </c:pt>
                <c:pt idx="267">
                  <c:v>6.3565148496889057</c:v>
                </c:pt>
                <c:pt idx="268">
                  <c:v>6.8002959082407388</c:v>
                </c:pt>
                <c:pt idx="269">
                  <c:v>6.9723540298493045</c:v>
                </c:pt>
                <c:pt idx="270">
                  <c:v>7.0114609837757502</c:v>
                </c:pt>
                <c:pt idx="271">
                  <c:v>4.9588480514990021</c:v>
                </c:pt>
                <c:pt idx="272">
                  <c:v>5.0554588643380489</c:v>
                </c:pt>
                <c:pt idx="273">
                  <c:v>6.0729200324906438</c:v>
                </c:pt>
                <c:pt idx="274">
                  <c:v>6.2808793092878776</c:v>
                </c:pt>
                <c:pt idx="275">
                  <c:v>7.5744295286864745</c:v>
                </c:pt>
                <c:pt idx="276">
                  <c:v>7.3583618976906351</c:v>
                </c:pt>
                <c:pt idx="277">
                  <c:v>5.4491726314957099</c:v>
                </c:pt>
                <c:pt idx="278">
                  <c:v>4.5103971428118497</c:v>
                </c:pt>
                <c:pt idx="279">
                  <c:v>5.8651224433387936</c:v>
                </c:pt>
                <c:pt idx="280">
                  <c:v>6.8928142654554305</c:v>
                </c:pt>
                <c:pt idx="281">
                  <c:v>6.9738095640193869</c:v>
                </c:pt>
                <c:pt idx="282">
                  <c:v>7.6057897632613756</c:v>
                </c:pt>
                <c:pt idx="283">
                  <c:v>5.5926085417666984</c:v>
                </c:pt>
                <c:pt idx="284">
                  <c:v>5.1084778029243623</c:v>
                </c:pt>
                <c:pt idx="285">
                  <c:v>5.2579586359753332</c:v>
                </c:pt>
                <c:pt idx="286">
                  <c:v>5.244010580348454</c:v>
                </c:pt>
                <c:pt idx="287">
                  <c:v>6.0735553525315185</c:v>
                </c:pt>
                <c:pt idx="288">
                  <c:v>6.003887398278331</c:v>
                </c:pt>
                <c:pt idx="289">
                  <c:v>6.7249007429064269</c:v>
                </c:pt>
                <c:pt idx="290">
                  <c:v>6.4638685161035996</c:v>
                </c:pt>
                <c:pt idx="291">
                  <c:v>6.412585766859527</c:v>
                </c:pt>
                <c:pt idx="292">
                  <c:v>6.0756658859880144</c:v>
                </c:pt>
                <c:pt idx="293">
                  <c:v>4.1209566508766589</c:v>
                </c:pt>
                <c:pt idx="294">
                  <c:v>3.9898923767467362</c:v>
                </c:pt>
                <c:pt idx="295">
                  <c:v>5.451653781960033</c:v>
                </c:pt>
                <c:pt idx="296">
                  <c:v>5.7007489437805061</c:v>
                </c:pt>
                <c:pt idx="297">
                  <c:v>4.865111083917764</c:v>
                </c:pt>
                <c:pt idx="298">
                  <c:v>5.8887304094826458</c:v>
                </c:pt>
                <c:pt idx="299">
                  <c:v>4.9870776388646947</c:v>
                </c:pt>
                <c:pt idx="300">
                  <c:v>5.5712819753209164</c:v>
                </c:pt>
                <c:pt idx="301">
                  <c:v>3.6870941212769743</c:v>
                </c:pt>
                <c:pt idx="302">
                  <c:v>4.7966415666669073</c:v>
                </c:pt>
                <c:pt idx="303">
                  <c:v>5.6286801239354789</c:v>
                </c:pt>
                <c:pt idx="304">
                  <c:v>5.8810531793618743</c:v>
                </c:pt>
                <c:pt idx="305">
                  <c:v>5.6510851044975823</c:v>
                </c:pt>
                <c:pt idx="306">
                  <c:v>6.081651250291257</c:v>
                </c:pt>
                <c:pt idx="307">
                  <c:v>4.8308975509029732</c:v>
                </c:pt>
                <c:pt idx="308">
                  <c:v>3.8585451273864768</c:v>
                </c:pt>
                <c:pt idx="309">
                  <c:v>3.3719490123210312</c:v>
                </c:pt>
                <c:pt idx="310">
                  <c:v>5.3661898048290384</c:v>
                </c:pt>
                <c:pt idx="311">
                  <c:v>4.9666347180406891</c:v>
                </c:pt>
                <c:pt idx="312">
                  <c:v>3.3569564217813372</c:v>
                </c:pt>
                <c:pt idx="313">
                  <c:v>3.7065018944909744</c:v>
                </c:pt>
                <c:pt idx="314">
                  <c:v>4.7692612531379384</c:v>
                </c:pt>
                <c:pt idx="315">
                  <c:v>5.6671423728639256</c:v>
                </c:pt>
                <c:pt idx="316">
                  <c:v>6.7213925808875254</c:v>
                </c:pt>
                <c:pt idx="317">
                  <c:v>7.1379913366983256</c:v>
                </c:pt>
                <c:pt idx="318">
                  <c:v>4.4083636414914444</c:v>
                </c:pt>
                <c:pt idx="319">
                  <c:v>5.792819952608447</c:v>
                </c:pt>
                <c:pt idx="320">
                  <c:v>5.9846489206059967</c:v>
                </c:pt>
                <c:pt idx="321">
                  <c:v>4.9134717406304569</c:v>
                </c:pt>
                <c:pt idx="322">
                  <c:v>5.5995736033291941</c:v>
                </c:pt>
                <c:pt idx="323">
                  <c:v>6.46079089137287</c:v>
                </c:pt>
                <c:pt idx="324">
                  <c:v>6.5699394021643513</c:v>
                </c:pt>
                <c:pt idx="325">
                  <c:v>6.73250531550286</c:v>
                </c:pt>
                <c:pt idx="326">
                  <c:v>4.8654499207667454</c:v>
                </c:pt>
                <c:pt idx="327">
                  <c:v>3.5142740271610986</c:v>
                </c:pt>
                <c:pt idx="328">
                  <c:v>5.4670011555163613</c:v>
                </c:pt>
                <c:pt idx="329">
                  <c:v>5.4580938079440671</c:v>
                </c:pt>
                <c:pt idx="330">
                  <c:v>6.6783835986907958</c:v>
                </c:pt>
                <c:pt idx="331">
                  <c:v>6.7022665782018231</c:v>
                </c:pt>
                <c:pt idx="332">
                  <c:v>6.8420476658870788</c:v>
                </c:pt>
                <c:pt idx="333">
                  <c:v>6.4412047949850919</c:v>
                </c:pt>
                <c:pt idx="334">
                  <c:v>4.8868860980812023</c:v>
                </c:pt>
                <c:pt idx="335">
                  <c:v>5.6232193720781236</c:v>
                </c:pt>
                <c:pt idx="336">
                  <c:v>7.1111230686352496</c:v>
                </c:pt>
                <c:pt idx="337">
                  <c:v>5.4674857447269387</c:v>
                </c:pt>
                <c:pt idx="338">
                  <c:v>3.4083749861940791</c:v>
                </c:pt>
                <c:pt idx="339">
                  <c:v>3.8855593750326083</c:v>
                </c:pt>
                <c:pt idx="340">
                  <c:v>5.8856033077000998</c:v>
                </c:pt>
                <c:pt idx="341">
                  <c:v>6.5501592140941982</c:v>
                </c:pt>
                <c:pt idx="342">
                  <c:v>6.5978461667581838</c:v>
                </c:pt>
                <c:pt idx="343">
                  <c:v>4.9575007371939845</c:v>
                </c:pt>
                <c:pt idx="344">
                  <c:v>5.1912354405315666</c:v>
                </c:pt>
                <c:pt idx="345">
                  <c:v>5.7923584033743554</c:v>
                </c:pt>
                <c:pt idx="346">
                  <c:v>5.7968358068020693</c:v>
                </c:pt>
                <c:pt idx="347">
                  <c:v>6.2796401789536</c:v>
                </c:pt>
                <c:pt idx="348">
                  <c:v>6.172033022617037</c:v>
                </c:pt>
                <c:pt idx="349">
                  <c:v>3.8094827950296262</c:v>
                </c:pt>
                <c:pt idx="350">
                  <c:v>5.7365927773995535</c:v>
                </c:pt>
                <c:pt idx="351">
                  <c:v>5.6808499791787979</c:v>
                </c:pt>
                <c:pt idx="352">
                  <c:v>6.8104674513062946</c:v>
                </c:pt>
                <c:pt idx="353">
                  <c:v>6.686609682261766</c:v>
                </c:pt>
                <c:pt idx="354">
                  <c:v>6.7236248351823296</c:v>
                </c:pt>
                <c:pt idx="355">
                  <c:v>6.1238307653070834</c:v>
                </c:pt>
                <c:pt idx="356">
                  <c:v>5.1105859353248029</c:v>
                </c:pt>
                <c:pt idx="357">
                  <c:v>5.0372796887037197</c:v>
                </c:pt>
                <c:pt idx="358">
                  <c:v>5.2667757836272902</c:v>
                </c:pt>
                <c:pt idx="359">
                  <c:v>6.1454573746710999</c:v>
                </c:pt>
                <c:pt idx="360">
                  <c:v>6.2144183198370548</c:v>
                </c:pt>
                <c:pt idx="361">
                  <c:v>4.5459544774606764</c:v>
                </c:pt>
                <c:pt idx="362">
                  <c:v>4.6771984743806696</c:v>
                </c:pt>
                <c:pt idx="363">
                  <c:v>6.2036641230021319</c:v>
                </c:pt>
                <c:pt idx="364">
                  <c:v>5.9215158119993543</c:v>
                </c:pt>
                <c:pt idx="365">
                  <c:v>6.0704750602972268</c:v>
                </c:pt>
                <c:pt idx="366">
                  <c:v>6.375954353688714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35B-4B5B-9FFC-830998015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5689727"/>
        <c:axId val="1265690207"/>
      </c:scatterChart>
      <c:valAx>
        <c:axId val="1265689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5690207"/>
        <c:crosses val="autoZero"/>
        <c:crossBetween val="midCat"/>
      </c:valAx>
      <c:valAx>
        <c:axId val="126569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5689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1038225</xdr:colOff>
      <xdr:row>337</xdr:row>
      <xdr:rowOff>123825</xdr:rowOff>
    </xdr:from>
    <xdr:to>
      <xdr:col>29</xdr:col>
      <xdr:colOff>23812</xdr:colOff>
      <xdr:row>362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CF43B54-E5B8-146C-9CCB-2171FED93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642937</xdr:colOff>
      <xdr:row>159</xdr:row>
      <xdr:rowOff>142874</xdr:rowOff>
    </xdr:from>
    <xdr:to>
      <xdr:col>28</xdr:col>
      <xdr:colOff>561975</xdr:colOff>
      <xdr:row>189</xdr:row>
      <xdr:rowOff>152399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89FE01E-4D03-8F5F-39FE-94D99EA2B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6F26E-BAD9-4934-807C-458E0BFA7005}">
  <dimension ref="A1:AT371"/>
  <sheetViews>
    <sheetView tabSelected="1" topLeftCell="P1" zoomScaleNormal="100" workbookViewId="0">
      <selection activeCell="P6" sqref="P6:P371"/>
    </sheetView>
  </sheetViews>
  <sheetFormatPr defaultRowHeight="12.75" x14ac:dyDescent="0.2"/>
  <cols>
    <col min="1" max="1" width="7.1640625" style="5" bestFit="1" customWidth="1"/>
    <col min="2" max="2" width="10.6640625" style="5" bestFit="1" customWidth="1"/>
    <col min="3" max="3" width="11.6640625" style="5" bestFit="1" customWidth="1"/>
    <col min="4" max="4" width="10.33203125" style="7" bestFit="1" customWidth="1"/>
    <col min="5" max="5" width="10.83203125" style="5" bestFit="1" customWidth="1"/>
    <col min="6" max="6" width="11.83203125" style="5" bestFit="1" customWidth="1"/>
    <col min="7" max="7" width="17.6640625" style="5" bestFit="1" customWidth="1"/>
    <col min="8" max="8" width="10.1640625" style="5" bestFit="1" customWidth="1"/>
    <col min="9" max="9" width="11.1640625" style="5" bestFit="1" customWidth="1"/>
    <col min="10" max="10" width="10.83203125" style="5" bestFit="1" customWidth="1"/>
    <col min="11" max="11" width="17.1640625" style="6" bestFit="1" customWidth="1"/>
    <col min="12" max="12" width="15.6640625" style="6" bestFit="1" customWidth="1"/>
    <col min="14" max="14" width="13.6640625" style="5" bestFit="1" customWidth="1"/>
    <col min="15" max="15" width="23" style="6" bestFit="1" customWidth="1"/>
    <col min="16" max="16" width="10" style="5" customWidth="1"/>
    <col min="17" max="17" width="20.83203125" style="5" bestFit="1" customWidth="1"/>
    <col min="18" max="18" width="32.6640625" style="5" bestFit="1" customWidth="1"/>
    <col min="19" max="19" width="15.6640625" style="5" bestFit="1" customWidth="1"/>
    <col min="20" max="20" width="18.6640625" style="5" bestFit="1" customWidth="1"/>
    <col min="21" max="21" width="13.83203125" style="5" bestFit="1" customWidth="1"/>
    <col min="22" max="22" width="13.33203125" style="5" customWidth="1"/>
    <col min="23" max="23" width="14.5" style="5" bestFit="1" customWidth="1"/>
    <col min="24" max="24" width="9.33203125" style="5"/>
    <col min="25" max="25" width="9.1640625" style="5" bestFit="1" customWidth="1"/>
    <col min="29" max="29" width="10.6640625" bestFit="1" customWidth="1"/>
    <col min="30" max="30" width="17" style="5" bestFit="1" customWidth="1"/>
    <col min="31" max="37" width="9.33203125" style="5"/>
    <col min="38" max="38" width="15.5" style="5" bestFit="1" customWidth="1"/>
    <col min="39" max="46" width="9.33203125" style="5"/>
    <col min="47" max="47" width="12.6640625" style="5" bestFit="1" customWidth="1"/>
    <col min="48" max="48" width="12.5" style="5" bestFit="1" customWidth="1"/>
    <col min="49" max="16384" width="9.33203125" style="5"/>
  </cols>
  <sheetData>
    <row r="1" spans="1:46" x14ac:dyDescent="0.2">
      <c r="B1" s="28" t="s">
        <v>0</v>
      </c>
      <c r="C1" s="28"/>
      <c r="D1" s="28"/>
      <c r="E1" s="28"/>
      <c r="F1" s="28"/>
      <c r="G1" s="28"/>
      <c r="H1" s="28"/>
      <c r="I1" s="28"/>
      <c r="J1" s="28"/>
      <c r="K1" s="28"/>
      <c r="L1" s="28"/>
      <c r="N1" s="5">
        <f t="shared" ref="N1:S1" si="0">SUM(N6:N371)</f>
        <v>1185.7202491243213</v>
      </c>
      <c r="O1" s="6">
        <f t="shared" si="0"/>
        <v>6829.0625242090655</v>
      </c>
      <c r="P1" s="5">
        <f t="shared" si="0"/>
        <v>1164.6762600000036</v>
      </c>
      <c r="Q1" s="5">
        <f t="shared" si="0"/>
        <v>1716.7898907236759</v>
      </c>
      <c r="R1" s="5">
        <f t="shared" si="0"/>
        <v>1790.7150127443272</v>
      </c>
      <c r="S1" s="5">
        <f t="shared" si="0"/>
        <v>2316.7704681077144</v>
      </c>
      <c r="T1" s="5">
        <f>SUM(T6:T371)</f>
        <v>1790.7150127443279</v>
      </c>
      <c r="U1" s="5">
        <f>SUM(U6:U371)</f>
        <v>7675.6960521568899</v>
      </c>
      <c r="W1" s="5">
        <f>T1/Q1</f>
        <v>1.0430600869798285</v>
      </c>
    </row>
    <row r="2" spans="1:46" x14ac:dyDescent="0.2">
      <c r="B2" s="28" t="s">
        <v>1</v>
      </c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46" x14ac:dyDescent="0.2">
      <c r="A3" s="1"/>
      <c r="B3" s="2"/>
      <c r="C3" s="2"/>
      <c r="D3" s="2"/>
      <c r="E3" s="2"/>
      <c r="F3" s="2"/>
      <c r="G3" s="2"/>
      <c r="H3" s="2"/>
      <c r="I3" s="2"/>
      <c r="J3" s="2"/>
      <c r="K3" s="3"/>
      <c r="L3" s="3"/>
    </row>
    <row r="4" spans="1:46" x14ac:dyDescent="0.2">
      <c r="A4" s="1" t="s">
        <v>2</v>
      </c>
      <c r="B4" s="2" t="s">
        <v>2</v>
      </c>
      <c r="C4" s="2" t="s">
        <v>2</v>
      </c>
      <c r="D4" s="2" t="s">
        <v>2</v>
      </c>
      <c r="E4" s="2" t="s">
        <v>2</v>
      </c>
      <c r="F4" s="2" t="s">
        <v>2</v>
      </c>
      <c r="G4" s="2" t="s">
        <v>2</v>
      </c>
      <c r="H4" s="2" t="s">
        <v>2</v>
      </c>
      <c r="I4" s="2" t="s">
        <v>2</v>
      </c>
      <c r="J4" s="2" t="s">
        <v>2</v>
      </c>
      <c r="K4" s="3" t="s">
        <v>2</v>
      </c>
      <c r="L4" s="3" t="s">
        <v>2</v>
      </c>
      <c r="N4" s="11"/>
      <c r="O4" s="15"/>
      <c r="P4" s="11"/>
      <c r="Q4" s="11"/>
      <c r="R4" s="11"/>
      <c r="S4" s="11"/>
      <c r="T4" s="11"/>
      <c r="W4" s="29" t="s">
        <v>8</v>
      </c>
      <c r="X4" s="29"/>
      <c r="Y4" s="29"/>
      <c r="Z4" s="29"/>
      <c r="AA4" s="29"/>
      <c r="AB4" s="29"/>
      <c r="AC4" s="29"/>
      <c r="AD4" s="27" t="s">
        <v>13</v>
      </c>
      <c r="AE4" s="27"/>
      <c r="AF4" s="27"/>
      <c r="AG4" s="27"/>
      <c r="AH4" s="27"/>
      <c r="AI4" s="27"/>
      <c r="AJ4" s="27"/>
      <c r="AK4" s="27"/>
      <c r="AL4" s="26" t="s">
        <v>11</v>
      </c>
      <c r="AM4" s="26" t="s">
        <v>9</v>
      </c>
      <c r="AP4"/>
      <c r="AQ4"/>
      <c r="AR4"/>
      <c r="AS4"/>
      <c r="AT4"/>
    </row>
    <row r="5" spans="1:46" x14ac:dyDescent="0.2">
      <c r="A5" s="1" t="s">
        <v>3</v>
      </c>
      <c r="B5" s="2" t="s">
        <v>63</v>
      </c>
      <c r="C5" s="2" t="s">
        <v>60</v>
      </c>
      <c r="D5" s="2" t="s">
        <v>65</v>
      </c>
      <c r="E5" s="2" t="s">
        <v>58</v>
      </c>
      <c r="F5" s="2" t="s">
        <v>62</v>
      </c>
      <c r="G5" s="2" t="s">
        <v>64</v>
      </c>
      <c r="H5" s="2" t="s">
        <v>59</v>
      </c>
      <c r="I5" s="2" t="s">
        <v>61</v>
      </c>
      <c r="J5" s="2" t="s">
        <v>55</v>
      </c>
      <c r="K5" s="3" t="s">
        <v>56</v>
      </c>
      <c r="L5" s="3" t="s">
        <v>57</v>
      </c>
      <c r="N5" s="12" t="s">
        <v>4</v>
      </c>
      <c r="O5" s="24" t="s">
        <v>5</v>
      </c>
      <c r="P5" s="12" t="s">
        <v>9</v>
      </c>
      <c r="Q5" s="12" t="s">
        <v>10</v>
      </c>
      <c r="R5" s="12" t="s">
        <v>35</v>
      </c>
      <c r="S5" s="12" t="s">
        <v>11</v>
      </c>
      <c r="T5" s="12" t="s">
        <v>12</v>
      </c>
      <c r="U5" s="12" t="s">
        <v>68</v>
      </c>
      <c r="V5" s="12"/>
      <c r="X5" s="4" t="s">
        <v>69</v>
      </c>
      <c r="Y5" s="4" t="s">
        <v>6</v>
      </c>
      <c r="Z5" s="4" t="s">
        <v>70</v>
      </c>
      <c r="AA5" s="4" t="s">
        <v>7</v>
      </c>
      <c r="AB5" s="4" t="s">
        <v>71</v>
      </c>
      <c r="AC5" s="5"/>
      <c r="AD5" s="4" t="s">
        <v>15</v>
      </c>
      <c r="AE5" s="4" t="s">
        <v>16</v>
      </c>
      <c r="AF5" s="4" t="s">
        <v>17</v>
      </c>
      <c r="AG5" s="4" t="s">
        <v>18</v>
      </c>
      <c r="AH5" s="4" t="s">
        <v>19</v>
      </c>
      <c r="AI5" s="4" t="s">
        <v>14</v>
      </c>
      <c r="AJ5" s="4" t="s">
        <v>20</v>
      </c>
      <c r="AK5" s="4" t="s">
        <v>21</v>
      </c>
      <c r="AM5" s="4" t="s">
        <v>22</v>
      </c>
      <c r="AN5" s="5" t="s">
        <v>69</v>
      </c>
    </row>
    <row r="6" spans="1:46" x14ac:dyDescent="0.2">
      <c r="A6" s="1">
        <v>1</v>
      </c>
      <c r="B6" s="2">
        <v>25.11</v>
      </c>
      <c r="C6" s="2">
        <v>66.02062500000001</v>
      </c>
      <c r="D6" s="2">
        <v>2.0680000000000001</v>
      </c>
      <c r="E6" s="2">
        <v>32.71</v>
      </c>
      <c r="F6" s="2">
        <v>84.6</v>
      </c>
      <c r="G6" s="2">
        <v>5.7919999999999998</v>
      </c>
      <c r="H6" s="2">
        <v>19.760000000000002</v>
      </c>
      <c r="I6" s="2">
        <v>39.020000000000003</v>
      </c>
      <c r="J6" s="2">
        <v>0</v>
      </c>
      <c r="K6" s="3">
        <v>23.25</v>
      </c>
      <c r="L6" s="3">
        <v>12.295019999999999</v>
      </c>
      <c r="N6" s="6">
        <f>IF(0&lt;AN6&lt;26.5,16*(((10*AN6)/$Z$6)^$Z$6)/30,((-415.85)+(32.24*AN6)-(0.43*AN6^2))/30)</f>
        <v>4.0286148856052746</v>
      </c>
      <c r="O6" s="6">
        <f>IF(0&lt;AN6&lt;26.5,(16*((10*AN6)/$Z$6)/30),(-415.85+32.24*AN6-(-0.43*(AN6^2)))/30)</f>
        <v>21.873225114394735</v>
      </c>
      <c r="P6" s="6">
        <f>(0.01*AN6*AM6)</f>
        <v>4.1665961290322588</v>
      </c>
      <c r="Q6" s="6">
        <f t="shared" ref="Q6:Q69" si="1">0.0023*(SQRT(E6-H6))*(17.8+B6)*AM6</f>
        <v>5.9311335889481303</v>
      </c>
      <c r="R6" s="6">
        <f>Q6*$W$1</f>
        <v>6.186528717177219</v>
      </c>
      <c r="S6" s="6">
        <f>1.26*AL6*((K6*0.95)/2.45)</f>
        <v>8.3388516428571418</v>
      </c>
      <c r="T6" s="6">
        <f>((0.408*AI6)*(K6*0.95) + ((0.063*900*G6*AK6)/((AD6+273))))/(AI6+0.063*(1+0.34*G6))</f>
        <v>5.7778797631142567</v>
      </c>
      <c r="U6" s="6">
        <f>1.21*(10^((7.45*B6)/(234.7+B6)))*((1-0.01*(C6/100))+(0.21*B6)-2.3)</f>
        <v>25.189343662690369</v>
      </c>
      <c r="W6" s="4" t="s">
        <v>23</v>
      </c>
      <c r="X6" s="6">
        <f>AVERAGE(B6:B36)</f>
        <v>24.949677419354842</v>
      </c>
      <c r="Y6" s="6">
        <f t="shared" ref="Y6:Y17" si="2">(X6/5)^1.514</f>
        <v>11.400285427900524</v>
      </c>
      <c r="Z6" s="6">
        <f>SUM(Y6:Y17)</f>
        <v>122.18399683540824</v>
      </c>
      <c r="AA6" s="17">
        <f>0.49239+1.7912*10^(-2)*Z6-7.71*10^(-5)*Z6^2+6.75*10^(-7)*Z6^3</f>
        <v>2.7611807701022677</v>
      </c>
      <c r="AB6" s="6">
        <f>IF(0&lt;X6&lt;26.5,16*(31/30)*(12/12)*((10*X6)/$Z$6)^$AA$6,-415.85+32.24*X6-0.43*(X6^2))</f>
        <v>120.85844656815823</v>
      </c>
      <c r="AC6" s="6">
        <f>AB6/30</f>
        <v>4.0286148856052746</v>
      </c>
      <c r="AD6" s="6">
        <f t="shared" ref="AD6:AD18" si="3">(E6-H6)/2</f>
        <v>6.4749999999999996</v>
      </c>
      <c r="AE6" s="6">
        <f t="shared" ref="AE6:AE18" si="4">(F6-I6)/2</f>
        <v>22.789999999999996</v>
      </c>
      <c r="AF6" s="6">
        <f t="shared" ref="AF6:AF18" si="5">0.611*10^((7.5*E6)/(273.3+E6))</f>
        <v>3.8701758403453588</v>
      </c>
      <c r="AG6" s="6">
        <f t="shared" ref="AG6:AG18" si="6">0.611*10^((7.5*H6)/(273.3+H6))</f>
        <v>1.9576709755567447</v>
      </c>
      <c r="AH6" s="6">
        <f>(AF6-AG6)/2</f>
        <v>0.95625243239430702</v>
      </c>
      <c r="AI6" s="6">
        <f t="shared" ref="AI6:AI18" si="7">(4098*AH6)/((237.3+AD6)^2)</f>
        <v>6.5942616717994729E-2</v>
      </c>
      <c r="AJ6" s="6">
        <f>(AE6*AH6)/100</f>
        <v>0.21792992934266253</v>
      </c>
      <c r="AK6" s="6">
        <f>AH6-AJ6</f>
        <v>0.73832250305164449</v>
      </c>
      <c r="AL6" s="6">
        <f t="shared" ref="AL6:AL18" si="8">IF(0&lt;B6&lt;16,0.407+0.0145*B6,0.483+0.01*B6)</f>
        <v>0.73409999999999997</v>
      </c>
      <c r="AM6" s="6">
        <v>16.7</v>
      </c>
      <c r="AN6" s="6">
        <f>$X$6</f>
        <v>24.949677419354842</v>
      </c>
    </row>
    <row r="7" spans="1:46" x14ac:dyDescent="0.2">
      <c r="A7" s="1">
        <v>2</v>
      </c>
      <c r="B7" s="2">
        <v>25.77</v>
      </c>
      <c r="C7" s="2">
        <v>68.261666666666642</v>
      </c>
      <c r="D7" s="2">
        <v>1.571</v>
      </c>
      <c r="E7" s="2">
        <v>32.85</v>
      </c>
      <c r="F7" s="1">
        <v>94.2</v>
      </c>
      <c r="G7" s="2">
        <v>6.9109999999999996</v>
      </c>
      <c r="H7" s="2">
        <v>19.71</v>
      </c>
      <c r="I7" s="2">
        <v>41.69</v>
      </c>
      <c r="J7" s="2">
        <v>0</v>
      </c>
      <c r="K7" s="3">
        <v>21.49</v>
      </c>
      <c r="L7" s="3">
        <v>11.098409999999999</v>
      </c>
      <c r="N7" s="6">
        <f t="shared" ref="N7:N70" si="9">IF(0&lt;AN7&lt;26.5,16*(((10*AN7)/$Z$6)^$Z$6)/30,((-415.85)+(32.24*AN7)-(0.43*AN7^2))/30)</f>
        <v>4.0286148856052746</v>
      </c>
      <c r="O7" s="6">
        <f t="shared" ref="O7:O70" si="10">IF(0&lt;AN7&lt;26.5,(16*((10*AN7)/$Z$6)/30),(-415.85+32.24*AN7-(-0.43*(AN7^2)))/30)</f>
        <v>21.873225114394735</v>
      </c>
      <c r="P7" s="6">
        <f t="shared" ref="P7:P70" si="11">(0.01*AN7*AM7)</f>
        <v>4.1665961290322588</v>
      </c>
      <c r="Q7" s="6">
        <f t="shared" si="1"/>
        <v>6.0663791415000263</v>
      </c>
      <c r="R7" s="6">
        <f t="shared" ref="R7:R70" si="12">Q7*$W$1</f>
        <v>6.3275979549856354</v>
      </c>
      <c r="S7" s="6">
        <f t="shared" ref="S7:S70" si="13">1.26*AL7*((K7*0.95)/2.45)</f>
        <v>7.7769055799999984</v>
      </c>
      <c r="T7" s="6">
        <f t="shared" ref="T7:T18" si="14">((0.408*AI7)*(K7*0.95) + ((0.063*900*G7*AK7)/((AD7+273))))/(AI7+0.063*(1+0.34*G7))</f>
        <v>5.6233468424928468</v>
      </c>
      <c r="U7" s="6">
        <f t="shared" ref="U7:U70" si="15">1.21*(10^((7.45*B7)/(234.7+B7)))*((1-0.01*(C7/100))+(0.21*B7)-2.3)</f>
        <v>27.112052085868349</v>
      </c>
      <c r="W7" s="4" t="s">
        <v>24</v>
      </c>
      <c r="X7" s="6">
        <f>AVERAGE(B37:B65)</f>
        <v>25.173448275862071</v>
      </c>
      <c r="Y7" s="6">
        <f t="shared" si="2"/>
        <v>11.555445024437999</v>
      </c>
      <c r="Z7" s="6"/>
      <c r="AA7" s="6"/>
      <c r="AB7" s="6">
        <f>IF(0&lt;X7&lt;26.5,16*(29/30)*(12/12)*((10*X7)/$Z$6)^$AA$6,-415.85+32.24*X7-0.43*(X7^2))</f>
        <v>123.24989823186689</v>
      </c>
      <c r="AC7" s="6">
        <f t="shared" ref="AC7:AC17" si="16">AB7/30</f>
        <v>4.1083299410622294</v>
      </c>
      <c r="AD7" s="6">
        <f t="shared" si="3"/>
        <v>6.57</v>
      </c>
      <c r="AE7" s="6">
        <f t="shared" si="4"/>
        <v>26.255000000000003</v>
      </c>
      <c r="AF7" s="6">
        <f t="shared" si="5"/>
        <v>3.8975687318247871</v>
      </c>
      <c r="AG7" s="6">
        <f t="shared" si="6"/>
        <v>1.9522982992488185</v>
      </c>
      <c r="AH7" s="6">
        <f t="shared" ref="AH7:AH70" si="17">(AF7-AG7)/2</f>
        <v>0.97263521628798433</v>
      </c>
      <c r="AI7" s="6">
        <f t="shared" si="7"/>
        <v>6.7020117911658197E-2</v>
      </c>
      <c r="AJ7" s="6">
        <f t="shared" ref="AJ7:AJ70" si="18">(AE7*AH7)/100</f>
        <v>0.2553653760364103</v>
      </c>
      <c r="AK7" s="6">
        <f t="shared" ref="AK7:AK70" si="19">AH7-AJ7</f>
        <v>0.71726984025157403</v>
      </c>
      <c r="AL7" s="6">
        <f t="shared" si="8"/>
        <v>0.74069999999999991</v>
      </c>
      <c r="AM7" s="6">
        <v>16.7</v>
      </c>
      <c r="AN7" s="6">
        <f t="shared" ref="AN7:AN36" si="20">$X$6</f>
        <v>24.949677419354842</v>
      </c>
    </row>
    <row r="8" spans="1:46" x14ac:dyDescent="0.2">
      <c r="A8" s="1">
        <v>3</v>
      </c>
      <c r="B8" s="2">
        <v>25.43</v>
      </c>
      <c r="C8" s="2">
        <v>74.925629999999998</v>
      </c>
      <c r="D8" s="2">
        <v>1.456</v>
      </c>
      <c r="E8" s="2">
        <v>33.67</v>
      </c>
      <c r="F8" s="1">
        <v>92.2</v>
      </c>
      <c r="G8" s="2">
        <v>6.032</v>
      </c>
      <c r="H8" s="2">
        <v>20.28</v>
      </c>
      <c r="I8" s="2">
        <v>44.81</v>
      </c>
      <c r="J8" s="2">
        <v>0.254</v>
      </c>
      <c r="K8" s="3">
        <v>23.15</v>
      </c>
      <c r="L8" s="3">
        <v>12.6906</v>
      </c>
      <c r="N8" s="6">
        <f t="shared" si="9"/>
        <v>4.0286148856052746</v>
      </c>
      <c r="O8" s="6">
        <f t="shared" si="10"/>
        <v>21.873225114394735</v>
      </c>
      <c r="P8" s="6">
        <f t="shared" si="11"/>
        <v>4.1665961290322588</v>
      </c>
      <c r="Q8" s="6">
        <f t="shared" si="1"/>
        <v>6.0760289046533043</v>
      </c>
      <c r="R8" s="6">
        <f t="shared" si="12"/>
        <v>6.337663237779628</v>
      </c>
      <c r="S8" s="6">
        <f t="shared" si="13"/>
        <v>8.339178985714284</v>
      </c>
      <c r="T8" s="6">
        <f t="shared" si="14"/>
        <v>6.0429221802838908</v>
      </c>
      <c r="U8" s="6">
        <f t="shared" si="15"/>
        <v>26.103335888218993</v>
      </c>
      <c r="W8" s="4" t="s">
        <v>25</v>
      </c>
      <c r="X8" s="6">
        <f>AVERAGE(B66:B96)</f>
        <v>24.836129032258064</v>
      </c>
      <c r="Y8" s="6">
        <f t="shared" si="2"/>
        <v>11.321825302616396</v>
      </c>
      <c r="Z8" s="6"/>
      <c r="AA8" s="6"/>
      <c r="AB8" s="6">
        <f>IF(0&lt;X8&lt;26.5,16*(31/30)*(12/12)*((10*X8)/$Z$6)^$AA$6,-415.85+32.24*X8-0.43*(X8^2))</f>
        <v>119.6284787180021</v>
      </c>
      <c r="AC8" s="6">
        <f t="shared" si="16"/>
        <v>3.9876159572667365</v>
      </c>
      <c r="AD8" s="6">
        <f t="shared" si="3"/>
        <v>6.6950000000000003</v>
      </c>
      <c r="AE8" s="6">
        <f t="shared" si="4"/>
        <v>23.695</v>
      </c>
      <c r="AF8" s="6">
        <f t="shared" si="5"/>
        <v>4.0614265312660391</v>
      </c>
      <c r="AG8" s="6">
        <f t="shared" si="6"/>
        <v>2.0143191121171191</v>
      </c>
      <c r="AH8" s="6">
        <f t="shared" si="17"/>
        <v>1.02355370957446</v>
      </c>
      <c r="AI8" s="6">
        <f t="shared" si="7"/>
        <v>7.0456446751625906E-2</v>
      </c>
      <c r="AJ8" s="6">
        <f t="shared" si="18"/>
        <v>0.24253105148366833</v>
      </c>
      <c r="AK8" s="6">
        <f t="shared" si="19"/>
        <v>0.78102265809079174</v>
      </c>
      <c r="AL8" s="6">
        <f t="shared" si="8"/>
        <v>0.73730000000000007</v>
      </c>
      <c r="AM8" s="6">
        <v>16.7</v>
      </c>
      <c r="AN8" s="6">
        <f t="shared" si="20"/>
        <v>24.949677419354842</v>
      </c>
    </row>
    <row r="9" spans="1:46" x14ac:dyDescent="0.2">
      <c r="A9" s="1">
        <v>4</v>
      </c>
      <c r="B9" s="2">
        <v>25.52</v>
      </c>
      <c r="C9" s="2">
        <v>70.840519999999998</v>
      </c>
      <c r="D9" s="2">
        <v>2.226</v>
      </c>
      <c r="E9" s="2">
        <v>32.71</v>
      </c>
      <c r="F9" s="1">
        <v>90.7</v>
      </c>
      <c r="G9" s="2">
        <v>8.43</v>
      </c>
      <c r="H9" s="2">
        <v>20.91</v>
      </c>
      <c r="I9" s="2">
        <v>40.700000000000003</v>
      </c>
      <c r="J9" s="2">
        <v>0</v>
      </c>
      <c r="K9" s="3">
        <v>23.49</v>
      </c>
      <c r="L9" s="3">
        <v>11.74811</v>
      </c>
      <c r="N9" s="6">
        <f t="shared" si="9"/>
        <v>4.0286148856052746</v>
      </c>
      <c r="O9" s="6">
        <f t="shared" si="10"/>
        <v>21.873225114394735</v>
      </c>
      <c r="P9" s="6">
        <f t="shared" si="11"/>
        <v>4.1665961290322588</v>
      </c>
      <c r="Q9" s="6">
        <f t="shared" si="1"/>
        <v>5.7157570247300908</v>
      </c>
      <c r="R9" s="6">
        <f t="shared" si="12"/>
        <v>5.961878019370535</v>
      </c>
      <c r="S9" s="6">
        <f t="shared" si="13"/>
        <v>8.4719839371428556</v>
      </c>
      <c r="T9" s="6">
        <f t="shared" si="14"/>
        <v>5.6004678520321649</v>
      </c>
      <c r="U9" s="6">
        <f t="shared" si="15"/>
        <v>26.369091328100986</v>
      </c>
      <c r="W9" s="4" t="s">
        <v>26</v>
      </c>
      <c r="X9" s="6">
        <f>AVERAGE(B97:B126)</f>
        <v>24.588666666666668</v>
      </c>
      <c r="Y9" s="6">
        <f t="shared" si="2"/>
        <v>11.151471337122091</v>
      </c>
      <c r="Z9" s="6"/>
      <c r="AA9" s="6"/>
      <c r="AB9" s="6">
        <f>IF(0&lt;X9&lt;26.5,16*(30/30)*(12/12)*((10*X9)/$Z$6)^$AA$6,-415.85+32.24*X9-0.43*(X9^2))</f>
        <v>116.90952610222229</v>
      </c>
      <c r="AC9" s="6">
        <f t="shared" si="16"/>
        <v>3.8969842034074094</v>
      </c>
      <c r="AD9" s="6">
        <f t="shared" si="3"/>
        <v>5.9</v>
      </c>
      <c r="AE9" s="6">
        <f t="shared" si="4"/>
        <v>25</v>
      </c>
      <c r="AF9" s="6">
        <f t="shared" si="5"/>
        <v>3.8701758403453588</v>
      </c>
      <c r="AG9" s="6">
        <f t="shared" si="6"/>
        <v>2.0848693100370528</v>
      </c>
      <c r="AH9" s="6">
        <f t="shared" si="17"/>
        <v>0.892653265154153</v>
      </c>
      <c r="AI9" s="6">
        <f t="shared" si="7"/>
        <v>6.1848277770517934E-2</v>
      </c>
      <c r="AJ9" s="6">
        <f t="shared" si="18"/>
        <v>0.22316331628853825</v>
      </c>
      <c r="AK9" s="6">
        <f t="shared" si="19"/>
        <v>0.66948994886561475</v>
      </c>
      <c r="AL9" s="6">
        <f t="shared" si="8"/>
        <v>0.73819999999999997</v>
      </c>
      <c r="AM9" s="6">
        <v>16.7</v>
      </c>
      <c r="AN9" s="6">
        <f t="shared" si="20"/>
        <v>24.949677419354842</v>
      </c>
    </row>
    <row r="10" spans="1:46" x14ac:dyDescent="0.2">
      <c r="A10" s="1">
        <v>5</v>
      </c>
      <c r="B10" s="2">
        <v>25.68</v>
      </c>
      <c r="C10" s="2">
        <v>65.439170000000004</v>
      </c>
      <c r="D10" s="2">
        <v>2.1469999999999998</v>
      </c>
      <c r="E10" s="2">
        <v>33.67</v>
      </c>
      <c r="F10" s="1">
        <v>93.1</v>
      </c>
      <c r="G10" s="2">
        <v>7.39</v>
      </c>
      <c r="H10" s="2">
        <v>19.23</v>
      </c>
      <c r="I10" s="2">
        <v>34.369999999999997</v>
      </c>
      <c r="J10" s="2">
        <v>0</v>
      </c>
      <c r="K10" s="3">
        <v>26.75</v>
      </c>
      <c r="L10" s="3">
        <v>13.083399999999999</v>
      </c>
      <c r="N10" s="6">
        <f t="shared" si="9"/>
        <v>4.0286148856052746</v>
      </c>
      <c r="O10" s="6">
        <f t="shared" si="10"/>
        <v>21.873225114394735</v>
      </c>
      <c r="P10" s="6">
        <f t="shared" si="11"/>
        <v>4.1665961290322588</v>
      </c>
      <c r="Q10" s="6">
        <f t="shared" si="1"/>
        <v>6.3462538400000019</v>
      </c>
      <c r="R10" s="6">
        <f t="shared" si="12"/>
        <v>6.6195240823464729</v>
      </c>
      <c r="S10" s="6">
        <f t="shared" si="13"/>
        <v>9.6686575714285699</v>
      </c>
      <c r="T10" s="6">
        <f t="shared" si="14"/>
        <v>6.4616345196180527</v>
      </c>
      <c r="U10" s="6">
        <f t="shared" si="15"/>
        <v>26.845274196529584</v>
      </c>
      <c r="W10" s="4" t="s">
        <v>27</v>
      </c>
      <c r="X10" s="6">
        <f>AVERAGE(B127:B157)</f>
        <v>22.159677419354839</v>
      </c>
      <c r="Y10" s="6">
        <f t="shared" si="2"/>
        <v>9.5266991939704369</v>
      </c>
      <c r="Z10" s="6"/>
      <c r="AA10" s="6"/>
      <c r="AB10" s="6">
        <f>IF(0&lt;X10&lt;26.5,16*(31/30)*(12/12)*((10*X10)/$Z$6)^$AA$6,-415.85+32.24*X10-0.43*(X10^2))</f>
        <v>87.425939568158242</v>
      </c>
      <c r="AC10" s="6">
        <f t="shared" si="16"/>
        <v>2.9141979856052749</v>
      </c>
      <c r="AD10" s="6">
        <f t="shared" si="3"/>
        <v>7.2200000000000006</v>
      </c>
      <c r="AE10" s="6">
        <f t="shared" si="4"/>
        <v>29.364999999999998</v>
      </c>
      <c r="AF10" s="6">
        <f t="shared" si="5"/>
        <v>4.0614265312660391</v>
      </c>
      <c r="AG10" s="6">
        <f t="shared" si="6"/>
        <v>1.9013740682177454</v>
      </c>
      <c r="AH10" s="6">
        <f t="shared" si="17"/>
        <v>1.0800262315241469</v>
      </c>
      <c r="AI10" s="6">
        <f t="shared" si="7"/>
        <v>7.402484105085777E-2</v>
      </c>
      <c r="AJ10" s="6">
        <f t="shared" si="18"/>
        <v>0.31714970288706573</v>
      </c>
      <c r="AK10" s="6">
        <f t="shared" si="19"/>
        <v>0.76287652863708111</v>
      </c>
      <c r="AL10" s="6">
        <f t="shared" si="8"/>
        <v>0.73980000000000001</v>
      </c>
      <c r="AM10" s="6">
        <v>16.7</v>
      </c>
      <c r="AN10" s="6">
        <f t="shared" si="20"/>
        <v>24.949677419354842</v>
      </c>
    </row>
    <row r="11" spans="1:46" x14ac:dyDescent="0.2">
      <c r="A11" s="1">
        <v>6</v>
      </c>
      <c r="B11" s="2">
        <v>26.31</v>
      </c>
      <c r="C11" s="2">
        <v>62.839689999999997</v>
      </c>
      <c r="D11" s="2">
        <v>1.857</v>
      </c>
      <c r="E11" s="2">
        <v>34.79</v>
      </c>
      <c r="F11" s="1">
        <v>91.3</v>
      </c>
      <c r="G11" s="2">
        <v>7.1509999999999998</v>
      </c>
      <c r="H11" s="2">
        <v>19.13</v>
      </c>
      <c r="I11" s="2">
        <v>28.82</v>
      </c>
      <c r="J11" s="2">
        <v>0</v>
      </c>
      <c r="K11" s="3">
        <v>30.77</v>
      </c>
      <c r="L11" s="3">
        <v>15.93308</v>
      </c>
      <c r="N11" s="6">
        <f t="shared" si="9"/>
        <v>4.0286148856052746</v>
      </c>
      <c r="O11" s="6">
        <f t="shared" si="10"/>
        <v>21.873225114394735</v>
      </c>
      <c r="P11" s="6">
        <f t="shared" si="11"/>
        <v>4.1665961290322588</v>
      </c>
      <c r="Q11" s="6">
        <f t="shared" si="1"/>
        <v>6.7046674807451581</v>
      </c>
      <c r="R11" s="6">
        <f t="shared" si="12"/>
        <v>6.9933710456368727</v>
      </c>
      <c r="S11" s="6">
        <f t="shared" si="13"/>
        <v>11.216377105714283</v>
      </c>
      <c r="T11" s="6">
        <f t="shared" si="14"/>
        <v>7.281432409072595</v>
      </c>
      <c r="U11" s="6">
        <f t="shared" si="15"/>
        <v>28.770104421776292</v>
      </c>
      <c r="W11" s="4" t="s">
        <v>28</v>
      </c>
      <c r="X11" s="6">
        <f>AVERAGE(B158:B187)</f>
        <v>20.144666666666669</v>
      </c>
      <c r="Y11" s="6">
        <f t="shared" si="2"/>
        <v>8.2462744149566447</v>
      </c>
      <c r="Z11" s="6"/>
      <c r="AA11" s="6"/>
      <c r="AB11" s="6">
        <f>IF(0&lt;X11&lt;26.5,16*(30/30)*(12/12)*((10*X11)/$Z$6)^$AA$6,-415.85+32.24*X11-0.43*(X11^2))</f>
        <v>59.116787435555636</v>
      </c>
      <c r="AC11" s="6">
        <f t="shared" si="16"/>
        <v>1.9705595811851879</v>
      </c>
      <c r="AD11" s="6">
        <f t="shared" si="3"/>
        <v>7.83</v>
      </c>
      <c r="AE11" s="6">
        <f t="shared" si="4"/>
        <v>31.24</v>
      </c>
      <c r="AF11" s="6">
        <f t="shared" si="5"/>
        <v>4.2948977309607637</v>
      </c>
      <c r="AG11" s="6">
        <f t="shared" si="6"/>
        <v>1.8909125598749374</v>
      </c>
      <c r="AH11" s="6">
        <f t="shared" si="17"/>
        <v>1.201992585542913</v>
      </c>
      <c r="AI11" s="6">
        <f t="shared" si="7"/>
        <v>8.1974884299033129E-2</v>
      </c>
      <c r="AJ11" s="6">
        <f t="shared" si="18"/>
        <v>0.37550248372360601</v>
      </c>
      <c r="AK11" s="6">
        <f t="shared" si="19"/>
        <v>0.82649010181930693</v>
      </c>
      <c r="AL11" s="6">
        <f t="shared" si="8"/>
        <v>0.74609999999999999</v>
      </c>
      <c r="AM11" s="6">
        <v>16.7</v>
      </c>
      <c r="AN11" s="6">
        <f t="shared" si="20"/>
        <v>24.949677419354842</v>
      </c>
    </row>
    <row r="12" spans="1:46" x14ac:dyDescent="0.2">
      <c r="A12" s="1">
        <v>7</v>
      </c>
      <c r="B12" s="2">
        <v>27.1</v>
      </c>
      <c r="C12" s="2">
        <v>64.869583333333324</v>
      </c>
      <c r="D12" s="2">
        <v>1.4870000000000001</v>
      </c>
      <c r="E12" s="2">
        <v>36.81</v>
      </c>
      <c r="F12" s="2">
        <v>92.7</v>
      </c>
      <c r="G12" s="2">
        <v>7.87</v>
      </c>
      <c r="H12" s="2">
        <v>19.850000000000001</v>
      </c>
      <c r="I12" s="2">
        <v>28.48</v>
      </c>
      <c r="J12" s="2">
        <v>0.6</v>
      </c>
      <c r="K12" s="1">
        <v>28.66</v>
      </c>
      <c r="L12" s="3">
        <v>14.960380000000001</v>
      </c>
      <c r="N12" s="6">
        <f t="shared" si="9"/>
        <v>4.0286148856052746</v>
      </c>
      <c r="O12" s="6">
        <f t="shared" si="10"/>
        <v>21.873225114394735</v>
      </c>
      <c r="P12" s="6">
        <f t="shared" si="11"/>
        <v>4.1665961290322588</v>
      </c>
      <c r="Q12" s="6">
        <f t="shared" si="1"/>
        <v>7.1023745607269797</v>
      </c>
      <c r="R12" s="6">
        <f t="shared" si="12"/>
        <v>7.4082034270752048</v>
      </c>
      <c r="S12" s="6">
        <f t="shared" si="13"/>
        <v>10.557852685714286</v>
      </c>
      <c r="T12" s="6">
        <f t="shared" si="14"/>
        <v>7.8016440763536581</v>
      </c>
      <c r="U12" s="6">
        <f t="shared" si="15"/>
        <v>31.324707676579862</v>
      </c>
      <c r="W12" s="4" t="s">
        <v>29</v>
      </c>
      <c r="X12" s="6">
        <f>AVERAGE(B188:B218)</f>
        <v>18.639999999999993</v>
      </c>
      <c r="Y12" s="6">
        <f t="shared" si="2"/>
        <v>7.3318659855583137</v>
      </c>
      <c r="Z12" s="6"/>
      <c r="AA12" s="6"/>
      <c r="AB12" s="6">
        <f>IF(0&lt;X12&lt;26.5,16*(31/30)*(12/12)*((10*X12)/$Z$6)^$AA$6,-415.85+32.24*X12-0.43*(X12^2))</f>
        <v>35.700271999999899</v>
      </c>
      <c r="AC12" s="6">
        <f t="shared" si="16"/>
        <v>1.1900090666666634</v>
      </c>
      <c r="AD12" s="6">
        <f t="shared" si="3"/>
        <v>8.48</v>
      </c>
      <c r="AE12" s="6">
        <f t="shared" si="4"/>
        <v>32.11</v>
      </c>
      <c r="AF12" s="6">
        <f t="shared" si="5"/>
        <v>4.7455858204205903</v>
      </c>
      <c r="AG12" s="6">
        <f t="shared" si="6"/>
        <v>1.9673744318560986</v>
      </c>
      <c r="AH12" s="6">
        <f t="shared" si="17"/>
        <v>1.3891056942822457</v>
      </c>
      <c r="AI12" s="6">
        <f t="shared" si="7"/>
        <v>9.4235418995413225E-2</v>
      </c>
      <c r="AJ12" s="6">
        <f t="shared" si="18"/>
        <v>0.44604183843402906</v>
      </c>
      <c r="AK12" s="6">
        <f t="shared" si="19"/>
        <v>0.94306385584821673</v>
      </c>
      <c r="AL12" s="6">
        <f t="shared" si="8"/>
        <v>0.754</v>
      </c>
      <c r="AM12" s="6">
        <v>16.7</v>
      </c>
      <c r="AN12" s="6">
        <f t="shared" si="20"/>
        <v>24.949677419354842</v>
      </c>
    </row>
    <row r="13" spans="1:46" x14ac:dyDescent="0.2">
      <c r="A13" s="1">
        <v>8</v>
      </c>
      <c r="B13" s="2">
        <v>27.13</v>
      </c>
      <c r="C13" s="2">
        <v>68.328980000000001</v>
      </c>
      <c r="D13" s="2">
        <v>1.2070000000000001</v>
      </c>
      <c r="E13" s="2">
        <v>35.020000000000003</v>
      </c>
      <c r="F13" s="2">
        <v>97.8</v>
      </c>
      <c r="G13" s="2">
        <v>6.1120000000000001</v>
      </c>
      <c r="H13" s="2">
        <v>21.25</v>
      </c>
      <c r="I13" s="2">
        <v>38.130000000000003</v>
      </c>
      <c r="J13" s="2">
        <v>0.2</v>
      </c>
      <c r="K13" s="1">
        <v>21.85</v>
      </c>
      <c r="L13" s="3">
        <v>10.694050000000001</v>
      </c>
      <c r="N13" s="6">
        <f t="shared" si="9"/>
        <v>4.0286148856052746</v>
      </c>
      <c r="O13" s="6">
        <f t="shared" si="10"/>
        <v>21.873225114394735</v>
      </c>
      <c r="P13" s="6">
        <f t="shared" si="11"/>
        <v>4.1665961290322588</v>
      </c>
      <c r="Q13" s="6">
        <f t="shared" si="1"/>
        <v>6.4039465120529231</v>
      </c>
      <c r="R13" s="6">
        <f t="shared" si="12"/>
        <v>6.6797010058760913</v>
      </c>
      <c r="S13" s="6">
        <f t="shared" si="13"/>
        <v>8.0523680142857152</v>
      </c>
      <c r="T13" s="6">
        <f t="shared" si="14"/>
        <v>5.9607985517311306</v>
      </c>
      <c r="U13" s="6">
        <f t="shared" si="15"/>
        <v>31.422565110653409</v>
      </c>
      <c r="W13" s="4" t="s">
        <v>30</v>
      </c>
      <c r="X13" s="6">
        <f>AVERAGE(B219:B249)</f>
        <v>19.925483870967739</v>
      </c>
      <c r="Y13" s="6">
        <f t="shared" si="2"/>
        <v>8.1108141962176905</v>
      </c>
      <c r="Z13" s="6"/>
      <c r="AA13" s="6"/>
      <c r="AB13" s="6">
        <f>IF(0&lt;X13&lt;26.5,16*(31/30)*(12/12)*((10*X13)/$Z$6)^$AA$6,-415.85+32.24*X13-0.43*(X13^2))</f>
        <v>55.82688977835582</v>
      </c>
      <c r="AC13" s="6">
        <f t="shared" si="16"/>
        <v>1.8608963259451941</v>
      </c>
      <c r="AD13" s="6">
        <f t="shared" si="3"/>
        <v>6.8850000000000016</v>
      </c>
      <c r="AE13" s="6">
        <f t="shared" si="4"/>
        <v>29.834999999999997</v>
      </c>
      <c r="AF13" s="6">
        <f t="shared" si="5"/>
        <v>4.3442607643996674</v>
      </c>
      <c r="AG13" s="6">
        <f t="shared" si="6"/>
        <v>2.1238352429420431</v>
      </c>
      <c r="AH13" s="6">
        <f t="shared" si="17"/>
        <v>1.1102127607288121</v>
      </c>
      <c r="AI13" s="6">
        <f t="shared" si="7"/>
        <v>7.6302752444139893E-2</v>
      </c>
      <c r="AJ13" s="6">
        <f t="shared" si="18"/>
        <v>0.3312319771634411</v>
      </c>
      <c r="AK13" s="6">
        <f t="shared" si="19"/>
        <v>0.77898078356537104</v>
      </c>
      <c r="AL13" s="6">
        <f t="shared" si="8"/>
        <v>0.75429999999999997</v>
      </c>
      <c r="AM13" s="6">
        <v>16.7</v>
      </c>
      <c r="AN13" s="6">
        <f t="shared" si="20"/>
        <v>24.949677419354842</v>
      </c>
    </row>
    <row r="14" spans="1:46" x14ac:dyDescent="0.2">
      <c r="A14" s="1">
        <v>9</v>
      </c>
      <c r="B14" s="2">
        <v>27.85</v>
      </c>
      <c r="C14" s="2">
        <v>63.210520000000002</v>
      </c>
      <c r="D14" s="2">
        <v>1.4</v>
      </c>
      <c r="E14" s="2">
        <v>35.799999999999997</v>
      </c>
      <c r="F14" s="2">
        <v>92.1</v>
      </c>
      <c r="G14" s="2">
        <v>8.0299999999999994</v>
      </c>
      <c r="H14" s="2">
        <v>20.96</v>
      </c>
      <c r="I14" s="2">
        <v>35.950000000000003</v>
      </c>
      <c r="J14" s="2">
        <v>0</v>
      </c>
      <c r="K14" s="1">
        <v>28.33</v>
      </c>
      <c r="L14" s="3">
        <v>15.5022</v>
      </c>
      <c r="N14" s="6">
        <f t="shared" si="9"/>
        <v>4.0286148856052746</v>
      </c>
      <c r="O14" s="6">
        <f t="shared" si="10"/>
        <v>21.873225114394735</v>
      </c>
      <c r="P14" s="6">
        <f t="shared" si="11"/>
        <v>4.1665961290322588</v>
      </c>
      <c r="Q14" s="6">
        <f t="shared" si="1"/>
        <v>6.7546373869726111</v>
      </c>
      <c r="R14" s="6">
        <f t="shared" si="12"/>
        <v>7.0454926603728536</v>
      </c>
      <c r="S14" s="6">
        <f t="shared" si="13"/>
        <v>10.540095557142855</v>
      </c>
      <c r="T14" s="6">
        <f t="shared" si="14"/>
        <v>7.317869612139229</v>
      </c>
      <c r="U14" s="6">
        <f t="shared" si="15"/>
        <v>33.908502361946681</v>
      </c>
      <c r="W14" s="4" t="s">
        <v>31</v>
      </c>
      <c r="X14" s="6">
        <f>AVERAGE(B250:B279)</f>
        <v>24.812666666666662</v>
      </c>
      <c r="Y14" s="6">
        <f t="shared" si="2"/>
        <v>11.30563612656753</v>
      </c>
      <c r="Z14" s="6"/>
      <c r="AA14" s="6"/>
      <c r="AB14" s="6">
        <f>IF(0&lt;X14&lt;26.5,16*(31/30)*(12/12)*((10*X14)/$Z$6)^$AA$6,-415.85+32.24*X14-0.43*(X14^2))</f>
        <v>119.3729496755555</v>
      </c>
      <c r="AC14" s="6">
        <f t="shared" si="16"/>
        <v>3.9790983225185168</v>
      </c>
      <c r="AD14" s="6">
        <f t="shared" si="3"/>
        <v>7.4199999999999982</v>
      </c>
      <c r="AE14" s="6">
        <f t="shared" si="4"/>
        <v>28.074999999999996</v>
      </c>
      <c r="AF14" s="6">
        <f t="shared" si="5"/>
        <v>4.5153574098348344</v>
      </c>
      <c r="AG14" s="6">
        <f t="shared" si="6"/>
        <v>2.090560050820137</v>
      </c>
      <c r="AH14" s="6">
        <f t="shared" si="17"/>
        <v>1.2123986795073487</v>
      </c>
      <c r="AI14" s="6">
        <f t="shared" si="7"/>
        <v>8.2961860085214084E-2</v>
      </c>
      <c r="AJ14" s="6">
        <f t="shared" si="18"/>
        <v>0.34038092927168812</v>
      </c>
      <c r="AK14" s="6">
        <f t="shared" si="19"/>
        <v>0.87201775023566053</v>
      </c>
      <c r="AL14" s="6">
        <f t="shared" si="8"/>
        <v>0.76150000000000007</v>
      </c>
      <c r="AM14" s="6">
        <v>16.7</v>
      </c>
      <c r="AN14" s="6">
        <f t="shared" si="20"/>
        <v>24.949677419354842</v>
      </c>
    </row>
    <row r="15" spans="1:46" x14ac:dyDescent="0.2">
      <c r="A15" s="1">
        <v>10</v>
      </c>
      <c r="B15" s="2">
        <v>27.01</v>
      </c>
      <c r="C15" s="2">
        <v>68.6875</v>
      </c>
      <c r="D15" s="2">
        <v>1.627</v>
      </c>
      <c r="E15" s="2">
        <v>34.68</v>
      </c>
      <c r="F15" s="2">
        <v>95.4</v>
      </c>
      <c r="G15" s="2">
        <v>6.4320000000000004</v>
      </c>
      <c r="H15" s="2">
        <v>20.77</v>
      </c>
      <c r="I15" s="2">
        <v>40.22</v>
      </c>
      <c r="J15" s="2">
        <v>1</v>
      </c>
      <c r="K15" s="1">
        <v>25.42</v>
      </c>
      <c r="L15" s="3">
        <v>13.745509999999999</v>
      </c>
      <c r="N15" s="6">
        <f t="shared" si="9"/>
        <v>4.0286148856052746</v>
      </c>
      <c r="O15" s="6">
        <f t="shared" si="10"/>
        <v>21.873225114394735</v>
      </c>
      <c r="P15" s="6">
        <f t="shared" si="11"/>
        <v>4.1665961290322588</v>
      </c>
      <c r="Q15" s="6">
        <f t="shared" si="1"/>
        <v>6.4192282175555677</v>
      </c>
      <c r="R15" s="6">
        <f t="shared" si="12"/>
        <v>6.6956407429468801</v>
      </c>
      <c r="S15" s="6">
        <f t="shared" si="13"/>
        <v>9.353114691428571</v>
      </c>
      <c r="T15" s="6">
        <f t="shared" si="14"/>
        <v>6.45422436659479</v>
      </c>
      <c r="U15" s="6">
        <f t="shared" si="15"/>
        <v>31.022452117078867</v>
      </c>
      <c r="W15" s="4" t="s">
        <v>32</v>
      </c>
      <c r="X15" s="6">
        <f>AVERAGE((B280:B310))</f>
        <v>24.023548387096774</v>
      </c>
      <c r="Y15" s="6">
        <f t="shared" si="2"/>
        <v>10.765744440081038</v>
      </c>
      <c r="Z15" s="6"/>
      <c r="AA15" s="6"/>
      <c r="AB15" s="6">
        <f>IF(0&lt;X15&lt;26.5,16*(31/30)*(12/12)*((10*X15)/$Z$6)^$AA$6,-415.85+32.24*X15-0.43*(X15^2))</f>
        <v>110.50292284391264</v>
      </c>
      <c r="AC15" s="6">
        <f t="shared" si="16"/>
        <v>3.6834307614637547</v>
      </c>
      <c r="AD15" s="6">
        <f t="shared" si="3"/>
        <v>6.9550000000000001</v>
      </c>
      <c r="AE15" s="6">
        <f t="shared" si="4"/>
        <v>27.590000000000003</v>
      </c>
      <c r="AF15" s="6">
        <f t="shared" si="5"/>
        <v>4.2714622218692861</v>
      </c>
      <c r="AG15" s="6">
        <f t="shared" si="6"/>
        <v>2.0690073097251602</v>
      </c>
      <c r="AH15" s="6">
        <f t="shared" si="17"/>
        <v>1.101227456072063</v>
      </c>
      <c r="AI15" s="6">
        <f t="shared" si="7"/>
        <v>7.5641835634684407E-2</v>
      </c>
      <c r="AJ15" s="6">
        <f t="shared" si="18"/>
        <v>0.30382865513028223</v>
      </c>
      <c r="AK15" s="6">
        <f t="shared" si="19"/>
        <v>0.79739880094178073</v>
      </c>
      <c r="AL15" s="6">
        <f t="shared" si="8"/>
        <v>0.75309999999999999</v>
      </c>
      <c r="AM15" s="6">
        <v>16.7</v>
      </c>
      <c r="AN15" s="6">
        <f t="shared" si="20"/>
        <v>24.949677419354842</v>
      </c>
    </row>
    <row r="16" spans="1:46" x14ac:dyDescent="0.2">
      <c r="A16" s="1">
        <v>11</v>
      </c>
      <c r="B16" s="2">
        <v>25.43</v>
      </c>
      <c r="C16" s="2">
        <v>83.326880000000003</v>
      </c>
      <c r="D16" s="2">
        <v>1.5569999999999999</v>
      </c>
      <c r="E16" s="2">
        <v>33.57</v>
      </c>
      <c r="F16" s="2">
        <v>99.4</v>
      </c>
      <c r="G16" s="2">
        <v>9.5500000000000007</v>
      </c>
      <c r="H16" s="2">
        <v>22.26</v>
      </c>
      <c r="I16" s="2">
        <v>44.4</v>
      </c>
      <c r="J16" s="2">
        <v>5</v>
      </c>
      <c r="K16" s="1">
        <v>21.38</v>
      </c>
      <c r="L16" s="3">
        <v>10.45241</v>
      </c>
      <c r="N16" s="6">
        <f t="shared" si="9"/>
        <v>4.0286148856052746</v>
      </c>
      <c r="O16" s="6">
        <f t="shared" si="10"/>
        <v>21.873225114394735</v>
      </c>
      <c r="P16" s="6">
        <f t="shared" si="11"/>
        <v>4.1665961290322588</v>
      </c>
      <c r="Q16" s="6">
        <f t="shared" si="1"/>
        <v>5.5841984681516719</v>
      </c>
      <c r="R16" s="6">
        <f t="shared" si="12"/>
        <v>5.8246545399029079</v>
      </c>
      <c r="S16" s="6">
        <f t="shared" si="13"/>
        <v>7.7015830114285695</v>
      </c>
      <c r="T16" s="6">
        <f t="shared" si="14"/>
        <v>5.4051273406298472</v>
      </c>
      <c r="U16" s="6">
        <f t="shared" si="15"/>
        <v>26.097897972968717</v>
      </c>
      <c r="W16" s="4" t="s">
        <v>33</v>
      </c>
      <c r="X16" s="6">
        <f>AVERAGE(B311:B340)</f>
        <v>23.602333333333327</v>
      </c>
      <c r="Y16" s="6">
        <f t="shared" si="2"/>
        <v>10.481252702772085</v>
      </c>
      <c r="Z16" s="6"/>
      <c r="AA16" s="6"/>
      <c r="AB16" s="6">
        <f>IF(0&lt;X16&lt;26.5,16*(30/30)*(12/12)*((10*X16)/$Z$6)^$AA$6,-415.85+32.24*X16-0.43*(X16^2))</f>
        <v>105.54906699222215</v>
      </c>
      <c r="AC16" s="6">
        <f t="shared" si="16"/>
        <v>3.5183022330740719</v>
      </c>
      <c r="AD16" s="6">
        <f t="shared" si="3"/>
        <v>5.6549999999999994</v>
      </c>
      <c r="AE16" s="6">
        <f t="shared" si="4"/>
        <v>27.500000000000004</v>
      </c>
      <c r="AF16" s="6">
        <f t="shared" si="5"/>
        <v>4.0411283422192392</v>
      </c>
      <c r="AG16" s="6">
        <f t="shared" si="6"/>
        <v>2.2433711844130557</v>
      </c>
      <c r="AH16" s="6">
        <f t="shared" si="17"/>
        <v>0.89887857890309175</v>
      </c>
      <c r="AI16" s="6">
        <f t="shared" si="7"/>
        <v>6.2405275167100066E-2</v>
      </c>
      <c r="AJ16" s="6">
        <f t="shared" si="18"/>
        <v>0.24719160919835026</v>
      </c>
      <c r="AK16" s="6">
        <f t="shared" si="19"/>
        <v>0.65168696970474149</v>
      </c>
      <c r="AL16" s="6">
        <f t="shared" si="8"/>
        <v>0.73730000000000007</v>
      </c>
      <c r="AM16" s="6">
        <v>16.7</v>
      </c>
      <c r="AN16" s="6">
        <f t="shared" si="20"/>
        <v>24.949677419354842</v>
      </c>
    </row>
    <row r="17" spans="1:40" x14ac:dyDescent="0.2">
      <c r="A17" s="1">
        <v>12</v>
      </c>
      <c r="B17" s="2">
        <v>24.18</v>
      </c>
      <c r="C17" s="2">
        <v>91.586150000000004</v>
      </c>
      <c r="D17" s="2">
        <v>1.0169999999999999</v>
      </c>
      <c r="E17" s="2">
        <v>29.88</v>
      </c>
      <c r="F17" s="2">
        <v>98.3</v>
      </c>
      <c r="G17" s="2">
        <v>5.7919999999999998</v>
      </c>
      <c r="H17" s="2">
        <v>21.97</v>
      </c>
      <c r="I17" s="2">
        <v>63.26</v>
      </c>
      <c r="J17" s="2">
        <v>8.1999999999999993</v>
      </c>
      <c r="K17" s="1">
        <v>13.03</v>
      </c>
      <c r="L17" s="3">
        <v>4.3117599999999996</v>
      </c>
      <c r="N17" s="6">
        <f t="shared" si="9"/>
        <v>4.0286148856052746</v>
      </c>
      <c r="O17" s="6">
        <f t="shared" si="10"/>
        <v>21.873225114394735</v>
      </c>
      <c r="P17" s="6">
        <f t="shared" si="11"/>
        <v>4.1665961290322588</v>
      </c>
      <c r="Q17" s="6">
        <f t="shared" si="1"/>
        <v>4.5349758969510336</v>
      </c>
      <c r="R17" s="6">
        <f t="shared" si="12"/>
        <v>4.730252353525171</v>
      </c>
      <c r="S17" s="6">
        <f t="shared" si="13"/>
        <v>4.6141389257142853</v>
      </c>
      <c r="T17" s="6">
        <f t="shared" si="14"/>
        <v>3.3525459438975238</v>
      </c>
      <c r="U17" s="6">
        <f t="shared" si="15"/>
        <v>22.63693793954678</v>
      </c>
      <c r="W17" s="4" t="s">
        <v>34</v>
      </c>
      <c r="X17" s="6">
        <f>AVERAGE(B341:B371)</f>
        <v>24.348064516129035</v>
      </c>
      <c r="Y17" s="6">
        <f t="shared" si="2"/>
        <v>10.986682683207492</v>
      </c>
      <c r="Z17" s="6"/>
      <c r="AA17" s="6"/>
      <c r="AB17" s="6">
        <f>IF(0&lt;X17&lt;26.5,16*(31/30)*(12/12)*((10*X17)/$Z$6)^$AA$6,-415.85+32.24*X17-0.43*(X17^2))</f>
        <v>114.21545435691996</v>
      </c>
      <c r="AC17" s="6">
        <f t="shared" si="16"/>
        <v>3.807181811897332</v>
      </c>
      <c r="AD17" s="6">
        <f t="shared" si="3"/>
        <v>3.9550000000000001</v>
      </c>
      <c r="AE17" s="6">
        <f t="shared" si="4"/>
        <v>17.52</v>
      </c>
      <c r="AF17" s="6">
        <f t="shared" si="5"/>
        <v>3.3512441031381464</v>
      </c>
      <c r="AG17" s="6">
        <f t="shared" si="6"/>
        <v>2.2084612118532378</v>
      </c>
      <c r="AH17" s="6">
        <f t="shared" si="17"/>
        <v>0.57139144564245425</v>
      </c>
      <c r="AI17" s="6">
        <f t="shared" si="7"/>
        <v>4.0230278829530453E-2</v>
      </c>
      <c r="AJ17" s="6">
        <f t="shared" si="18"/>
        <v>0.10010778127655799</v>
      </c>
      <c r="AK17" s="6">
        <f t="shared" si="19"/>
        <v>0.47128366436589625</v>
      </c>
      <c r="AL17" s="6">
        <f t="shared" si="8"/>
        <v>0.7248</v>
      </c>
      <c r="AM17" s="6">
        <v>16.7</v>
      </c>
      <c r="AN17" s="6">
        <f t="shared" si="20"/>
        <v>24.949677419354842</v>
      </c>
    </row>
    <row r="18" spans="1:40" x14ac:dyDescent="0.2">
      <c r="A18" s="1">
        <v>13</v>
      </c>
      <c r="B18" s="2">
        <v>24.56</v>
      </c>
      <c r="C18" s="2">
        <v>79.890208333333362</v>
      </c>
      <c r="D18" s="2">
        <v>2.411</v>
      </c>
      <c r="E18" s="2">
        <v>29.35</v>
      </c>
      <c r="F18" s="2">
        <v>98.2</v>
      </c>
      <c r="G18" s="2">
        <v>6.6710000000000003</v>
      </c>
      <c r="H18" s="2">
        <v>20.91</v>
      </c>
      <c r="I18" s="2">
        <v>59.28</v>
      </c>
      <c r="J18" s="2">
        <v>0</v>
      </c>
      <c r="K18" s="3">
        <v>19</v>
      </c>
      <c r="L18" s="3">
        <v>10.419549999999999</v>
      </c>
      <c r="N18" s="6">
        <f t="shared" si="9"/>
        <v>4.0286148856052746</v>
      </c>
      <c r="O18" s="6">
        <f t="shared" si="10"/>
        <v>21.873225114394735</v>
      </c>
      <c r="P18" s="6">
        <f t="shared" si="11"/>
        <v>4.1665961290322588</v>
      </c>
      <c r="Q18" s="6">
        <f t="shared" si="1"/>
        <v>4.7268463116647883</v>
      </c>
      <c r="R18" s="6">
        <f t="shared" si="12"/>
        <v>4.9303847249853563</v>
      </c>
      <c r="S18" s="6">
        <f t="shared" si="13"/>
        <v>6.7634897142857131</v>
      </c>
      <c r="T18" s="6">
        <f t="shared" si="14"/>
        <v>3.8451994476393749</v>
      </c>
      <c r="U18" s="6">
        <f t="shared" si="15"/>
        <v>23.656437371246277</v>
      </c>
      <c r="X18" s="6"/>
      <c r="Y18" s="6"/>
      <c r="Z18" s="6"/>
      <c r="AA18" s="6"/>
      <c r="AB18" s="6">
        <f>SUM(AB6:AB17)</f>
        <v>1168.3566322709294</v>
      </c>
      <c r="AC18" s="6"/>
      <c r="AD18" s="6">
        <f t="shared" si="3"/>
        <v>4.2200000000000006</v>
      </c>
      <c r="AE18" s="6">
        <f t="shared" si="4"/>
        <v>19.46</v>
      </c>
      <c r="AF18" s="6">
        <f t="shared" si="5"/>
        <v>3.2611179243309367</v>
      </c>
      <c r="AG18" s="6">
        <f t="shared" si="6"/>
        <v>2.0848693100370528</v>
      </c>
      <c r="AH18" s="6">
        <f t="shared" si="17"/>
        <v>0.58812430714694197</v>
      </c>
      <c r="AI18" s="6">
        <f t="shared" si="7"/>
        <v>4.1317580620300887E-2</v>
      </c>
      <c r="AJ18" s="6">
        <f t="shared" si="18"/>
        <v>0.11444899017079491</v>
      </c>
      <c r="AK18" s="6">
        <f t="shared" si="19"/>
        <v>0.47367531697614706</v>
      </c>
      <c r="AL18" s="6">
        <f t="shared" si="8"/>
        <v>0.72859999999999991</v>
      </c>
      <c r="AM18" s="6">
        <v>16.7</v>
      </c>
      <c r="AN18" s="6">
        <f t="shared" si="20"/>
        <v>24.949677419354842</v>
      </c>
    </row>
    <row r="19" spans="1:40" x14ac:dyDescent="0.2">
      <c r="A19" s="1">
        <v>14</v>
      </c>
      <c r="B19" s="2">
        <v>26.2</v>
      </c>
      <c r="C19" s="2">
        <v>70.418329999999997</v>
      </c>
      <c r="D19" s="2">
        <v>1.325</v>
      </c>
      <c r="E19" s="2">
        <v>33.72</v>
      </c>
      <c r="F19" s="2">
        <v>92.4</v>
      </c>
      <c r="G19" s="2">
        <v>5.2329999999999997</v>
      </c>
      <c r="H19" s="2">
        <v>19.75</v>
      </c>
      <c r="I19" s="2">
        <v>44.77</v>
      </c>
      <c r="J19" s="2">
        <v>0</v>
      </c>
      <c r="K19" s="3">
        <v>27.69</v>
      </c>
      <c r="L19" s="3">
        <v>16.643419999999999</v>
      </c>
      <c r="N19" s="6">
        <f t="shared" si="9"/>
        <v>4.0286148856052746</v>
      </c>
      <c r="O19" s="6">
        <f t="shared" si="10"/>
        <v>21.873225114394735</v>
      </c>
      <c r="P19" s="6">
        <f t="shared" si="11"/>
        <v>4.1665961290322588</v>
      </c>
      <c r="Q19" s="6">
        <f t="shared" si="1"/>
        <v>6.3167717836211246</v>
      </c>
      <c r="R19" s="6">
        <f t="shared" si="12"/>
        <v>6.5887725260555765</v>
      </c>
      <c r="S19" s="6">
        <f t="shared" si="13"/>
        <v>10.078764428571427</v>
      </c>
      <c r="T19" s="6">
        <f t="shared" ref="T19:T70" si="21">((0.408*AI19)*(K19*0.95) + ((0.063*900*G19*AK19)/((AD19+273))))/(AI19+0.063*(1+0.34*G19))</f>
        <v>6.593168187875948</v>
      </c>
      <c r="U19" s="6">
        <f t="shared" si="15"/>
        <v>28.421962024569538</v>
      </c>
      <c r="X19" s="6"/>
      <c r="Y19" s="6"/>
      <c r="Z19" s="25"/>
      <c r="AA19" s="25"/>
      <c r="AB19" s="25"/>
      <c r="AC19" s="25"/>
      <c r="AD19" s="6">
        <f t="shared" ref="AD19:AD69" si="22">(E19-H19)/2</f>
        <v>6.9849999999999994</v>
      </c>
      <c r="AE19" s="6">
        <f t="shared" ref="AE19:AE69" si="23">(F19-I19)/2</f>
        <v>23.815000000000001</v>
      </c>
      <c r="AF19" s="6">
        <f t="shared" ref="AF19:AF69" si="24">0.611*10^((7.5*E19)/(273.3+E19))</f>
        <v>4.0716088438521441</v>
      </c>
      <c r="AG19" s="6">
        <f t="shared" ref="AG19:AG69" si="25">0.611*10^((7.5*H19)/(273.3+H19))</f>
        <v>1.9565954055476706</v>
      </c>
      <c r="AH19" s="6">
        <f t="shared" si="17"/>
        <v>1.0575067191522367</v>
      </c>
      <c r="AI19" s="6">
        <f t="shared" ref="AI19:AI70" si="26">(4098*AH19)/((237.3+AD19)^2)</f>
        <v>7.2620876862756478E-2</v>
      </c>
      <c r="AJ19" s="6">
        <f t="shared" si="18"/>
        <v>0.25184522516610519</v>
      </c>
      <c r="AK19" s="6">
        <f t="shared" si="19"/>
        <v>0.80566149398613152</v>
      </c>
      <c r="AL19" s="6">
        <f t="shared" ref="AL19:AL69" si="27">IF(0&lt;B19&lt;16,0.407+0.0145*B19,0.483+0.01*B19)</f>
        <v>0.745</v>
      </c>
      <c r="AM19" s="6">
        <v>16.7</v>
      </c>
      <c r="AN19" s="6">
        <f t="shared" si="20"/>
        <v>24.949677419354842</v>
      </c>
    </row>
    <row r="20" spans="1:40" x14ac:dyDescent="0.2">
      <c r="A20" s="1">
        <v>15</v>
      </c>
      <c r="B20" s="2">
        <v>27.19</v>
      </c>
      <c r="C20" s="2">
        <v>73.371769999999998</v>
      </c>
      <c r="D20" s="2">
        <v>1.663</v>
      </c>
      <c r="E20" s="2">
        <v>32.57</v>
      </c>
      <c r="F20" s="2">
        <v>96.6</v>
      </c>
      <c r="G20" s="2">
        <v>6.4320000000000004</v>
      </c>
      <c r="H20" s="2">
        <v>22.98</v>
      </c>
      <c r="I20" s="2">
        <v>49.87</v>
      </c>
      <c r="J20" s="2">
        <v>0</v>
      </c>
      <c r="K20" s="3">
        <v>27.08</v>
      </c>
      <c r="L20" s="3">
        <v>15.906700000000001</v>
      </c>
      <c r="N20" s="6">
        <f t="shared" si="9"/>
        <v>4.0286148856052746</v>
      </c>
      <c r="O20" s="6">
        <f t="shared" si="10"/>
        <v>21.873225114394735</v>
      </c>
      <c r="P20" s="6">
        <f t="shared" si="11"/>
        <v>4.1665961290322588</v>
      </c>
      <c r="Q20" s="6">
        <f t="shared" si="1"/>
        <v>5.3514269805336543</v>
      </c>
      <c r="R20" s="6">
        <f t="shared" si="12"/>
        <v>5.5818598917816349</v>
      </c>
      <c r="S20" s="6">
        <f t="shared" si="13"/>
        <v>9.9877152342857123</v>
      </c>
      <c r="T20" s="6">
        <f t="shared" si="21"/>
        <v>5.1830822289430278</v>
      </c>
      <c r="U20" s="6">
        <f t="shared" si="15"/>
        <v>31.620332850640889</v>
      </c>
      <c r="X20" s="6"/>
      <c r="Y20" s="6"/>
      <c r="Z20" s="25"/>
      <c r="AA20" s="25"/>
      <c r="AB20" s="25"/>
      <c r="AC20" s="25"/>
      <c r="AD20" s="6">
        <f t="shared" si="22"/>
        <v>4.7949999999999999</v>
      </c>
      <c r="AE20" s="6">
        <f t="shared" si="23"/>
        <v>23.364999999999998</v>
      </c>
      <c r="AF20" s="6">
        <f t="shared" si="24"/>
        <v>3.8429506595597633</v>
      </c>
      <c r="AG20" s="6">
        <f t="shared" si="25"/>
        <v>2.3321391225452586</v>
      </c>
      <c r="AH20" s="6">
        <f t="shared" si="17"/>
        <v>0.75540576850725238</v>
      </c>
      <c r="AI20" s="6">
        <f t="shared" si="26"/>
        <v>5.2817836871156452E-2</v>
      </c>
      <c r="AJ20" s="6">
        <f t="shared" si="18"/>
        <v>0.1765005578117195</v>
      </c>
      <c r="AK20" s="6">
        <f t="shared" si="19"/>
        <v>0.57890521069553291</v>
      </c>
      <c r="AL20" s="6">
        <f t="shared" si="27"/>
        <v>0.75490000000000002</v>
      </c>
      <c r="AM20" s="6">
        <v>16.7</v>
      </c>
      <c r="AN20" s="6">
        <f t="shared" si="20"/>
        <v>24.949677419354842</v>
      </c>
    </row>
    <row r="21" spans="1:40" x14ac:dyDescent="0.2">
      <c r="A21" s="1">
        <v>16</v>
      </c>
      <c r="B21" s="2">
        <v>28.5</v>
      </c>
      <c r="C21" s="2">
        <v>66.974583333333314</v>
      </c>
      <c r="D21" s="2">
        <v>1.369</v>
      </c>
      <c r="E21" s="2">
        <v>35.94</v>
      </c>
      <c r="F21" s="2">
        <v>99.5</v>
      </c>
      <c r="G21" s="2">
        <v>5.952</v>
      </c>
      <c r="H21" s="2">
        <v>21.92</v>
      </c>
      <c r="I21" s="2">
        <v>38</v>
      </c>
      <c r="J21" s="2">
        <v>0</v>
      </c>
      <c r="K21" s="3">
        <v>24.52</v>
      </c>
      <c r="L21" s="3">
        <v>13.111269999999999</v>
      </c>
      <c r="N21" s="6">
        <f t="shared" si="9"/>
        <v>4.0286148856052746</v>
      </c>
      <c r="O21" s="6">
        <f t="shared" si="10"/>
        <v>21.873225114394735</v>
      </c>
      <c r="P21" s="6">
        <f t="shared" si="11"/>
        <v>4.1665961290322588</v>
      </c>
      <c r="Q21" s="6">
        <f t="shared" si="1"/>
        <v>6.6588511206918994</v>
      </c>
      <c r="R21" s="6">
        <f t="shared" si="12"/>
        <v>6.9455818291346212</v>
      </c>
      <c r="S21" s="6">
        <f t="shared" si="13"/>
        <v>9.2004644571428553</v>
      </c>
      <c r="T21" s="6">
        <f t="shared" si="21"/>
        <v>6.4328404327967643</v>
      </c>
      <c r="U21" s="6">
        <f t="shared" si="15"/>
        <v>36.272676379967258</v>
      </c>
      <c r="X21" s="6"/>
      <c r="Y21" s="6"/>
      <c r="Z21" s="25"/>
      <c r="AA21" s="25"/>
      <c r="AB21" s="25"/>
      <c r="AC21" s="25"/>
      <c r="AD21" s="6">
        <f t="shared" si="22"/>
        <v>7.009999999999998</v>
      </c>
      <c r="AE21" s="6">
        <f t="shared" si="23"/>
        <v>30.75</v>
      </c>
      <c r="AF21" s="6">
        <f t="shared" si="24"/>
        <v>4.5466790162726713</v>
      </c>
      <c r="AG21" s="6">
        <f t="shared" si="25"/>
        <v>2.2024905354483511</v>
      </c>
      <c r="AH21" s="6">
        <f t="shared" si="17"/>
        <v>1.1720942404121601</v>
      </c>
      <c r="AI21" s="6">
        <f t="shared" si="26"/>
        <v>8.0473334749406628E-2</v>
      </c>
      <c r="AJ21" s="6">
        <f t="shared" si="18"/>
        <v>0.36041897892673924</v>
      </c>
      <c r="AK21" s="6">
        <f t="shared" si="19"/>
        <v>0.81167526148542091</v>
      </c>
      <c r="AL21" s="6">
        <f t="shared" si="27"/>
        <v>0.76800000000000002</v>
      </c>
      <c r="AM21" s="6">
        <v>16.7</v>
      </c>
      <c r="AN21" s="6">
        <f t="shared" si="20"/>
        <v>24.949677419354842</v>
      </c>
    </row>
    <row r="22" spans="1:40" x14ac:dyDescent="0.2">
      <c r="A22" s="1">
        <v>17</v>
      </c>
      <c r="B22" s="2">
        <v>28.63</v>
      </c>
      <c r="C22" s="2">
        <v>67.614789999999999</v>
      </c>
      <c r="D22" s="2">
        <v>1.7050000000000001</v>
      </c>
      <c r="E22" s="2">
        <v>37.19</v>
      </c>
      <c r="F22" s="2">
        <v>96.3</v>
      </c>
      <c r="G22" s="2">
        <v>6.7510000000000003</v>
      </c>
      <c r="H22" s="2">
        <v>22.41</v>
      </c>
      <c r="I22" s="2">
        <v>36.46</v>
      </c>
      <c r="J22" s="2">
        <v>0</v>
      </c>
      <c r="K22" s="3">
        <v>22.97</v>
      </c>
      <c r="L22" s="3">
        <v>11.72832</v>
      </c>
      <c r="N22" s="6">
        <f t="shared" si="9"/>
        <v>4.0286148856052746</v>
      </c>
      <c r="O22" s="6">
        <f t="shared" si="10"/>
        <v>21.873225114394735</v>
      </c>
      <c r="P22" s="6">
        <f t="shared" si="11"/>
        <v>4.1665961290322588</v>
      </c>
      <c r="Q22" s="6">
        <f t="shared" si="1"/>
        <v>6.8561483782804</v>
      </c>
      <c r="R22" s="6">
        <f t="shared" si="12"/>
        <v>7.1513747237957643</v>
      </c>
      <c r="S22" s="6">
        <f t="shared" si="13"/>
        <v>8.6334582599999976</v>
      </c>
      <c r="T22" s="6">
        <f t="shared" si="21"/>
        <v>6.8148451654378954</v>
      </c>
      <c r="U22" s="6">
        <f t="shared" si="15"/>
        <v>36.760403756018732</v>
      </c>
      <c r="X22" s="6"/>
      <c r="Y22" s="6"/>
      <c r="Z22" s="25"/>
      <c r="AA22" s="25"/>
      <c r="AB22" s="25"/>
      <c r="AC22" s="25"/>
      <c r="AD22" s="6">
        <f t="shared" si="22"/>
        <v>7.3899999999999988</v>
      </c>
      <c r="AE22" s="6">
        <f t="shared" si="23"/>
        <v>29.919999999999998</v>
      </c>
      <c r="AF22" s="6">
        <f t="shared" si="24"/>
        <v>4.8348089899200373</v>
      </c>
      <c r="AG22" s="6">
        <f t="shared" si="25"/>
        <v>2.2616167544344687</v>
      </c>
      <c r="AH22" s="6">
        <f t="shared" si="17"/>
        <v>1.2865961177427843</v>
      </c>
      <c r="AI22" s="6">
        <f t="shared" si="26"/>
        <v>8.8060622013628062E-2</v>
      </c>
      <c r="AJ22" s="6">
        <f t="shared" si="18"/>
        <v>0.38494955842864104</v>
      </c>
      <c r="AK22" s="6">
        <f t="shared" si="19"/>
        <v>0.90164655931414317</v>
      </c>
      <c r="AL22" s="6">
        <f t="shared" si="27"/>
        <v>0.76929999999999998</v>
      </c>
      <c r="AM22" s="6">
        <v>16.7</v>
      </c>
      <c r="AN22" s="6">
        <f t="shared" si="20"/>
        <v>24.949677419354842</v>
      </c>
    </row>
    <row r="23" spans="1:40" x14ac:dyDescent="0.2">
      <c r="A23" s="1">
        <v>18</v>
      </c>
      <c r="B23" s="2">
        <v>28.5</v>
      </c>
      <c r="C23" s="2">
        <v>70.517290000000003</v>
      </c>
      <c r="D23" s="2">
        <v>1.5740000000000001</v>
      </c>
      <c r="E23" s="2">
        <v>37.54</v>
      </c>
      <c r="F23" s="2">
        <v>100</v>
      </c>
      <c r="G23" s="2">
        <v>11.15</v>
      </c>
      <c r="H23" s="2">
        <v>21.16</v>
      </c>
      <c r="I23" s="2">
        <v>34.92</v>
      </c>
      <c r="J23" s="2">
        <v>49.28</v>
      </c>
      <c r="K23" s="3">
        <v>27.7</v>
      </c>
      <c r="L23" s="3">
        <v>14.19781</v>
      </c>
      <c r="N23" s="6">
        <f t="shared" si="9"/>
        <v>4.0286148856052746</v>
      </c>
      <c r="O23" s="6">
        <f t="shared" si="10"/>
        <v>21.873225114394735</v>
      </c>
      <c r="P23" s="6">
        <f t="shared" si="11"/>
        <v>4.1665961290322588</v>
      </c>
      <c r="Q23" s="6">
        <f t="shared" si="1"/>
        <v>7.1975095019739861</v>
      </c>
      <c r="R23" s="6">
        <f t="shared" si="12"/>
        <v>7.5074348871671281</v>
      </c>
      <c r="S23" s="6">
        <f t="shared" si="13"/>
        <v>10.393673142857141</v>
      </c>
      <c r="T23" s="6">
        <f t="shared" si="21"/>
        <v>7.9329090828151836</v>
      </c>
      <c r="U23" s="6">
        <f t="shared" si="15"/>
        <v>36.269929583425466</v>
      </c>
      <c r="X23" s="6"/>
      <c r="Y23" s="6"/>
      <c r="Z23" s="25"/>
      <c r="AA23" s="25"/>
      <c r="AB23" s="25"/>
      <c r="AC23" s="25"/>
      <c r="AD23" s="6">
        <f t="shared" si="22"/>
        <v>8.19</v>
      </c>
      <c r="AE23" s="6">
        <f t="shared" si="23"/>
        <v>32.54</v>
      </c>
      <c r="AF23" s="6">
        <f t="shared" si="24"/>
        <v>4.9182734150105345</v>
      </c>
      <c r="AG23" s="6">
        <f t="shared" si="25"/>
        <v>2.1134592052975107</v>
      </c>
      <c r="AH23" s="6">
        <f t="shared" si="17"/>
        <v>1.4024071048565119</v>
      </c>
      <c r="AI23" s="6">
        <f t="shared" si="26"/>
        <v>9.5362679546248608E-2</v>
      </c>
      <c r="AJ23" s="6">
        <f t="shared" si="18"/>
        <v>0.45634327192030893</v>
      </c>
      <c r="AK23" s="6">
        <f t="shared" si="19"/>
        <v>0.946063832936203</v>
      </c>
      <c r="AL23" s="6">
        <f t="shared" si="27"/>
        <v>0.76800000000000002</v>
      </c>
      <c r="AM23" s="6">
        <v>16.7</v>
      </c>
      <c r="AN23" s="6">
        <f t="shared" si="20"/>
        <v>24.949677419354842</v>
      </c>
    </row>
    <row r="24" spans="1:40" x14ac:dyDescent="0.2">
      <c r="A24" s="1">
        <v>19</v>
      </c>
      <c r="B24" s="2">
        <v>25.14</v>
      </c>
      <c r="C24" s="2">
        <v>84.187920000000005</v>
      </c>
      <c r="D24" s="2">
        <v>1.2070000000000001</v>
      </c>
      <c r="E24" s="2">
        <v>34.69</v>
      </c>
      <c r="F24" s="2">
        <v>100</v>
      </c>
      <c r="G24" s="2">
        <v>10.75</v>
      </c>
      <c r="H24" s="2">
        <v>21.11</v>
      </c>
      <c r="I24" s="2">
        <v>46.22</v>
      </c>
      <c r="J24" s="2">
        <v>9.91</v>
      </c>
      <c r="K24" s="3">
        <v>22.93</v>
      </c>
      <c r="L24" s="3">
        <v>12.087809999999999</v>
      </c>
      <c r="N24" s="6">
        <f t="shared" si="9"/>
        <v>4.0286148856052746</v>
      </c>
      <c r="O24" s="6">
        <f t="shared" si="10"/>
        <v>21.873225114394735</v>
      </c>
      <c r="P24" s="6">
        <f t="shared" si="11"/>
        <v>4.1665961290322588</v>
      </c>
      <c r="Q24" s="6">
        <f t="shared" si="1"/>
        <v>6.0779375330498793</v>
      </c>
      <c r="R24" s="6">
        <f t="shared" si="12"/>
        <v>6.3396540518809719</v>
      </c>
      <c r="S24" s="6">
        <f t="shared" si="13"/>
        <v>8.2274412342857133</v>
      </c>
      <c r="T24" s="6">
        <f t="shared" si="21"/>
        <v>6.4902868206341653</v>
      </c>
      <c r="U24" s="6">
        <f t="shared" si="15"/>
        <v>25.26297338139624</v>
      </c>
      <c r="X24" s="6"/>
      <c r="Y24" s="6"/>
      <c r="Z24" s="25"/>
      <c r="AA24" s="25"/>
      <c r="AB24" s="25"/>
      <c r="AC24" s="25"/>
      <c r="AD24" s="6">
        <f t="shared" si="22"/>
        <v>6.7899999999999991</v>
      </c>
      <c r="AE24" s="6">
        <f t="shared" si="23"/>
        <v>26.89</v>
      </c>
      <c r="AF24" s="6">
        <f t="shared" si="24"/>
        <v>4.2735881181604531</v>
      </c>
      <c r="AG24" s="6">
        <f t="shared" si="25"/>
        <v>2.1077139328922474</v>
      </c>
      <c r="AH24" s="6">
        <f t="shared" si="17"/>
        <v>1.0829370926341029</v>
      </c>
      <c r="AI24" s="6">
        <f t="shared" si="26"/>
        <v>7.4486095353555035E-2</v>
      </c>
      <c r="AJ24" s="6">
        <f t="shared" si="18"/>
        <v>0.29120178420931025</v>
      </c>
      <c r="AK24" s="6">
        <f t="shared" si="19"/>
        <v>0.79173530842479267</v>
      </c>
      <c r="AL24" s="6">
        <f t="shared" si="27"/>
        <v>0.73439999999999994</v>
      </c>
      <c r="AM24" s="6">
        <v>16.7</v>
      </c>
      <c r="AN24" s="6">
        <f t="shared" si="20"/>
        <v>24.949677419354842</v>
      </c>
    </row>
    <row r="25" spans="1:40" x14ac:dyDescent="0.2">
      <c r="A25" s="1">
        <v>20</v>
      </c>
      <c r="B25" s="2">
        <v>24.41</v>
      </c>
      <c r="C25" s="2">
        <v>86.638959999999997</v>
      </c>
      <c r="D25" s="2">
        <v>1.8440000000000001</v>
      </c>
      <c r="E25" s="2">
        <v>31.08</v>
      </c>
      <c r="F25" s="2">
        <v>100</v>
      </c>
      <c r="G25" s="2">
        <v>6.2720000000000002</v>
      </c>
      <c r="H25" s="2">
        <v>20.63</v>
      </c>
      <c r="I25" s="2">
        <v>60.76</v>
      </c>
      <c r="J25" s="2">
        <v>23.88</v>
      </c>
      <c r="K25" s="3">
        <v>19.059999999999999</v>
      </c>
      <c r="L25" s="3">
        <v>10.07217</v>
      </c>
      <c r="N25" s="6">
        <f t="shared" si="9"/>
        <v>4.0286148856052746</v>
      </c>
      <c r="O25" s="6">
        <f t="shared" si="10"/>
        <v>21.873225114394735</v>
      </c>
      <c r="P25" s="6">
        <f t="shared" si="11"/>
        <v>4.1665961290322588</v>
      </c>
      <c r="Q25" s="6">
        <f t="shared" si="1"/>
        <v>5.2410439855677646</v>
      </c>
      <c r="R25" s="6">
        <f t="shared" si="12"/>
        <v>5.4667237954514203</v>
      </c>
      <c r="S25" s="6">
        <f t="shared" si="13"/>
        <v>6.7708798457142851</v>
      </c>
      <c r="T25" s="6">
        <f t="shared" si="21"/>
        <v>4.6584255037531994</v>
      </c>
      <c r="U25" s="6">
        <f t="shared" si="15"/>
        <v>23.248770671343262</v>
      </c>
      <c r="X25" s="6"/>
      <c r="Y25" s="6"/>
      <c r="Z25" s="25"/>
      <c r="AA25" s="25"/>
      <c r="AB25" s="25"/>
      <c r="AC25" s="25"/>
      <c r="AD25" s="6">
        <f t="shared" si="22"/>
        <v>5.2249999999999996</v>
      </c>
      <c r="AE25" s="6">
        <f t="shared" si="23"/>
        <v>19.62</v>
      </c>
      <c r="AF25" s="6">
        <f t="shared" si="24"/>
        <v>3.5633645262870828</v>
      </c>
      <c r="AG25" s="6">
        <f t="shared" si="25"/>
        <v>2.0532510518445237</v>
      </c>
      <c r="AH25" s="6">
        <f t="shared" si="17"/>
        <v>0.75505673722127953</v>
      </c>
      <c r="AI25" s="6">
        <f t="shared" si="26"/>
        <v>5.2606391731390215E-2</v>
      </c>
      <c r="AJ25" s="6">
        <f t="shared" si="18"/>
        <v>0.14814213184281505</v>
      </c>
      <c r="AK25" s="6">
        <f t="shared" si="19"/>
        <v>0.60691460537846442</v>
      </c>
      <c r="AL25" s="6">
        <f t="shared" si="27"/>
        <v>0.72709999999999997</v>
      </c>
      <c r="AM25" s="6">
        <v>16.7</v>
      </c>
      <c r="AN25" s="6">
        <f t="shared" si="20"/>
        <v>24.949677419354842</v>
      </c>
    </row>
    <row r="26" spans="1:40" x14ac:dyDescent="0.2">
      <c r="A26" s="1">
        <v>21</v>
      </c>
      <c r="B26" s="2">
        <v>24.55</v>
      </c>
      <c r="C26" s="2">
        <v>80.826874999999987</v>
      </c>
      <c r="D26" s="2">
        <v>1.972</v>
      </c>
      <c r="E26" s="2">
        <v>31.08</v>
      </c>
      <c r="F26" s="2">
        <v>100</v>
      </c>
      <c r="G26" s="2">
        <v>8.19</v>
      </c>
      <c r="H26" s="2">
        <v>20.72</v>
      </c>
      <c r="I26" s="2">
        <v>49.36</v>
      </c>
      <c r="J26" s="2">
        <v>0.76200000000000001</v>
      </c>
      <c r="K26" s="3">
        <v>25.95</v>
      </c>
      <c r="L26" s="3">
        <v>13.27042</v>
      </c>
      <c r="N26" s="6">
        <f t="shared" si="9"/>
        <v>4.0286148856052746</v>
      </c>
      <c r="O26" s="6">
        <f t="shared" si="10"/>
        <v>21.873225114394735</v>
      </c>
      <c r="P26" s="6">
        <f t="shared" si="11"/>
        <v>4.1665961290322588</v>
      </c>
      <c r="Q26" s="6">
        <f t="shared" si="1"/>
        <v>5.2357343050928504</v>
      </c>
      <c r="R26" s="6">
        <f t="shared" si="12"/>
        <v>5.4611854796734205</v>
      </c>
      <c r="S26" s="6">
        <f t="shared" si="13"/>
        <v>9.2362352142857134</v>
      </c>
      <c r="T26" s="6">
        <f t="shared" si="21"/>
        <v>5.024933553337724</v>
      </c>
      <c r="U26" s="6">
        <f t="shared" si="15"/>
        <v>23.628798941128299</v>
      </c>
      <c r="X26" s="6"/>
      <c r="Y26" s="6"/>
      <c r="Z26" s="25"/>
      <c r="AA26" s="25"/>
      <c r="AB26" s="25"/>
      <c r="AC26" s="25"/>
      <c r="AD26" s="6">
        <f t="shared" si="22"/>
        <v>5.18</v>
      </c>
      <c r="AE26" s="6">
        <f t="shared" si="23"/>
        <v>25.32</v>
      </c>
      <c r="AF26" s="6">
        <f t="shared" si="24"/>
        <v>3.5633645262870828</v>
      </c>
      <c r="AG26" s="6">
        <f t="shared" si="25"/>
        <v>2.063367967085028</v>
      </c>
      <c r="AH26" s="6">
        <f t="shared" si="17"/>
        <v>0.74999827960102738</v>
      </c>
      <c r="AI26" s="6">
        <f t="shared" si="26"/>
        <v>5.2273354965481272E-2</v>
      </c>
      <c r="AJ26" s="6">
        <f t="shared" si="18"/>
        <v>0.18989956439498012</v>
      </c>
      <c r="AK26" s="6">
        <f t="shared" si="19"/>
        <v>0.56009871520604726</v>
      </c>
      <c r="AL26" s="6">
        <f t="shared" si="27"/>
        <v>0.72850000000000004</v>
      </c>
      <c r="AM26" s="6">
        <v>16.7</v>
      </c>
      <c r="AN26" s="6">
        <f t="shared" si="20"/>
        <v>24.949677419354842</v>
      </c>
    </row>
    <row r="27" spans="1:40" x14ac:dyDescent="0.2">
      <c r="A27" s="1">
        <v>22</v>
      </c>
      <c r="B27" s="2">
        <v>24.29</v>
      </c>
      <c r="C27" s="2">
        <v>73.28</v>
      </c>
      <c r="D27" s="2">
        <v>2.6819999999999999</v>
      </c>
      <c r="E27" s="2">
        <v>29.74</v>
      </c>
      <c r="F27" s="2">
        <v>92.5</v>
      </c>
      <c r="G27" s="2">
        <v>7.23</v>
      </c>
      <c r="H27" s="2">
        <v>19.71</v>
      </c>
      <c r="I27" s="2">
        <v>50.52</v>
      </c>
      <c r="J27" s="2">
        <v>0</v>
      </c>
      <c r="K27" s="3">
        <v>21.68</v>
      </c>
      <c r="L27" s="3">
        <v>9.8229249999999997</v>
      </c>
      <c r="N27" s="6">
        <f t="shared" si="9"/>
        <v>4.0286148856052746</v>
      </c>
      <c r="O27" s="6">
        <f t="shared" si="10"/>
        <v>21.873225114394735</v>
      </c>
      <c r="P27" s="6">
        <f t="shared" si="11"/>
        <v>4.1665961290322588</v>
      </c>
      <c r="Q27" s="6">
        <f t="shared" si="1"/>
        <v>5.1200440736292396</v>
      </c>
      <c r="R27" s="6">
        <f t="shared" si="12"/>
        <v>5.34051361678027</v>
      </c>
      <c r="S27" s="6">
        <f t="shared" si="13"/>
        <v>7.6888987199999983</v>
      </c>
      <c r="T27" s="6">
        <f t="shared" si="21"/>
        <v>4.5292994010019703</v>
      </c>
      <c r="U27" s="6">
        <f t="shared" si="15"/>
        <v>22.937699988342729</v>
      </c>
      <c r="X27" s="6"/>
      <c r="Y27" s="6"/>
      <c r="Z27" s="25"/>
      <c r="AA27" s="25"/>
      <c r="AB27" s="25"/>
      <c r="AC27" s="25"/>
      <c r="AD27" s="6">
        <f t="shared" si="22"/>
        <v>5.0149999999999988</v>
      </c>
      <c r="AE27" s="6">
        <f t="shared" si="23"/>
        <v>20.99</v>
      </c>
      <c r="AF27" s="6">
        <f t="shared" si="24"/>
        <v>3.3272287261025766</v>
      </c>
      <c r="AG27" s="6">
        <f t="shared" si="25"/>
        <v>1.9522982992488185</v>
      </c>
      <c r="AH27" s="6">
        <f t="shared" si="17"/>
        <v>0.68746521342687905</v>
      </c>
      <c r="AI27" s="6">
        <f t="shared" si="26"/>
        <v>4.7980203230707105E-2</v>
      </c>
      <c r="AJ27" s="6">
        <f t="shared" si="18"/>
        <v>0.14429894829830189</v>
      </c>
      <c r="AK27" s="6">
        <f t="shared" si="19"/>
        <v>0.54316626512857713</v>
      </c>
      <c r="AL27" s="6">
        <f t="shared" si="27"/>
        <v>0.72589999999999999</v>
      </c>
      <c r="AM27" s="6">
        <v>16.7</v>
      </c>
      <c r="AN27" s="6">
        <f t="shared" si="20"/>
        <v>24.949677419354842</v>
      </c>
    </row>
    <row r="28" spans="1:40" x14ac:dyDescent="0.2">
      <c r="A28" s="1">
        <v>23</v>
      </c>
      <c r="B28" s="2">
        <v>19.78</v>
      </c>
      <c r="C28" s="2">
        <v>92.30520833333334</v>
      </c>
      <c r="D28" s="2">
        <v>2.4460000000000002</v>
      </c>
      <c r="E28" s="2">
        <v>21.58</v>
      </c>
      <c r="F28" s="2">
        <v>99.7</v>
      </c>
      <c r="G28" s="2">
        <v>6.8310000000000004</v>
      </c>
      <c r="H28" s="2">
        <v>17.649999999999999</v>
      </c>
      <c r="I28" s="2">
        <v>79.23</v>
      </c>
      <c r="J28" s="2">
        <v>22.1</v>
      </c>
      <c r="K28" s="3">
        <v>4.5789999999999997</v>
      </c>
      <c r="L28" s="3">
        <v>-1.3967099999999999</v>
      </c>
      <c r="N28" s="6">
        <f t="shared" si="9"/>
        <v>4.0286148856052746</v>
      </c>
      <c r="O28" s="6">
        <f t="shared" si="10"/>
        <v>21.873225114394735</v>
      </c>
      <c r="P28" s="6">
        <f t="shared" si="11"/>
        <v>4.1665961290322588</v>
      </c>
      <c r="Q28" s="6">
        <f t="shared" si="1"/>
        <v>2.8615237718227364</v>
      </c>
      <c r="R28" s="6">
        <f t="shared" si="12"/>
        <v>2.9847412343322706</v>
      </c>
      <c r="S28" s="6">
        <f t="shared" si="13"/>
        <v>1.523064363428571</v>
      </c>
      <c r="T28" s="6">
        <f t="shared" si="21"/>
        <v>1.3035975226042926</v>
      </c>
      <c r="U28" s="6">
        <f t="shared" si="15"/>
        <v>13.057770567600608</v>
      </c>
      <c r="X28" s="6"/>
      <c r="Y28" s="6"/>
      <c r="Z28" s="25"/>
      <c r="AA28" s="25"/>
      <c r="AB28" s="25"/>
      <c r="AC28" s="25"/>
      <c r="AD28" s="6">
        <f t="shared" si="22"/>
        <v>1.9649999999999999</v>
      </c>
      <c r="AE28" s="6">
        <f t="shared" si="23"/>
        <v>10.234999999999999</v>
      </c>
      <c r="AF28" s="6">
        <f t="shared" si="24"/>
        <v>2.1622631456119992</v>
      </c>
      <c r="AG28" s="6">
        <f t="shared" si="25"/>
        <v>1.741872215751606</v>
      </c>
      <c r="AH28" s="6">
        <f t="shared" si="17"/>
        <v>0.21019546493019658</v>
      </c>
      <c r="AI28" s="6">
        <f t="shared" si="26"/>
        <v>1.5046550517076686E-2</v>
      </c>
      <c r="AJ28" s="6">
        <f t="shared" si="18"/>
        <v>2.1513505835605618E-2</v>
      </c>
      <c r="AK28" s="6">
        <f t="shared" si="19"/>
        <v>0.18868195909459096</v>
      </c>
      <c r="AL28" s="6">
        <f t="shared" si="27"/>
        <v>0.68079999999999996</v>
      </c>
      <c r="AM28" s="6">
        <v>16.7</v>
      </c>
      <c r="AN28" s="6">
        <f t="shared" si="20"/>
        <v>24.949677419354842</v>
      </c>
    </row>
    <row r="29" spans="1:40" x14ac:dyDescent="0.2">
      <c r="A29" s="1">
        <v>24</v>
      </c>
      <c r="B29" s="2">
        <v>21.65</v>
      </c>
      <c r="C29" s="2">
        <v>75.66843750000001</v>
      </c>
      <c r="D29" s="2">
        <v>2.282</v>
      </c>
      <c r="E29" s="2">
        <v>28.06</v>
      </c>
      <c r="F29" s="2">
        <v>97.3</v>
      </c>
      <c r="G29" s="2">
        <v>8.27</v>
      </c>
      <c r="H29" s="2">
        <v>16.54</v>
      </c>
      <c r="I29" s="2">
        <v>55.18</v>
      </c>
      <c r="J29" s="2">
        <v>0</v>
      </c>
      <c r="K29" s="3">
        <v>21.21</v>
      </c>
      <c r="L29" s="3">
        <v>9.9115959999999994</v>
      </c>
      <c r="N29" s="6">
        <f t="shared" si="9"/>
        <v>4.0286148856052746</v>
      </c>
      <c r="O29" s="6">
        <f t="shared" si="10"/>
        <v>21.873225114394735</v>
      </c>
      <c r="P29" s="6">
        <f t="shared" si="11"/>
        <v>4.1665961290322588</v>
      </c>
      <c r="Q29" s="6">
        <f t="shared" si="1"/>
        <v>5.1430121966834648</v>
      </c>
      <c r="R29" s="6">
        <f t="shared" si="12"/>
        <v>5.364470749210974</v>
      </c>
      <c r="S29" s="6">
        <f t="shared" si="13"/>
        <v>7.248638699999999</v>
      </c>
      <c r="T29" s="6">
        <f t="shared" si="21"/>
        <v>4.6393904591386192</v>
      </c>
      <c r="U29" s="6">
        <f t="shared" si="15"/>
        <v>16.686911588717443</v>
      </c>
      <c r="X29" s="6"/>
      <c r="Y29" s="6"/>
      <c r="Z29" s="25"/>
      <c r="AA29" s="25"/>
      <c r="AB29" s="25"/>
      <c r="AC29" s="25"/>
      <c r="AD29" s="6">
        <f t="shared" si="22"/>
        <v>5.76</v>
      </c>
      <c r="AE29" s="6">
        <f t="shared" si="23"/>
        <v>21.06</v>
      </c>
      <c r="AF29" s="6">
        <f t="shared" si="24"/>
        <v>3.0505308997675793</v>
      </c>
      <c r="AG29" s="6">
        <f t="shared" si="25"/>
        <v>1.6369520795198904</v>
      </c>
      <c r="AH29" s="6">
        <f t="shared" si="17"/>
        <v>0.70678941012384444</v>
      </c>
      <c r="AI29" s="6">
        <f t="shared" si="26"/>
        <v>4.9026964045434787E-2</v>
      </c>
      <c r="AJ29" s="6">
        <f t="shared" si="18"/>
        <v>0.14884984977208163</v>
      </c>
      <c r="AK29" s="6">
        <f t="shared" si="19"/>
        <v>0.55793956035176284</v>
      </c>
      <c r="AL29" s="6">
        <f t="shared" si="27"/>
        <v>0.69950000000000001</v>
      </c>
      <c r="AM29" s="6">
        <v>16.7</v>
      </c>
      <c r="AN29" s="6">
        <f t="shared" si="20"/>
        <v>24.949677419354842</v>
      </c>
    </row>
    <row r="30" spans="1:40" x14ac:dyDescent="0.2">
      <c r="A30" s="1">
        <v>25</v>
      </c>
      <c r="B30" s="2">
        <v>20.73</v>
      </c>
      <c r="C30" s="2">
        <v>76.240104166666697</v>
      </c>
      <c r="D30" s="2">
        <v>2.577</v>
      </c>
      <c r="E30" s="2">
        <v>27.01</v>
      </c>
      <c r="F30" s="2">
        <v>95.9</v>
      </c>
      <c r="G30" s="2">
        <v>8.51</v>
      </c>
      <c r="H30" s="2">
        <v>16.350000000000001</v>
      </c>
      <c r="I30" s="2">
        <v>54.73</v>
      </c>
      <c r="J30" s="2">
        <v>0</v>
      </c>
      <c r="K30" s="3">
        <v>16.39</v>
      </c>
      <c r="L30" s="3">
        <v>7.4789979999999998</v>
      </c>
      <c r="N30" s="6">
        <f t="shared" si="9"/>
        <v>4.0286148856052746</v>
      </c>
      <c r="O30" s="6">
        <f t="shared" si="10"/>
        <v>21.873225114394735</v>
      </c>
      <c r="P30" s="6">
        <f t="shared" si="11"/>
        <v>4.1665961290322588</v>
      </c>
      <c r="Q30" s="6">
        <f t="shared" si="1"/>
        <v>4.8319442909855193</v>
      </c>
      <c r="R30" s="6">
        <f t="shared" si="12"/>
        <v>5.0400082324370414</v>
      </c>
      <c r="S30" s="6">
        <f t="shared" si="13"/>
        <v>5.5277054485714281</v>
      </c>
      <c r="T30" s="6">
        <f t="shared" si="21"/>
        <v>3.9857758604616493</v>
      </c>
      <c r="U30" s="6">
        <f t="shared" si="15"/>
        <v>14.8282769339559</v>
      </c>
      <c r="X30" s="6"/>
      <c r="Y30" s="6"/>
      <c r="Z30" s="25"/>
      <c r="AA30" s="25"/>
      <c r="AB30" s="25"/>
      <c r="AC30" s="25"/>
      <c r="AD30" s="6">
        <f t="shared" si="22"/>
        <v>5.33</v>
      </c>
      <c r="AE30" s="6">
        <f t="shared" si="23"/>
        <v>20.585000000000004</v>
      </c>
      <c r="AF30" s="6">
        <f t="shared" si="24"/>
        <v>2.8879799393151484</v>
      </c>
      <c r="AG30" s="6">
        <f t="shared" si="25"/>
        <v>1.619559785415152</v>
      </c>
      <c r="AH30" s="6">
        <f t="shared" si="17"/>
        <v>0.6342100769499982</v>
      </c>
      <c r="AI30" s="6">
        <f t="shared" si="26"/>
        <v>4.4148514577737392E-2</v>
      </c>
      <c r="AJ30" s="6">
        <f t="shared" si="18"/>
        <v>0.13055214434015716</v>
      </c>
      <c r="AK30" s="6">
        <f t="shared" si="19"/>
        <v>0.50365793260984104</v>
      </c>
      <c r="AL30" s="6">
        <f t="shared" si="27"/>
        <v>0.69030000000000002</v>
      </c>
      <c r="AM30" s="6">
        <v>16.7</v>
      </c>
      <c r="AN30" s="6">
        <f t="shared" si="20"/>
        <v>24.949677419354842</v>
      </c>
    </row>
    <row r="31" spans="1:40" x14ac:dyDescent="0.2">
      <c r="A31" s="1">
        <v>26</v>
      </c>
      <c r="B31" s="2">
        <v>21.19</v>
      </c>
      <c r="C31" s="2">
        <v>74.75281249999999</v>
      </c>
      <c r="D31" s="2">
        <v>2.4820000000000002</v>
      </c>
      <c r="E31" s="2">
        <v>28.83</v>
      </c>
      <c r="F31" s="2">
        <v>94.4</v>
      </c>
      <c r="G31" s="2">
        <v>7.39</v>
      </c>
      <c r="H31" s="2">
        <v>16.02</v>
      </c>
      <c r="I31" s="2">
        <v>48.02</v>
      </c>
      <c r="J31" s="2">
        <v>0</v>
      </c>
      <c r="K31" s="3">
        <v>21.54</v>
      </c>
      <c r="L31" s="3">
        <v>10.950200000000001</v>
      </c>
      <c r="N31" s="6">
        <f t="shared" si="9"/>
        <v>4.0286148856052746</v>
      </c>
      <c r="O31" s="6">
        <f t="shared" si="10"/>
        <v>21.873225114394735</v>
      </c>
      <c r="P31" s="6">
        <f t="shared" si="11"/>
        <v>4.1665961290322588</v>
      </c>
      <c r="Q31" s="6">
        <f t="shared" si="1"/>
        <v>5.3600903126968582</v>
      </c>
      <c r="R31" s="6">
        <f t="shared" si="12"/>
        <v>5.5908962677813214</v>
      </c>
      <c r="S31" s="6">
        <f t="shared" si="13"/>
        <v>7.313008474285712</v>
      </c>
      <c r="T31" s="6">
        <f t="shared" si="21"/>
        <v>4.9620943895011198</v>
      </c>
      <c r="U31" s="6">
        <f t="shared" si="15"/>
        <v>15.739011327359433</v>
      </c>
      <c r="X31" s="6"/>
      <c r="Y31" s="6"/>
      <c r="Z31" s="25"/>
      <c r="AA31" s="25"/>
      <c r="AB31" s="25"/>
      <c r="AC31" s="25"/>
      <c r="AD31" s="6">
        <f t="shared" si="22"/>
        <v>6.4049999999999994</v>
      </c>
      <c r="AE31" s="6">
        <f t="shared" si="23"/>
        <v>23.19</v>
      </c>
      <c r="AF31" s="6">
        <f t="shared" si="24"/>
        <v>3.1747531451027107</v>
      </c>
      <c r="AG31" s="6">
        <f t="shared" si="25"/>
        <v>1.5897371554635724</v>
      </c>
      <c r="AH31" s="6">
        <f t="shared" si="17"/>
        <v>0.79250799481956913</v>
      </c>
      <c r="AI31" s="6">
        <f t="shared" si="26"/>
        <v>5.4682294193699049E-2</v>
      </c>
      <c r="AJ31" s="6">
        <f t="shared" si="18"/>
        <v>0.18378260399865809</v>
      </c>
      <c r="AK31" s="6">
        <f t="shared" si="19"/>
        <v>0.60872539082091104</v>
      </c>
      <c r="AL31" s="6">
        <f t="shared" si="27"/>
        <v>0.69489999999999996</v>
      </c>
      <c r="AM31" s="6">
        <v>16.7</v>
      </c>
      <c r="AN31" s="6">
        <f t="shared" si="20"/>
        <v>24.949677419354842</v>
      </c>
    </row>
    <row r="32" spans="1:40" x14ac:dyDescent="0.2">
      <c r="A32" s="1">
        <v>27</v>
      </c>
      <c r="B32" s="2">
        <v>22.97</v>
      </c>
      <c r="C32" s="2">
        <v>74.807599999999994</v>
      </c>
      <c r="D32" s="2">
        <v>1.413</v>
      </c>
      <c r="E32" s="2">
        <v>30.31</v>
      </c>
      <c r="F32" s="2">
        <v>97.1</v>
      </c>
      <c r="G32" s="2">
        <v>6.6710000000000003</v>
      </c>
      <c r="H32" s="2">
        <v>16.54</v>
      </c>
      <c r="I32" s="2">
        <v>47.99</v>
      </c>
      <c r="J32" s="2">
        <v>0</v>
      </c>
      <c r="K32" s="3">
        <v>24.57</v>
      </c>
      <c r="L32" s="3">
        <v>11.956009999999999</v>
      </c>
      <c r="N32" s="6">
        <f t="shared" si="9"/>
        <v>4.0286148856052746</v>
      </c>
      <c r="O32" s="6">
        <f t="shared" si="10"/>
        <v>21.873225114394735</v>
      </c>
      <c r="P32" s="6">
        <f t="shared" si="11"/>
        <v>4.1665961290322588</v>
      </c>
      <c r="Q32" s="6">
        <f t="shared" si="1"/>
        <v>5.8110148964254975</v>
      </c>
      <c r="R32" s="6">
        <f t="shared" si="12"/>
        <v>6.0612377033066585</v>
      </c>
      <c r="S32" s="6">
        <f t="shared" si="13"/>
        <v>8.5553933399999984</v>
      </c>
      <c r="T32" s="6">
        <f t="shared" si="21"/>
        <v>5.6008152732784078</v>
      </c>
      <c r="U32" s="6">
        <f t="shared" si="15"/>
        <v>19.633231760809728</v>
      </c>
      <c r="X32" s="6"/>
      <c r="Y32" s="6"/>
      <c r="Z32" s="25"/>
      <c r="AA32" s="25"/>
      <c r="AB32" s="25"/>
      <c r="AC32" s="25"/>
      <c r="AD32" s="6">
        <f t="shared" si="22"/>
        <v>6.8849999999999998</v>
      </c>
      <c r="AE32" s="6">
        <f t="shared" si="23"/>
        <v>24.554999999999996</v>
      </c>
      <c r="AF32" s="6">
        <f t="shared" si="24"/>
        <v>3.4259527605799889</v>
      </c>
      <c r="AG32" s="6">
        <f t="shared" si="25"/>
        <v>1.6369520795198904</v>
      </c>
      <c r="AH32" s="6">
        <f t="shared" si="17"/>
        <v>0.89450034053004923</v>
      </c>
      <c r="AI32" s="6">
        <f t="shared" si="26"/>
        <v>6.1477259547852624E-2</v>
      </c>
      <c r="AJ32" s="6">
        <f t="shared" si="18"/>
        <v>0.21964455861715354</v>
      </c>
      <c r="AK32" s="6">
        <f t="shared" si="19"/>
        <v>0.67485578191289575</v>
      </c>
      <c r="AL32" s="6">
        <f t="shared" si="27"/>
        <v>0.7127</v>
      </c>
      <c r="AM32" s="6">
        <v>16.7</v>
      </c>
      <c r="AN32" s="6">
        <f t="shared" si="20"/>
        <v>24.949677419354842</v>
      </c>
    </row>
    <row r="33" spans="1:40" x14ac:dyDescent="0.2">
      <c r="A33" s="1">
        <v>28</v>
      </c>
      <c r="B33" s="2">
        <v>21.65</v>
      </c>
      <c r="C33" s="2">
        <v>85.159170000000003</v>
      </c>
      <c r="D33" s="2">
        <v>1</v>
      </c>
      <c r="E33" s="2">
        <v>28.3</v>
      </c>
      <c r="F33" s="2">
        <v>100</v>
      </c>
      <c r="G33" s="2">
        <v>6.1120000000000001</v>
      </c>
      <c r="H33" s="2">
        <v>16.97</v>
      </c>
      <c r="I33" s="2">
        <v>55.14</v>
      </c>
      <c r="J33" s="2">
        <v>5.8419999999999996</v>
      </c>
      <c r="K33" s="3">
        <v>19.739999999999998</v>
      </c>
      <c r="L33" s="3">
        <v>9.7682909999999996</v>
      </c>
      <c r="N33" s="6">
        <f t="shared" si="9"/>
        <v>4.0286148856052746</v>
      </c>
      <c r="O33" s="6">
        <f t="shared" si="10"/>
        <v>21.873225114394735</v>
      </c>
      <c r="P33" s="6">
        <f t="shared" si="11"/>
        <v>4.1665961290322588</v>
      </c>
      <c r="Q33" s="6">
        <f t="shared" si="1"/>
        <v>5.1004238707452867</v>
      </c>
      <c r="R33" s="6">
        <f t="shared" si="12"/>
        <v>5.3200485662535728</v>
      </c>
      <c r="S33" s="6">
        <f t="shared" si="13"/>
        <v>6.7462577999999978</v>
      </c>
      <c r="T33" s="6">
        <f t="shared" si="21"/>
        <v>4.3468004657072976</v>
      </c>
      <c r="U33" s="6">
        <f t="shared" si="15"/>
        <v>16.682021984440372</v>
      </c>
      <c r="X33" s="6"/>
      <c r="Y33" s="6"/>
      <c r="Z33" s="25"/>
      <c r="AA33" s="25"/>
      <c r="AB33" s="25"/>
      <c r="AC33" s="25"/>
      <c r="AD33" s="6">
        <f t="shared" si="22"/>
        <v>5.6650000000000009</v>
      </c>
      <c r="AE33" s="6">
        <f t="shared" si="23"/>
        <v>22.43</v>
      </c>
      <c r="AF33" s="6">
        <f t="shared" si="24"/>
        <v>3.0887865293097794</v>
      </c>
      <c r="AG33" s="6">
        <f t="shared" si="25"/>
        <v>1.6769197855733071</v>
      </c>
      <c r="AH33" s="6">
        <f t="shared" si="17"/>
        <v>0.70593337186823613</v>
      </c>
      <c r="AI33" s="6">
        <f t="shared" si="26"/>
        <v>4.9005884739508572E-2</v>
      </c>
      <c r="AJ33" s="6">
        <f t="shared" si="18"/>
        <v>0.15834085531004535</v>
      </c>
      <c r="AK33" s="6">
        <f t="shared" si="19"/>
        <v>0.54759251655819075</v>
      </c>
      <c r="AL33" s="6">
        <f t="shared" si="27"/>
        <v>0.69950000000000001</v>
      </c>
      <c r="AM33" s="6">
        <v>16.7</v>
      </c>
      <c r="AN33" s="6">
        <f t="shared" si="20"/>
        <v>24.949677419354842</v>
      </c>
    </row>
    <row r="34" spans="1:40" x14ac:dyDescent="0.2">
      <c r="A34" s="1">
        <v>29</v>
      </c>
      <c r="B34" s="2">
        <v>22.07</v>
      </c>
      <c r="C34" s="2">
        <v>88.605729166666663</v>
      </c>
      <c r="D34" s="2">
        <v>1.07</v>
      </c>
      <c r="E34" s="2">
        <v>29.79</v>
      </c>
      <c r="F34" s="2">
        <v>100</v>
      </c>
      <c r="G34" s="2">
        <v>8.67</v>
      </c>
      <c r="H34" s="2">
        <v>16.54</v>
      </c>
      <c r="I34" s="2">
        <v>51.79</v>
      </c>
      <c r="J34" s="2">
        <v>7.8739999999999997</v>
      </c>
      <c r="K34" s="3">
        <v>17.5</v>
      </c>
      <c r="L34" s="3">
        <v>7.9820250000000001</v>
      </c>
      <c r="N34" s="6">
        <f t="shared" si="9"/>
        <v>4.0286148856052746</v>
      </c>
      <c r="O34" s="6">
        <f t="shared" si="10"/>
        <v>21.873225114394735</v>
      </c>
      <c r="P34" s="6">
        <f t="shared" si="11"/>
        <v>4.1665961290322588</v>
      </c>
      <c r="Q34" s="6">
        <f t="shared" si="1"/>
        <v>5.5744045305902228</v>
      </c>
      <c r="R34" s="6">
        <f t="shared" si="12"/>
        <v>5.8144388745381885</v>
      </c>
      <c r="S34" s="6">
        <f t="shared" si="13"/>
        <v>6.016635</v>
      </c>
      <c r="T34" s="6">
        <f t="shared" si="21"/>
        <v>4.9807827536192653</v>
      </c>
      <c r="U34" s="6">
        <f t="shared" si="15"/>
        <v>17.580535243151111</v>
      </c>
      <c r="X34" s="6"/>
      <c r="Y34" s="6"/>
      <c r="Z34" s="25"/>
      <c r="AA34" s="25"/>
      <c r="AB34" s="25"/>
      <c r="AC34" s="25"/>
      <c r="AD34" s="6">
        <f t="shared" si="22"/>
        <v>6.625</v>
      </c>
      <c r="AE34" s="6">
        <f t="shared" si="23"/>
        <v>24.105</v>
      </c>
      <c r="AF34" s="6">
        <f t="shared" si="24"/>
        <v>3.3357883703707811</v>
      </c>
      <c r="AG34" s="6">
        <f t="shared" si="25"/>
        <v>1.6369520795198904</v>
      </c>
      <c r="AH34" s="6">
        <f t="shared" si="17"/>
        <v>0.84941814542544536</v>
      </c>
      <c r="AI34" s="6">
        <f t="shared" si="26"/>
        <v>5.8503366939364698E-2</v>
      </c>
      <c r="AJ34" s="6">
        <f t="shared" si="18"/>
        <v>0.2047522439548036</v>
      </c>
      <c r="AK34" s="6">
        <f t="shared" si="19"/>
        <v>0.64466590147064173</v>
      </c>
      <c r="AL34" s="6">
        <f t="shared" si="27"/>
        <v>0.70369999999999999</v>
      </c>
      <c r="AM34" s="6">
        <v>16.7</v>
      </c>
      <c r="AN34" s="6">
        <f t="shared" si="20"/>
        <v>24.949677419354842</v>
      </c>
    </row>
    <row r="35" spans="1:40" x14ac:dyDescent="0.2">
      <c r="A35" s="1">
        <v>30</v>
      </c>
      <c r="B35" s="2">
        <v>25.44</v>
      </c>
      <c r="C35" s="2">
        <v>72.351145833333348</v>
      </c>
      <c r="D35" s="2">
        <v>1.0780000000000001</v>
      </c>
      <c r="E35" s="2">
        <v>33.28</v>
      </c>
      <c r="F35" s="2">
        <v>100</v>
      </c>
      <c r="G35" s="2">
        <v>5.5529999999999999</v>
      </c>
      <c r="H35" s="2">
        <v>17.93</v>
      </c>
      <c r="I35" s="2">
        <v>33.24</v>
      </c>
      <c r="J35" s="2">
        <v>0.254</v>
      </c>
      <c r="K35" s="3">
        <v>26.87</v>
      </c>
      <c r="L35" s="3">
        <v>14.90565</v>
      </c>
      <c r="N35" s="6">
        <f t="shared" si="9"/>
        <v>4.0286148856052746</v>
      </c>
      <c r="O35" s="6">
        <f t="shared" si="10"/>
        <v>21.873225114394735</v>
      </c>
      <c r="P35" s="6">
        <f t="shared" si="11"/>
        <v>4.1665961290322588</v>
      </c>
      <c r="Q35" s="6">
        <f t="shared" si="1"/>
        <v>6.5070505768329703</v>
      </c>
      <c r="R35" s="6">
        <f t="shared" si="12"/>
        <v>6.7872447406535414</v>
      </c>
      <c r="S35" s="6">
        <f t="shared" si="13"/>
        <v>9.6805239942857124</v>
      </c>
      <c r="T35" s="6">
        <f t="shared" si="21"/>
        <v>6.2682850698338308</v>
      </c>
      <c r="U35" s="6">
        <f t="shared" si="15"/>
        <v>26.134139184061908</v>
      </c>
      <c r="X35" s="6"/>
      <c r="Y35" s="6"/>
      <c r="Z35" s="25"/>
      <c r="AA35" s="25"/>
      <c r="AB35" s="25"/>
      <c r="AC35" s="25"/>
      <c r="AD35" s="6">
        <f t="shared" si="22"/>
        <v>7.6750000000000007</v>
      </c>
      <c r="AE35" s="6">
        <f t="shared" si="23"/>
        <v>33.379999999999995</v>
      </c>
      <c r="AF35" s="6">
        <f t="shared" si="24"/>
        <v>3.9827618425105058</v>
      </c>
      <c r="AG35" s="6">
        <f t="shared" si="25"/>
        <v>1.7692518422380832</v>
      </c>
      <c r="AH35" s="6">
        <f t="shared" si="17"/>
        <v>1.1067550001362112</v>
      </c>
      <c r="AI35" s="6">
        <f t="shared" si="26"/>
        <v>7.5575305969541914E-2</v>
      </c>
      <c r="AJ35" s="6">
        <f t="shared" si="18"/>
        <v>0.36943481904546721</v>
      </c>
      <c r="AK35" s="6">
        <f t="shared" si="19"/>
        <v>0.73732018109074393</v>
      </c>
      <c r="AL35" s="6">
        <f t="shared" si="27"/>
        <v>0.73740000000000006</v>
      </c>
      <c r="AM35" s="6">
        <v>16.7</v>
      </c>
      <c r="AN35" s="6">
        <f t="shared" si="20"/>
        <v>24.949677419354842</v>
      </c>
    </row>
    <row r="36" spans="1:40" x14ac:dyDescent="0.2">
      <c r="A36" s="1">
        <v>31</v>
      </c>
      <c r="B36" s="2">
        <v>23.47</v>
      </c>
      <c r="C36" s="2">
        <v>81.597708333333301</v>
      </c>
      <c r="D36" s="2">
        <v>1.222</v>
      </c>
      <c r="E36" s="2">
        <v>33.72</v>
      </c>
      <c r="F36" s="2">
        <v>99</v>
      </c>
      <c r="G36" s="2">
        <v>8.43</v>
      </c>
      <c r="H36" s="2">
        <v>18.7</v>
      </c>
      <c r="I36" s="2">
        <v>34.81</v>
      </c>
      <c r="J36" s="2">
        <v>1.524</v>
      </c>
      <c r="K36" s="6">
        <v>18.22</v>
      </c>
      <c r="L36" s="3">
        <v>9.4807930000000002</v>
      </c>
      <c r="N36" s="6">
        <f t="shared" si="9"/>
        <v>4.0286148856052746</v>
      </c>
      <c r="O36" s="6">
        <f t="shared" si="10"/>
        <v>21.873225114394735</v>
      </c>
      <c r="P36" s="6">
        <f t="shared" si="11"/>
        <v>4.1665961290322588</v>
      </c>
      <c r="Q36" s="6">
        <f t="shared" si="1"/>
        <v>6.1434700073997588</v>
      </c>
      <c r="R36" s="6">
        <f t="shared" si="12"/>
        <v>6.4080083602763604</v>
      </c>
      <c r="S36" s="6">
        <f t="shared" si="13"/>
        <v>6.3888013542857136</v>
      </c>
      <c r="T36" s="6">
        <f t="shared" si="21"/>
        <v>5.7080765267669484</v>
      </c>
      <c r="U36" s="6">
        <f t="shared" si="15"/>
        <v>20.836821677923862</v>
      </c>
      <c r="X36" s="6"/>
      <c r="Y36" s="6"/>
      <c r="Z36" s="25"/>
      <c r="AA36" s="25"/>
      <c r="AB36" s="25"/>
      <c r="AC36" s="25"/>
      <c r="AD36" s="6">
        <f t="shared" si="22"/>
        <v>7.51</v>
      </c>
      <c r="AE36" s="6">
        <f t="shared" si="23"/>
        <v>32.094999999999999</v>
      </c>
      <c r="AF36" s="6">
        <f t="shared" si="24"/>
        <v>4.0716088438521441</v>
      </c>
      <c r="AG36" s="6">
        <f t="shared" si="25"/>
        <v>1.8465004992954148</v>
      </c>
      <c r="AH36" s="6">
        <f t="shared" si="17"/>
        <v>1.1125541722783647</v>
      </c>
      <c r="AI36" s="6">
        <f t="shared" si="26"/>
        <v>7.6073747899439867E-2</v>
      </c>
      <c r="AJ36" s="6">
        <f t="shared" si="18"/>
        <v>0.35707426159274114</v>
      </c>
      <c r="AK36" s="6">
        <f t="shared" si="19"/>
        <v>0.75547991068562359</v>
      </c>
      <c r="AL36" s="6">
        <f t="shared" si="27"/>
        <v>0.7177</v>
      </c>
      <c r="AM36" s="6">
        <v>16.7</v>
      </c>
      <c r="AN36" s="6">
        <f t="shared" si="20"/>
        <v>24.949677419354842</v>
      </c>
    </row>
    <row r="37" spans="1:40" x14ac:dyDescent="0.2">
      <c r="A37" s="1">
        <f>A36+1</f>
        <v>32</v>
      </c>
      <c r="B37" s="2">
        <v>22.66</v>
      </c>
      <c r="C37" s="2">
        <v>78.690312499999976</v>
      </c>
      <c r="D37" s="2">
        <v>1.534</v>
      </c>
      <c r="E37" s="2">
        <v>30.89</v>
      </c>
      <c r="F37" s="2">
        <v>100</v>
      </c>
      <c r="G37" s="2">
        <v>8.34</v>
      </c>
      <c r="H37" s="2">
        <v>17.07</v>
      </c>
      <c r="I37" s="2">
        <v>39.29</v>
      </c>
      <c r="J37" s="2">
        <v>0</v>
      </c>
      <c r="K37" s="6">
        <v>21.7</v>
      </c>
      <c r="L37" s="3">
        <v>10.69314</v>
      </c>
      <c r="N37" s="6">
        <f t="shared" si="9"/>
        <v>4.1083299410622294</v>
      </c>
      <c r="O37" s="6">
        <f t="shared" si="10"/>
        <v>22.274468219857319</v>
      </c>
      <c r="P37" s="6">
        <f t="shared" si="11"/>
        <v>4.0277517241379313</v>
      </c>
      <c r="Q37" s="6">
        <f t="shared" si="1"/>
        <v>5.5351286401061079</v>
      </c>
      <c r="R37" s="6">
        <f t="shared" si="12"/>
        <v>5.7734717607936172</v>
      </c>
      <c r="S37" s="6">
        <f t="shared" si="13"/>
        <v>7.5231791999999986</v>
      </c>
      <c r="T37" s="6">
        <f t="shared" si="21"/>
        <v>5.3008930089015278</v>
      </c>
      <c r="U37" s="6">
        <f t="shared" si="15"/>
        <v>18.908327175624329</v>
      </c>
      <c r="X37" s="6"/>
      <c r="Y37" s="6"/>
      <c r="Z37" s="25"/>
      <c r="AA37" s="25"/>
      <c r="AB37" s="25"/>
      <c r="AC37" s="25"/>
      <c r="AD37" s="6">
        <f t="shared" si="22"/>
        <v>6.91</v>
      </c>
      <c r="AE37" s="6">
        <f t="shared" si="23"/>
        <v>30.355</v>
      </c>
      <c r="AF37" s="6">
        <f t="shared" si="24"/>
        <v>3.5290191742895551</v>
      </c>
      <c r="AG37" s="6">
        <f t="shared" si="25"/>
        <v>1.6863363286223672</v>
      </c>
      <c r="AH37" s="6">
        <f t="shared" si="17"/>
        <v>0.92134142283359399</v>
      </c>
      <c r="AI37" s="6">
        <f t="shared" si="26"/>
        <v>6.3309030660134463E-2</v>
      </c>
      <c r="AJ37" s="6">
        <f t="shared" si="18"/>
        <v>0.27967318890113746</v>
      </c>
      <c r="AK37" s="6">
        <f t="shared" si="19"/>
        <v>0.64166823393245653</v>
      </c>
      <c r="AL37" s="6">
        <f t="shared" si="27"/>
        <v>0.70960000000000001</v>
      </c>
      <c r="AM37" s="6">
        <v>16</v>
      </c>
      <c r="AN37" s="6">
        <f>$X$7</f>
        <v>25.173448275862071</v>
      </c>
    </row>
    <row r="38" spans="1:40" x14ac:dyDescent="0.2">
      <c r="A38" s="1">
        <f t="shared" ref="A38:A101" si="28">A37+1</f>
        <v>33</v>
      </c>
      <c r="B38" s="2">
        <v>23.41</v>
      </c>
      <c r="C38" s="2">
        <v>77.860729166666701</v>
      </c>
      <c r="D38" s="2">
        <v>1.3129999999999999</v>
      </c>
      <c r="E38" s="2">
        <v>29.45</v>
      </c>
      <c r="F38" s="2">
        <v>97.2</v>
      </c>
      <c r="G38" s="2">
        <v>4.5940000000000003</v>
      </c>
      <c r="H38" s="2">
        <v>18.510000000000002</v>
      </c>
      <c r="I38" s="2">
        <v>55.72</v>
      </c>
      <c r="J38" s="2">
        <v>0</v>
      </c>
      <c r="K38" s="1">
        <v>19.25</v>
      </c>
      <c r="L38" s="3">
        <v>9.3530259999999998</v>
      </c>
      <c r="N38" s="6">
        <f t="shared" si="9"/>
        <v>4.1083299410622294</v>
      </c>
      <c r="O38" s="6">
        <f t="shared" si="10"/>
        <v>22.274468219857319</v>
      </c>
      <c r="P38" s="6">
        <f t="shared" si="11"/>
        <v>4.0277517241379313</v>
      </c>
      <c r="Q38" s="6">
        <f t="shared" si="1"/>
        <v>5.0160180912888412</v>
      </c>
      <c r="R38" s="6">
        <f t="shared" si="12"/>
        <v>5.2320082665921319</v>
      </c>
      <c r="S38" s="6">
        <f t="shared" si="13"/>
        <v>6.7443254999999986</v>
      </c>
      <c r="T38" s="6">
        <f t="shared" si="21"/>
        <v>4.3151922349224039</v>
      </c>
      <c r="U38" s="6">
        <f t="shared" si="15"/>
        <v>20.691312056037614</v>
      </c>
      <c r="X38" s="6"/>
      <c r="Y38" s="6"/>
      <c r="Z38" s="25"/>
      <c r="AA38" s="25"/>
      <c r="AB38" s="25"/>
      <c r="AC38" s="25"/>
      <c r="AD38" s="6">
        <f t="shared" si="22"/>
        <v>5.4699999999999989</v>
      </c>
      <c r="AE38" s="6">
        <f t="shared" si="23"/>
        <v>20.740000000000002</v>
      </c>
      <c r="AF38" s="6">
        <f t="shared" si="24"/>
        <v>3.2779592883594675</v>
      </c>
      <c r="AG38" s="6">
        <f t="shared" si="25"/>
        <v>1.8271695444887601</v>
      </c>
      <c r="AH38" s="6">
        <f t="shared" si="17"/>
        <v>0.72539487193535368</v>
      </c>
      <c r="AI38" s="6">
        <f t="shared" si="26"/>
        <v>5.0437830576838233E-2</v>
      </c>
      <c r="AJ38" s="6">
        <f t="shared" si="18"/>
        <v>0.15044689643939235</v>
      </c>
      <c r="AK38" s="6">
        <f t="shared" si="19"/>
        <v>0.57494797549596133</v>
      </c>
      <c r="AL38" s="6">
        <f t="shared" si="27"/>
        <v>0.71709999999999996</v>
      </c>
      <c r="AM38" s="6">
        <v>16</v>
      </c>
      <c r="AN38" s="6">
        <f t="shared" ref="AN38:AN65" si="29">$X$7</f>
        <v>25.173448275862071</v>
      </c>
    </row>
    <row r="39" spans="1:40" x14ac:dyDescent="0.2">
      <c r="A39" s="1">
        <f t="shared" si="28"/>
        <v>34</v>
      </c>
      <c r="B39" s="2">
        <v>22.99</v>
      </c>
      <c r="C39" s="2">
        <v>82.442809999999994</v>
      </c>
      <c r="D39" s="2">
        <v>0.95499999999999996</v>
      </c>
      <c r="E39" s="2">
        <v>27.39</v>
      </c>
      <c r="F39" s="2">
        <v>100</v>
      </c>
      <c r="G39" s="2">
        <v>9.15</v>
      </c>
      <c r="H39" s="2">
        <v>18.170000000000002</v>
      </c>
      <c r="I39" s="2">
        <v>60.17</v>
      </c>
      <c r="J39" s="2">
        <v>0</v>
      </c>
      <c r="K39" s="1">
        <v>9.89</v>
      </c>
      <c r="L39" s="3">
        <v>3.7985730000000002</v>
      </c>
      <c r="N39" s="6">
        <f t="shared" si="9"/>
        <v>4.1083299410622294</v>
      </c>
      <c r="O39" s="6">
        <f t="shared" si="10"/>
        <v>22.274468219857319</v>
      </c>
      <c r="P39" s="6">
        <f t="shared" si="11"/>
        <v>4.0277517241379313</v>
      </c>
      <c r="Q39" s="6">
        <f t="shared" si="1"/>
        <v>4.5579230045577201</v>
      </c>
      <c r="R39" s="6">
        <f t="shared" si="12"/>
        <v>4.7541875655813373</v>
      </c>
      <c r="S39" s="6">
        <f t="shared" si="13"/>
        <v>3.4447124314285711</v>
      </c>
      <c r="T39" s="6">
        <f t="shared" si="21"/>
        <v>3.3988511831366215</v>
      </c>
      <c r="U39" s="6">
        <f t="shared" si="15"/>
        <v>19.676266713012279</v>
      </c>
      <c r="X39" s="6"/>
      <c r="Y39" s="6"/>
      <c r="Z39" s="25"/>
      <c r="AA39" s="25"/>
      <c r="AB39" s="25"/>
      <c r="AC39" s="25"/>
      <c r="AD39" s="6">
        <f t="shared" si="22"/>
        <v>4.6099999999999994</v>
      </c>
      <c r="AE39" s="6">
        <f t="shared" si="23"/>
        <v>19.914999999999999</v>
      </c>
      <c r="AF39" s="6">
        <f t="shared" si="24"/>
        <v>2.9459128801928944</v>
      </c>
      <c r="AG39" s="6">
        <f t="shared" si="25"/>
        <v>1.793019611614977</v>
      </c>
      <c r="AH39" s="6">
        <f t="shared" si="17"/>
        <v>0.5764466342889587</v>
      </c>
      <c r="AI39" s="6">
        <f t="shared" si="26"/>
        <v>4.0366715977285084E-2</v>
      </c>
      <c r="AJ39" s="6">
        <f t="shared" si="18"/>
        <v>0.11479934721864613</v>
      </c>
      <c r="AK39" s="6">
        <f t="shared" si="19"/>
        <v>0.46164728707031255</v>
      </c>
      <c r="AL39" s="6">
        <f t="shared" si="27"/>
        <v>0.71289999999999998</v>
      </c>
      <c r="AM39" s="6">
        <v>16</v>
      </c>
      <c r="AN39" s="6">
        <f t="shared" si="29"/>
        <v>25.173448275862071</v>
      </c>
    </row>
    <row r="40" spans="1:40" x14ac:dyDescent="0.2">
      <c r="A40" s="1">
        <f t="shared" si="28"/>
        <v>35</v>
      </c>
      <c r="B40" s="2">
        <v>23.51</v>
      </c>
      <c r="C40" s="2">
        <v>74.180729999999997</v>
      </c>
      <c r="D40" s="2">
        <v>1.1539999999999999</v>
      </c>
      <c r="E40" s="2">
        <v>27.82</v>
      </c>
      <c r="F40" s="2">
        <v>93.9</v>
      </c>
      <c r="G40" s="2">
        <v>5.3129999999999997</v>
      </c>
      <c r="H40" s="2">
        <v>19.13</v>
      </c>
      <c r="I40" s="2">
        <v>56.75</v>
      </c>
      <c r="J40" s="2">
        <v>0</v>
      </c>
      <c r="K40" s="1">
        <v>12.18</v>
      </c>
      <c r="L40" s="3">
        <v>5.6240860000000001</v>
      </c>
      <c r="N40" s="6">
        <f t="shared" si="9"/>
        <v>4.1083299410622294</v>
      </c>
      <c r="O40" s="6">
        <f t="shared" si="10"/>
        <v>22.274468219857319</v>
      </c>
      <c r="P40" s="6">
        <f t="shared" si="11"/>
        <v>4.0277517241379313</v>
      </c>
      <c r="Q40" s="6">
        <f t="shared" si="1"/>
        <v>4.4813916629507133</v>
      </c>
      <c r="R40" s="6">
        <f t="shared" si="12"/>
        <v>4.6743607777480491</v>
      </c>
      <c r="S40" s="6">
        <f t="shared" si="13"/>
        <v>4.2732694799999997</v>
      </c>
      <c r="T40" s="6">
        <f t="shared" si="21"/>
        <v>3.1544755323655918</v>
      </c>
      <c r="U40" s="6">
        <f t="shared" si="15"/>
        <v>20.93996000477804</v>
      </c>
      <c r="X40" s="6"/>
      <c r="Y40" s="6"/>
      <c r="Z40" s="25"/>
      <c r="AA40" s="25"/>
      <c r="AB40" s="25"/>
      <c r="AC40" s="25"/>
      <c r="AD40" s="6">
        <f t="shared" si="22"/>
        <v>4.3450000000000006</v>
      </c>
      <c r="AE40" s="6">
        <f t="shared" si="23"/>
        <v>18.575000000000003</v>
      </c>
      <c r="AF40" s="6">
        <f t="shared" si="24"/>
        <v>3.0126892277202195</v>
      </c>
      <c r="AG40" s="6">
        <f t="shared" si="25"/>
        <v>1.8909125598749374</v>
      </c>
      <c r="AH40" s="6">
        <f t="shared" si="17"/>
        <v>0.56088833392264104</v>
      </c>
      <c r="AI40" s="6">
        <f t="shared" si="26"/>
        <v>3.9363411875374427E-2</v>
      </c>
      <c r="AJ40" s="6">
        <f t="shared" si="18"/>
        <v>0.10418500802613058</v>
      </c>
      <c r="AK40" s="6">
        <f t="shared" si="19"/>
        <v>0.45670332589651047</v>
      </c>
      <c r="AL40" s="6">
        <f t="shared" si="27"/>
        <v>0.71809999999999996</v>
      </c>
      <c r="AM40" s="6">
        <v>16</v>
      </c>
      <c r="AN40" s="6">
        <f t="shared" si="29"/>
        <v>25.173448275862071</v>
      </c>
    </row>
    <row r="41" spans="1:40" x14ac:dyDescent="0.2">
      <c r="A41" s="1">
        <f t="shared" si="28"/>
        <v>36</v>
      </c>
      <c r="B41" s="2">
        <v>25.31</v>
      </c>
      <c r="C41" s="2">
        <v>66.283541666666665</v>
      </c>
      <c r="D41" s="2">
        <v>1.002</v>
      </c>
      <c r="E41" s="2">
        <v>32.76</v>
      </c>
      <c r="F41" s="2">
        <v>96.8</v>
      </c>
      <c r="G41" s="2">
        <v>4.3540000000000001</v>
      </c>
      <c r="H41" s="2">
        <v>18.46</v>
      </c>
      <c r="I41" s="2">
        <v>38.229999999999997</v>
      </c>
      <c r="J41" s="2">
        <v>0</v>
      </c>
      <c r="K41" s="3">
        <v>24.68</v>
      </c>
      <c r="L41" s="3">
        <v>14.07902</v>
      </c>
      <c r="N41" s="6">
        <f t="shared" si="9"/>
        <v>4.1083299410622294</v>
      </c>
      <c r="O41" s="6">
        <f t="shared" si="10"/>
        <v>22.274468219857319</v>
      </c>
      <c r="P41" s="6">
        <f t="shared" si="11"/>
        <v>4.0277517241379313</v>
      </c>
      <c r="Q41" s="6">
        <f t="shared" si="1"/>
        <v>5.9992071785251087</v>
      </c>
      <c r="R41" s="6">
        <f t="shared" si="12"/>
        <v>6.2575335614424112</v>
      </c>
      <c r="S41" s="6">
        <f t="shared" si="13"/>
        <v>8.875851737142856</v>
      </c>
      <c r="T41" s="6">
        <f t="shared" si="21"/>
        <v>5.8025485079652173</v>
      </c>
      <c r="U41" s="6">
        <f t="shared" si="15"/>
        <v>25.761143692227545</v>
      </c>
      <c r="X41" s="6"/>
      <c r="Y41" s="6"/>
      <c r="Z41" s="25"/>
      <c r="AA41" s="25"/>
      <c r="AB41" s="25"/>
      <c r="AC41" s="25"/>
      <c r="AD41" s="6">
        <f t="shared" si="22"/>
        <v>7.1499999999999986</v>
      </c>
      <c r="AE41" s="6">
        <f t="shared" si="23"/>
        <v>29.285</v>
      </c>
      <c r="AF41" s="6">
        <f t="shared" si="24"/>
        <v>3.8799397184303031</v>
      </c>
      <c r="AG41" s="6">
        <f t="shared" si="25"/>
        <v>1.8221120226476661</v>
      </c>
      <c r="AH41" s="6">
        <f t="shared" si="17"/>
        <v>1.0289138478913185</v>
      </c>
      <c r="AI41" s="6">
        <f t="shared" si="26"/>
        <v>7.0562000211755557E-2</v>
      </c>
      <c r="AJ41" s="6">
        <f t="shared" si="18"/>
        <v>0.30131742035497261</v>
      </c>
      <c r="AK41" s="6">
        <f t="shared" si="19"/>
        <v>0.72759642753634579</v>
      </c>
      <c r="AL41" s="6">
        <f t="shared" si="27"/>
        <v>0.73609999999999998</v>
      </c>
      <c r="AM41" s="6">
        <v>16</v>
      </c>
      <c r="AN41" s="6">
        <f t="shared" si="29"/>
        <v>25.173448275862071</v>
      </c>
    </row>
    <row r="42" spans="1:40" x14ac:dyDescent="0.2">
      <c r="A42" s="1">
        <f t="shared" si="28"/>
        <v>37</v>
      </c>
      <c r="B42" s="2">
        <v>26.26</v>
      </c>
      <c r="C42" s="2">
        <v>69.22562499999998</v>
      </c>
      <c r="D42" s="2">
        <v>1.391</v>
      </c>
      <c r="E42" s="2">
        <v>32.86</v>
      </c>
      <c r="F42" s="2">
        <v>99</v>
      </c>
      <c r="G42" s="2">
        <v>5.0730000000000004</v>
      </c>
      <c r="H42" s="2">
        <v>19.559999999999999</v>
      </c>
      <c r="I42" s="2">
        <v>43.61</v>
      </c>
      <c r="J42" s="2">
        <v>0</v>
      </c>
      <c r="K42" s="3">
        <v>25.84</v>
      </c>
      <c r="L42" s="3">
        <v>14.718059999999999</v>
      </c>
      <c r="N42" s="6">
        <f t="shared" si="9"/>
        <v>4.1083299410622294</v>
      </c>
      <c r="O42" s="6">
        <f t="shared" si="10"/>
        <v>22.274468219857319</v>
      </c>
      <c r="P42" s="6">
        <f t="shared" si="11"/>
        <v>4.0277517241379313</v>
      </c>
      <c r="Q42" s="6">
        <f t="shared" si="1"/>
        <v>5.9131395977747054</v>
      </c>
      <c r="R42" s="6">
        <f t="shared" si="12"/>
        <v>6.1677599031787524</v>
      </c>
      <c r="S42" s="6">
        <f t="shared" si="13"/>
        <v>9.4129656685714274</v>
      </c>
      <c r="T42" s="6">
        <f t="shared" si="21"/>
        <v>5.8809044498465264</v>
      </c>
      <c r="U42" s="6">
        <f t="shared" si="15"/>
        <v>28.609466092635103</v>
      </c>
      <c r="X42" s="6"/>
      <c r="Y42" s="6"/>
      <c r="Z42" s="25"/>
      <c r="AA42" s="25"/>
      <c r="AB42" s="25"/>
      <c r="AC42" s="25"/>
      <c r="AD42" s="6">
        <f t="shared" si="22"/>
        <v>6.65</v>
      </c>
      <c r="AE42" s="6">
        <f t="shared" si="23"/>
        <v>27.695</v>
      </c>
      <c r="AF42" s="6">
        <f t="shared" si="24"/>
        <v>3.8995318073124805</v>
      </c>
      <c r="AG42" s="6">
        <f t="shared" si="25"/>
        <v>1.9362576760098213</v>
      </c>
      <c r="AH42" s="6">
        <f t="shared" si="17"/>
        <v>0.98163706565132958</v>
      </c>
      <c r="AI42" s="6">
        <f t="shared" si="26"/>
        <v>6.7596040537459032E-2</v>
      </c>
      <c r="AJ42" s="6">
        <f t="shared" si="18"/>
        <v>0.27186438533213569</v>
      </c>
      <c r="AK42" s="6">
        <f t="shared" si="19"/>
        <v>0.70977268031919394</v>
      </c>
      <c r="AL42" s="6">
        <f t="shared" si="27"/>
        <v>0.74560000000000004</v>
      </c>
      <c r="AM42" s="6">
        <v>16</v>
      </c>
      <c r="AN42" s="6">
        <f t="shared" si="29"/>
        <v>25.173448275862071</v>
      </c>
    </row>
    <row r="43" spans="1:40" x14ac:dyDescent="0.2">
      <c r="A43" s="1">
        <f t="shared" si="28"/>
        <v>38</v>
      </c>
      <c r="B43" s="2">
        <v>25.98</v>
      </c>
      <c r="C43" s="2">
        <v>76.380937500000002</v>
      </c>
      <c r="D43" s="2">
        <v>0.86899999999999999</v>
      </c>
      <c r="E43" s="2">
        <v>32.47</v>
      </c>
      <c r="F43" s="2">
        <v>98.4</v>
      </c>
      <c r="G43" s="2">
        <v>4.6740000000000004</v>
      </c>
      <c r="H43" s="2">
        <v>20.329999999999998</v>
      </c>
      <c r="I43" s="2">
        <v>51.28</v>
      </c>
      <c r="J43" s="2">
        <v>0</v>
      </c>
      <c r="K43" s="3">
        <v>18.899999999999999</v>
      </c>
      <c r="L43" s="3">
        <v>9.7850900000000003</v>
      </c>
      <c r="N43" s="6">
        <f t="shared" si="9"/>
        <v>4.1083299410622294</v>
      </c>
      <c r="O43" s="6">
        <f t="shared" si="10"/>
        <v>22.274468219857319</v>
      </c>
      <c r="P43" s="6">
        <f t="shared" si="11"/>
        <v>4.0277517241379313</v>
      </c>
      <c r="Q43" s="6">
        <f t="shared" si="1"/>
        <v>5.6134895599463119</v>
      </c>
      <c r="R43" s="6">
        <f t="shared" si="12"/>
        <v>5.8552069086579595</v>
      </c>
      <c r="S43" s="6">
        <f t="shared" si="13"/>
        <v>6.8590151999999991</v>
      </c>
      <c r="T43" s="6">
        <f t="shared" si="21"/>
        <v>4.9300101141439709</v>
      </c>
      <c r="U43" s="6">
        <f t="shared" si="15"/>
        <v>27.741255251214188</v>
      </c>
      <c r="X43" s="6"/>
      <c r="Y43" s="6"/>
      <c r="Z43" s="25"/>
      <c r="AA43" s="25"/>
      <c r="AB43" s="25"/>
      <c r="AC43" s="25"/>
      <c r="AD43" s="6">
        <f t="shared" si="22"/>
        <v>6.07</v>
      </c>
      <c r="AE43" s="6">
        <f t="shared" si="23"/>
        <v>23.560000000000002</v>
      </c>
      <c r="AF43" s="6">
        <f t="shared" si="24"/>
        <v>3.82360630351782</v>
      </c>
      <c r="AG43" s="6">
        <f t="shared" si="25"/>
        <v>2.0198409360412342</v>
      </c>
      <c r="AH43" s="6">
        <f t="shared" si="17"/>
        <v>0.90188268373829295</v>
      </c>
      <c r="AI43" s="6">
        <f t="shared" si="26"/>
        <v>6.2400478269431146E-2</v>
      </c>
      <c r="AJ43" s="6">
        <f t="shared" si="18"/>
        <v>0.21248356028874185</v>
      </c>
      <c r="AK43" s="6">
        <f t="shared" si="19"/>
        <v>0.68939912344955112</v>
      </c>
      <c r="AL43" s="6">
        <f t="shared" si="27"/>
        <v>0.74280000000000002</v>
      </c>
      <c r="AM43" s="6">
        <v>16</v>
      </c>
      <c r="AN43" s="6">
        <f t="shared" si="29"/>
        <v>25.173448275862071</v>
      </c>
    </row>
    <row r="44" spans="1:40" x14ac:dyDescent="0.2">
      <c r="A44" s="1">
        <f t="shared" si="28"/>
        <v>39</v>
      </c>
      <c r="B44" s="2">
        <v>26.88</v>
      </c>
      <c r="C44" s="2">
        <v>68.8411458333333</v>
      </c>
      <c r="D44" s="2">
        <v>1.26</v>
      </c>
      <c r="E44" s="2">
        <v>34.26</v>
      </c>
      <c r="F44" s="2">
        <v>97.6</v>
      </c>
      <c r="G44" s="2">
        <v>6.1920000000000002</v>
      </c>
      <c r="H44" s="2">
        <v>20.62</v>
      </c>
      <c r="I44" s="2">
        <v>31.63</v>
      </c>
      <c r="J44" s="2">
        <v>0</v>
      </c>
      <c r="K44" s="3">
        <v>28.77</v>
      </c>
      <c r="L44" s="3">
        <v>16.456700000000001</v>
      </c>
      <c r="N44" s="6">
        <f t="shared" si="9"/>
        <v>4.1083299410622294</v>
      </c>
      <c r="O44" s="6">
        <f t="shared" si="10"/>
        <v>22.274468219857319</v>
      </c>
      <c r="P44" s="6">
        <f t="shared" si="11"/>
        <v>4.0277517241379313</v>
      </c>
      <c r="Q44" s="6">
        <f t="shared" si="1"/>
        <v>6.0725090158912591</v>
      </c>
      <c r="R44" s="6">
        <f t="shared" si="12"/>
        <v>6.3339917823013296</v>
      </c>
      <c r="S44" s="6">
        <f t="shared" si="13"/>
        <v>10.567451159999997</v>
      </c>
      <c r="T44" s="6">
        <f t="shared" si="21"/>
        <v>6.3698642902933962</v>
      </c>
      <c r="U44" s="6">
        <f t="shared" si="15"/>
        <v>30.593531610161854</v>
      </c>
      <c r="X44" s="6"/>
      <c r="Y44" s="6"/>
      <c r="Z44" s="25"/>
      <c r="AA44" s="25"/>
      <c r="AB44" s="25"/>
      <c r="AC44" s="25"/>
      <c r="AD44" s="6">
        <f t="shared" si="22"/>
        <v>6.8199999999999985</v>
      </c>
      <c r="AE44" s="6">
        <f t="shared" si="23"/>
        <v>32.984999999999999</v>
      </c>
      <c r="AF44" s="6">
        <f t="shared" si="24"/>
        <v>4.1830008452891452</v>
      </c>
      <c r="AG44" s="6">
        <f t="shared" si="25"/>
        <v>2.0521296353010667</v>
      </c>
      <c r="AH44" s="6">
        <f t="shared" si="17"/>
        <v>1.0654356049940392</v>
      </c>
      <c r="AI44" s="6">
        <f t="shared" si="26"/>
        <v>7.3264305571843671E-2</v>
      </c>
      <c r="AJ44" s="6">
        <f t="shared" si="18"/>
        <v>0.35143393430728381</v>
      </c>
      <c r="AK44" s="6">
        <f t="shared" si="19"/>
        <v>0.71400167068675535</v>
      </c>
      <c r="AL44" s="6">
        <f t="shared" si="27"/>
        <v>0.75180000000000002</v>
      </c>
      <c r="AM44" s="6">
        <v>16</v>
      </c>
      <c r="AN44" s="6">
        <f t="shared" si="29"/>
        <v>25.173448275862071</v>
      </c>
    </row>
    <row r="45" spans="1:40" x14ac:dyDescent="0.2">
      <c r="A45" s="1">
        <f t="shared" si="28"/>
        <v>40</v>
      </c>
      <c r="B45" s="2">
        <v>27.52</v>
      </c>
      <c r="C45" s="2">
        <v>67.531250000000014</v>
      </c>
      <c r="D45" s="2">
        <v>1.2989999999999999</v>
      </c>
      <c r="E45" s="2">
        <v>34.74</v>
      </c>
      <c r="F45" s="2">
        <v>95.8</v>
      </c>
      <c r="G45" s="2">
        <v>7.55</v>
      </c>
      <c r="H45" s="2">
        <v>21.49</v>
      </c>
      <c r="I45" s="2">
        <v>35.880000000000003</v>
      </c>
      <c r="J45" s="2">
        <v>0</v>
      </c>
      <c r="K45" s="3">
        <v>26.38</v>
      </c>
      <c r="L45" s="3">
        <v>15.32161</v>
      </c>
      <c r="N45" s="6">
        <f t="shared" si="9"/>
        <v>4.1083299410622294</v>
      </c>
      <c r="O45" s="6">
        <f t="shared" si="10"/>
        <v>22.274468219857319</v>
      </c>
      <c r="P45" s="6">
        <f t="shared" si="11"/>
        <v>4.0277517241379313</v>
      </c>
      <c r="Q45" s="6">
        <f t="shared" si="1"/>
        <v>6.070796275352353</v>
      </c>
      <c r="R45" s="6">
        <f t="shared" si="12"/>
        <v>6.3322052910058444</v>
      </c>
      <c r="S45" s="6">
        <f t="shared" si="13"/>
        <v>9.7720715314285691</v>
      </c>
      <c r="T45" s="6">
        <f t="shared" si="21"/>
        <v>6.3529751477031251</v>
      </c>
      <c r="U45" s="6">
        <f t="shared" si="15"/>
        <v>32.749778983229255</v>
      </c>
      <c r="X45" s="6"/>
      <c r="Y45" s="6"/>
      <c r="Z45" s="25"/>
      <c r="AA45" s="25"/>
      <c r="AB45" s="25"/>
      <c r="AC45" s="25"/>
      <c r="AD45" s="6">
        <f t="shared" si="22"/>
        <v>6.6250000000000018</v>
      </c>
      <c r="AE45" s="6">
        <f t="shared" si="23"/>
        <v>29.959999999999997</v>
      </c>
      <c r="AF45" s="6">
        <f t="shared" si="24"/>
        <v>4.2842314048701926</v>
      </c>
      <c r="AG45" s="6">
        <f t="shared" si="25"/>
        <v>2.1517229442253352</v>
      </c>
      <c r="AH45" s="6">
        <f t="shared" si="17"/>
        <v>1.0662542303224287</v>
      </c>
      <c r="AI45" s="6">
        <f t="shared" si="26"/>
        <v>7.3437873705840276E-2</v>
      </c>
      <c r="AJ45" s="6">
        <f t="shared" si="18"/>
        <v>0.31944976740459963</v>
      </c>
      <c r="AK45" s="6">
        <f t="shared" si="19"/>
        <v>0.74680446291782909</v>
      </c>
      <c r="AL45" s="6">
        <f t="shared" si="27"/>
        <v>0.75819999999999999</v>
      </c>
      <c r="AM45" s="6">
        <v>16</v>
      </c>
      <c r="AN45" s="6">
        <f t="shared" si="29"/>
        <v>25.173448275862071</v>
      </c>
    </row>
    <row r="46" spans="1:40" x14ac:dyDescent="0.2">
      <c r="A46" s="1">
        <f t="shared" si="28"/>
        <v>41</v>
      </c>
      <c r="B46" s="2">
        <v>27.68</v>
      </c>
      <c r="C46" s="2">
        <v>64.811149999999998</v>
      </c>
      <c r="D46" s="2">
        <v>1.7370000000000001</v>
      </c>
      <c r="E46" s="2">
        <v>35.700000000000003</v>
      </c>
      <c r="F46" s="2">
        <v>97.5</v>
      </c>
      <c r="G46" s="2">
        <v>6.8310000000000004</v>
      </c>
      <c r="H46" s="2">
        <v>20.72</v>
      </c>
      <c r="I46" s="2">
        <v>29.65</v>
      </c>
      <c r="J46" s="2">
        <v>0</v>
      </c>
      <c r="K46" s="3">
        <v>27.34</v>
      </c>
      <c r="L46" s="3">
        <v>14.835319999999999</v>
      </c>
      <c r="N46" s="6">
        <f t="shared" si="9"/>
        <v>4.1083299410622294</v>
      </c>
      <c r="O46" s="6">
        <f t="shared" si="10"/>
        <v>22.274468219857319</v>
      </c>
      <c r="P46" s="6">
        <f t="shared" si="11"/>
        <v>4.0277517241379313</v>
      </c>
      <c r="Q46" s="6">
        <f t="shared" si="1"/>
        <v>6.4777499758590631</v>
      </c>
      <c r="R46" s="6">
        <f t="shared" si="12"/>
        <v>6.7566824532531369</v>
      </c>
      <c r="S46" s="6">
        <f t="shared" si="13"/>
        <v>10.149061062857143</v>
      </c>
      <c r="T46" s="6">
        <f t="shared" si="21"/>
        <v>6.8018387488286844</v>
      </c>
      <c r="U46" s="6">
        <f t="shared" si="15"/>
        <v>33.308213657718724</v>
      </c>
      <c r="X46" s="6"/>
      <c r="Y46" s="6"/>
      <c r="Z46" s="25"/>
      <c r="AA46" s="25"/>
      <c r="AB46" s="25"/>
      <c r="AC46" s="25"/>
      <c r="AD46" s="6">
        <f t="shared" si="22"/>
        <v>7.490000000000002</v>
      </c>
      <c r="AE46" s="6">
        <f t="shared" si="23"/>
        <v>33.924999999999997</v>
      </c>
      <c r="AF46" s="6">
        <f t="shared" si="24"/>
        <v>4.4930997941352171</v>
      </c>
      <c r="AG46" s="6">
        <f t="shared" si="25"/>
        <v>2.063367967085028</v>
      </c>
      <c r="AH46" s="6">
        <f t="shared" si="17"/>
        <v>1.2148659135250945</v>
      </c>
      <c r="AI46" s="6">
        <f t="shared" si="26"/>
        <v>8.3083150451317644E-2</v>
      </c>
      <c r="AJ46" s="6">
        <f t="shared" si="18"/>
        <v>0.41214326116338834</v>
      </c>
      <c r="AK46" s="6">
        <f t="shared" si="19"/>
        <v>0.80272265236170615</v>
      </c>
      <c r="AL46" s="6">
        <f t="shared" si="27"/>
        <v>0.75980000000000003</v>
      </c>
      <c r="AM46" s="6">
        <v>16</v>
      </c>
      <c r="AN46" s="6">
        <f t="shared" si="29"/>
        <v>25.173448275862071</v>
      </c>
    </row>
    <row r="47" spans="1:40" x14ac:dyDescent="0.2">
      <c r="A47" s="1">
        <f t="shared" si="28"/>
        <v>42</v>
      </c>
      <c r="B47" s="2">
        <v>27.64</v>
      </c>
      <c r="C47" s="2">
        <v>64.316770000000005</v>
      </c>
      <c r="D47" s="2">
        <v>1.1000000000000001</v>
      </c>
      <c r="E47" s="2">
        <v>34.93</v>
      </c>
      <c r="F47" s="2">
        <v>98.3</v>
      </c>
      <c r="G47" s="2">
        <v>5.4729999999999999</v>
      </c>
      <c r="H47" s="2">
        <v>20.04</v>
      </c>
      <c r="I47" s="2">
        <v>33.28</v>
      </c>
      <c r="J47" s="2">
        <v>0</v>
      </c>
      <c r="K47" s="3">
        <v>27.88</v>
      </c>
      <c r="L47" s="3">
        <v>15.90943</v>
      </c>
      <c r="N47" s="6">
        <f t="shared" si="9"/>
        <v>4.1083299410622294</v>
      </c>
      <c r="O47" s="6">
        <f t="shared" si="10"/>
        <v>22.274468219857319</v>
      </c>
      <c r="P47" s="6">
        <f t="shared" si="11"/>
        <v>4.0277517241379313</v>
      </c>
      <c r="Q47" s="6">
        <f t="shared" si="1"/>
        <v>6.4525813752036445</v>
      </c>
      <c r="R47" s="6">
        <f t="shared" si="12"/>
        <v>6.7304300904643348</v>
      </c>
      <c r="S47" s="6">
        <f t="shared" si="13"/>
        <v>10.344069462857142</v>
      </c>
      <c r="T47" s="6">
        <f t="shared" si="21"/>
        <v>6.6741765528893255</v>
      </c>
      <c r="U47" s="6">
        <f t="shared" si="15"/>
        <v>33.168796894841087</v>
      </c>
      <c r="X47" s="6"/>
      <c r="Y47" s="6"/>
      <c r="Z47" s="25"/>
      <c r="AA47" s="25"/>
      <c r="AB47" s="25"/>
      <c r="AC47" s="25"/>
      <c r="AD47" s="6">
        <f t="shared" si="22"/>
        <v>7.4450000000000003</v>
      </c>
      <c r="AE47" s="6">
        <f t="shared" si="23"/>
        <v>32.51</v>
      </c>
      <c r="AF47" s="6">
        <f t="shared" si="24"/>
        <v>4.3248863696197919</v>
      </c>
      <c r="AG47" s="6">
        <f t="shared" si="25"/>
        <v>1.9879979352455059</v>
      </c>
      <c r="AH47" s="6">
        <f t="shared" si="17"/>
        <v>1.168444217187143</v>
      </c>
      <c r="AI47" s="6">
        <f t="shared" si="26"/>
        <v>7.9937816480560461E-2</v>
      </c>
      <c r="AJ47" s="6">
        <f t="shared" si="18"/>
        <v>0.37986121500754017</v>
      </c>
      <c r="AK47" s="6">
        <f t="shared" si="19"/>
        <v>0.78858300217960275</v>
      </c>
      <c r="AL47" s="6">
        <f t="shared" si="27"/>
        <v>0.75940000000000007</v>
      </c>
      <c r="AM47" s="6">
        <v>16</v>
      </c>
      <c r="AN47" s="6">
        <f t="shared" si="29"/>
        <v>25.173448275862071</v>
      </c>
    </row>
    <row r="48" spans="1:40" x14ac:dyDescent="0.2">
      <c r="A48" s="1">
        <f t="shared" si="28"/>
        <v>43</v>
      </c>
      <c r="B48" s="2">
        <v>27.76</v>
      </c>
      <c r="C48" s="2">
        <v>66.623130000000003</v>
      </c>
      <c r="D48" s="2">
        <v>1.175</v>
      </c>
      <c r="E48" s="2">
        <v>33.49</v>
      </c>
      <c r="F48" s="2">
        <v>94.4</v>
      </c>
      <c r="G48" s="2">
        <v>6.032</v>
      </c>
      <c r="H48" s="2">
        <v>22.93</v>
      </c>
      <c r="I48" s="2">
        <v>42.52</v>
      </c>
      <c r="J48" s="2">
        <v>0</v>
      </c>
      <c r="K48" s="3">
        <v>23.88</v>
      </c>
      <c r="L48" s="3">
        <v>14.059430000000001</v>
      </c>
      <c r="N48" s="6">
        <f t="shared" si="9"/>
        <v>4.1083299410622294</v>
      </c>
      <c r="O48" s="6">
        <f t="shared" si="10"/>
        <v>22.274468219857319</v>
      </c>
      <c r="P48" s="6">
        <f t="shared" si="11"/>
        <v>4.0277517241379313</v>
      </c>
      <c r="Q48" s="6">
        <f t="shared" si="1"/>
        <v>5.4483311126079563</v>
      </c>
      <c r="R48" s="6">
        <f t="shared" si="12"/>
        <v>5.6829367242117605</v>
      </c>
      <c r="S48" s="6">
        <f t="shared" si="13"/>
        <v>8.8739853942857128</v>
      </c>
      <c r="T48" s="6">
        <f t="shared" si="21"/>
        <v>5.2547146469396102</v>
      </c>
      <c r="U48" s="6">
        <f t="shared" si="15"/>
        <v>33.587778871743367</v>
      </c>
      <c r="X48" s="6"/>
      <c r="Y48" s="6"/>
      <c r="Z48" s="25"/>
      <c r="AA48" s="25"/>
      <c r="AB48" s="25"/>
      <c r="AC48" s="25"/>
      <c r="AD48" s="6">
        <f t="shared" si="22"/>
        <v>5.2800000000000011</v>
      </c>
      <c r="AE48" s="6">
        <f t="shared" si="23"/>
        <v>25.94</v>
      </c>
      <c r="AF48" s="6">
        <f t="shared" si="24"/>
        <v>4.0249533910366475</v>
      </c>
      <c r="AG48" s="6">
        <f t="shared" si="25"/>
        <v>2.32587693690783</v>
      </c>
      <c r="AH48" s="6">
        <f t="shared" si="17"/>
        <v>0.84953822706440874</v>
      </c>
      <c r="AI48" s="6">
        <f t="shared" si="26"/>
        <v>5.9162279169978779E-2</v>
      </c>
      <c r="AJ48" s="6">
        <f t="shared" si="18"/>
        <v>0.22037021610050764</v>
      </c>
      <c r="AK48" s="6">
        <f t="shared" si="19"/>
        <v>0.62916801096390107</v>
      </c>
      <c r="AL48" s="6">
        <f t="shared" si="27"/>
        <v>0.76059999999999994</v>
      </c>
      <c r="AM48" s="6">
        <v>16</v>
      </c>
      <c r="AN48" s="6">
        <f t="shared" si="29"/>
        <v>25.173448275862071</v>
      </c>
    </row>
    <row r="49" spans="1:40" x14ac:dyDescent="0.2">
      <c r="A49" s="1">
        <f t="shared" si="28"/>
        <v>44</v>
      </c>
      <c r="B49" s="2">
        <v>27.65</v>
      </c>
      <c r="C49" s="2">
        <v>69.49083333333337</v>
      </c>
      <c r="D49" s="2">
        <v>1.3740000000000001</v>
      </c>
      <c r="E49" s="2">
        <v>35.75</v>
      </c>
      <c r="F49" s="2">
        <v>100</v>
      </c>
      <c r="G49" s="2">
        <v>9.9499999999999993</v>
      </c>
      <c r="H49" s="2">
        <v>21.3</v>
      </c>
      <c r="I49" s="2">
        <v>36.32</v>
      </c>
      <c r="J49" s="2">
        <v>49.28</v>
      </c>
      <c r="K49" s="3">
        <v>26.11</v>
      </c>
      <c r="L49" s="3">
        <v>15.677149999999999</v>
      </c>
      <c r="N49" s="6">
        <f t="shared" si="9"/>
        <v>4.1083299410622294</v>
      </c>
      <c r="O49" s="6">
        <f t="shared" si="10"/>
        <v>22.274468219857319</v>
      </c>
      <c r="P49" s="6">
        <f t="shared" si="11"/>
        <v>4.0277517241379313</v>
      </c>
      <c r="Q49" s="6">
        <f t="shared" si="1"/>
        <v>6.3579283559599835</v>
      </c>
      <c r="R49" s="6">
        <f t="shared" si="12"/>
        <v>6.6317013039791384</v>
      </c>
      <c r="S49" s="6">
        <f t="shared" si="13"/>
        <v>9.6886376999999975</v>
      </c>
      <c r="T49" s="6">
        <f t="shared" si="21"/>
        <v>6.8608608088421521</v>
      </c>
      <c r="U49" s="6">
        <f t="shared" si="15"/>
        <v>33.199882733159775</v>
      </c>
      <c r="X49" s="6"/>
      <c r="Y49" s="6"/>
      <c r="Z49" s="25"/>
      <c r="AA49" s="25"/>
      <c r="AB49" s="25"/>
      <c r="AC49" s="25"/>
      <c r="AD49" s="6">
        <f t="shared" si="22"/>
        <v>7.2249999999999996</v>
      </c>
      <c r="AE49" s="6">
        <f t="shared" si="23"/>
        <v>31.84</v>
      </c>
      <c r="AF49" s="6">
        <f t="shared" si="24"/>
        <v>4.5042166542166946</v>
      </c>
      <c r="AG49" s="6">
        <f t="shared" si="25"/>
        <v>2.1296189503635805</v>
      </c>
      <c r="AH49" s="6">
        <f t="shared" si="17"/>
        <v>1.187298851926557</v>
      </c>
      <c r="AI49" s="6">
        <f t="shared" si="26"/>
        <v>8.1373962933233721E-2</v>
      </c>
      <c r="AJ49" s="6">
        <f t="shared" si="18"/>
        <v>0.37803595445341576</v>
      </c>
      <c r="AK49" s="6">
        <f t="shared" si="19"/>
        <v>0.80926289747314128</v>
      </c>
      <c r="AL49" s="6">
        <f t="shared" si="27"/>
        <v>0.75949999999999995</v>
      </c>
      <c r="AM49" s="6">
        <v>16</v>
      </c>
      <c r="AN49" s="6">
        <f t="shared" si="29"/>
        <v>25.173448275862071</v>
      </c>
    </row>
    <row r="50" spans="1:40" x14ac:dyDescent="0.2">
      <c r="A50" s="1">
        <f t="shared" si="28"/>
        <v>45</v>
      </c>
      <c r="B50" s="2">
        <v>23.7</v>
      </c>
      <c r="C50" s="2">
        <v>91.318129999999996</v>
      </c>
      <c r="D50" s="2">
        <v>0.95299999999999996</v>
      </c>
      <c r="E50" s="2">
        <v>28.88</v>
      </c>
      <c r="F50" s="2">
        <v>100</v>
      </c>
      <c r="G50" s="2">
        <v>4.9939999999999998</v>
      </c>
      <c r="H50" s="2">
        <v>20.59</v>
      </c>
      <c r="I50" s="2">
        <v>66.989999999999995</v>
      </c>
      <c r="J50" s="2">
        <v>17.27</v>
      </c>
      <c r="K50" s="3">
        <v>13.7</v>
      </c>
      <c r="L50" s="3">
        <v>6.3360050000000001</v>
      </c>
      <c r="N50" s="6">
        <f t="shared" si="9"/>
        <v>4.1083299410622294</v>
      </c>
      <c r="O50" s="6">
        <f t="shared" si="10"/>
        <v>22.274468219857319</v>
      </c>
      <c r="P50" s="6">
        <f t="shared" si="11"/>
        <v>4.0277517241379313</v>
      </c>
      <c r="Q50" s="6">
        <f t="shared" si="1"/>
        <v>4.397169234132341</v>
      </c>
      <c r="R50" s="6">
        <f t="shared" si="12"/>
        <v>4.5865117238191058</v>
      </c>
      <c r="S50" s="6">
        <f t="shared" si="13"/>
        <v>4.8192685714285712</v>
      </c>
      <c r="T50" s="6">
        <f t="shared" si="21"/>
        <v>3.3143215545198372</v>
      </c>
      <c r="U50" s="6">
        <f t="shared" si="15"/>
        <v>21.404257835844746</v>
      </c>
      <c r="X50" s="6"/>
      <c r="Y50" s="6"/>
      <c r="Z50" s="25"/>
      <c r="AA50" s="25"/>
      <c r="AB50" s="25"/>
      <c r="AC50" s="25"/>
      <c r="AD50" s="6">
        <f t="shared" si="22"/>
        <v>4.1449999999999996</v>
      </c>
      <c r="AE50" s="6">
        <f t="shared" si="23"/>
        <v>16.505000000000003</v>
      </c>
      <c r="AF50" s="6">
        <f t="shared" si="24"/>
        <v>3.182969863173398</v>
      </c>
      <c r="AG50" s="6">
        <f t="shared" si="25"/>
        <v>2.0487686021948046</v>
      </c>
      <c r="AH50" s="6">
        <f t="shared" si="17"/>
        <v>0.56710063048929671</v>
      </c>
      <c r="AI50" s="6">
        <f t="shared" si="26"/>
        <v>3.9865356469392786E-2</v>
      </c>
      <c r="AJ50" s="6">
        <f t="shared" si="18"/>
        <v>9.3599959062258445E-2</v>
      </c>
      <c r="AK50" s="6">
        <f t="shared" si="19"/>
        <v>0.47350067142703828</v>
      </c>
      <c r="AL50" s="6">
        <f t="shared" si="27"/>
        <v>0.72</v>
      </c>
      <c r="AM50" s="6">
        <v>16</v>
      </c>
      <c r="AN50" s="6">
        <f t="shared" si="29"/>
        <v>25.173448275862071</v>
      </c>
    </row>
    <row r="51" spans="1:40" x14ac:dyDescent="0.2">
      <c r="A51" s="1">
        <f t="shared" si="28"/>
        <v>46</v>
      </c>
      <c r="B51" s="2">
        <v>22.13</v>
      </c>
      <c r="C51" s="2">
        <v>91.33687500000002</v>
      </c>
      <c r="D51" s="2">
        <v>1.5449999999999999</v>
      </c>
      <c r="E51" s="2">
        <v>24.71</v>
      </c>
      <c r="F51" s="2">
        <v>99.9</v>
      </c>
      <c r="G51" s="2">
        <v>4.9139999999999997</v>
      </c>
      <c r="H51" s="2">
        <v>20.09</v>
      </c>
      <c r="I51" s="2">
        <v>77.39</v>
      </c>
      <c r="J51" s="2">
        <v>0.254</v>
      </c>
      <c r="K51" s="3">
        <v>7.4619999999999997</v>
      </c>
      <c r="L51" s="3">
        <v>2.7420439999999999</v>
      </c>
      <c r="N51" s="6">
        <f t="shared" si="9"/>
        <v>4.1083299410622294</v>
      </c>
      <c r="O51" s="6">
        <f t="shared" si="10"/>
        <v>22.274468219857319</v>
      </c>
      <c r="P51" s="6">
        <f t="shared" si="11"/>
        <v>4.0277517241379313</v>
      </c>
      <c r="Q51" s="6">
        <f t="shared" si="1"/>
        <v>3.1584071681790999</v>
      </c>
      <c r="R51" s="6">
        <f t="shared" si="12"/>
        <v>3.2944084555586062</v>
      </c>
      <c r="S51" s="6">
        <f t="shared" si="13"/>
        <v>2.5676805959999998</v>
      </c>
      <c r="T51" s="6">
        <f t="shared" si="21"/>
        <v>1.6551309856557015</v>
      </c>
      <c r="U51" s="6">
        <f t="shared" si="15"/>
        <v>17.710451814022271</v>
      </c>
      <c r="X51" s="6"/>
      <c r="Y51" s="6"/>
      <c r="Z51" s="25"/>
      <c r="AA51" s="25"/>
      <c r="AB51" s="25"/>
      <c r="AC51" s="25"/>
      <c r="AD51" s="6">
        <f t="shared" si="22"/>
        <v>2.3100000000000005</v>
      </c>
      <c r="AE51" s="6">
        <f t="shared" si="23"/>
        <v>11.255000000000003</v>
      </c>
      <c r="AF51" s="6">
        <f t="shared" si="24"/>
        <v>2.5580929164145298</v>
      </c>
      <c r="AG51" s="6">
        <f t="shared" si="25"/>
        <v>1.993456537869329</v>
      </c>
      <c r="AH51" s="6">
        <f t="shared" si="17"/>
        <v>0.28231818927260044</v>
      </c>
      <c r="AI51" s="6">
        <f t="shared" si="26"/>
        <v>2.0151201032547434E-2</v>
      </c>
      <c r="AJ51" s="6">
        <f t="shared" si="18"/>
        <v>3.1774912202631185E-2</v>
      </c>
      <c r="AK51" s="6">
        <f t="shared" si="19"/>
        <v>0.25054327706996926</v>
      </c>
      <c r="AL51" s="6">
        <f t="shared" si="27"/>
        <v>0.70429999999999993</v>
      </c>
      <c r="AM51" s="6">
        <v>16</v>
      </c>
      <c r="AN51" s="6">
        <f t="shared" si="29"/>
        <v>25.173448275862071</v>
      </c>
    </row>
    <row r="52" spans="1:40" x14ac:dyDescent="0.2">
      <c r="A52" s="1">
        <f t="shared" si="28"/>
        <v>47</v>
      </c>
      <c r="B52" s="2">
        <v>22.57</v>
      </c>
      <c r="C52" s="2">
        <v>87.953125</v>
      </c>
      <c r="D52" s="2">
        <v>1.2350000000000001</v>
      </c>
      <c r="E52" s="2">
        <v>28.25</v>
      </c>
      <c r="F52" s="2">
        <v>99.7</v>
      </c>
      <c r="G52" s="2">
        <v>4.9939999999999998</v>
      </c>
      <c r="H52" s="2">
        <v>19.27</v>
      </c>
      <c r="I52" s="2">
        <v>61.3</v>
      </c>
      <c r="J52" s="2">
        <v>0.76200000000000001</v>
      </c>
      <c r="K52" s="3">
        <v>17.940000000000001</v>
      </c>
      <c r="L52" s="3">
        <v>9.0737360000000002</v>
      </c>
      <c r="N52" s="6">
        <f t="shared" si="9"/>
        <v>4.1083299410622294</v>
      </c>
      <c r="O52" s="6">
        <f t="shared" si="10"/>
        <v>22.274468219857319</v>
      </c>
      <c r="P52" s="6">
        <f t="shared" si="11"/>
        <v>4.0277517241379313</v>
      </c>
      <c r="Q52" s="6">
        <f t="shared" si="1"/>
        <v>4.4518931924648513</v>
      </c>
      <c r="R52" s="6">
        <f t="shared" si="12"/>
        <v>4.643592100557294</v>
      </c>
      <c r="S52" s="6">
        <f t="shared" si="13"/>
        <v>6.2117352514285704</v>
      </c>
      <c r="T52" s="6">
        <f t="shared" si="21"/>
        <v>3.6507538295245956</v>
      </c>
      <c r="U52" s="6">
        <f t="shared" si="15"/>
        <v>18.697085765603251</v>
      </c>
      <c r="X52" s="6"/>
      <c r="Y52" s="6"/>
      <c r="Z52" s="25"/>
      <c r="AA52" s="25"/>
      <c r="AB52" s="25"/>
      <c r="AC52" s="25"/>
      <c r="AD52" s="6">
        <f t="shared" si="22"/>
        <v>4.49</v>
      </c>
      <c r="AE52" s="6">
        <f t="shared" si="23"/>
        <v>19.200000000000003</v>
      </c>
      <c r="AF52" s="6">
        <f t="shared" si="24"/>
        <v>3.0807822821379487</v>
      </c>
      <c r="AG52" s="6">
        <f t="shared" si="25"/>
        <v>1.9055728472666345</v>
      </c>
      <c r="AH52" s="6">
        <f t="shared" si="17"/>
        <v>0.58760471743565712</v>
      </c>
      <c r="AI52" s="6">
        <f t="shared" si="26"/>
        <v>4.1188934480566847E-2</v>
      </c>
      <c r="AJ52" s="6">
        <f t="shared" si="18"/>
        <v>0.11282010574764617</v>
      </c>
      <c r="AK52" s="6">
        <f t="shared" si="19"/>
        <v>0.47478461168801095</v>
      </c>
      <c r="AL52" s="6">
        <f t="shared" si="27"/>
        <v>0.7087</v>
      </c>
      <c r="AM52" s="6">
        <v>16</v>
      </c>
      <c r="AN52" s="6">
        <f t="shared" si="29"/>
        <v>25.173448275862071</v>
      </c>
    </row>
    <row r="53" spans="1:40" x14ac:dyDescent="0.2">
      <c r="A53" s="1">
        <f t="shared" si="28"/>
        <v>48</v>
      </c>
      <c r="B53" s="2">
        <v>23.81</v>
      </c>
      <c r="C53" s="2">
        <v>82.788960000000003</v>
      </c>
      <c r="D53" s="2">
        <v>1.3779999999999999</v>
      </c>
      <c r="E53" s="2">
        <v>29.5</v>
      </c>
      <c r="F53" s="2">
        <v>98.4</v>
      </c>
      <c r="G53" s="2">
        <v>6.1920000000000002</v>
      </c>
      <c r="H53" s="2">
        <v>19.95</v>
      </c>
      <c r="I53" s="2">
        <v>60.72</v>
      </c>
      <c r="J53" s="2">
        <v>0</v>
      </c>
      <c r="K53" s="3">
        <v>20.27</v>
      </c>
      <c r="L53" s="3">
        <v>11.47723</v>
      </c>
      <c r="N53" s="6">
        <f t="shared" si="9"/>
        <v>4.1083299410622294</v>
      </c>
      <c r="O53" s="6">
        <f t="shared" si="10"/>
        <v>22.274468219857319</v>
      </c>
      <c r="P53" s="6">
        <f t="shared" si="11"/>
        <v>4.0277517241379313</v>
      </c>
      <c r="Q53" s="6">
        <f t="shared" si="1"/>
        <v>4.7320270686211421</v>
      </c>
      <c r="R53" s="6">
        <f t="shared" si="12"/>
        <v>4.9357885657868712</v>
      </c>
      <c r="S53" s="6">
        <f t="shared" si="13"/>
        <v>7.1413005342857137</v>
      </c>
      <c r="T53" s="6">
        <f t="shared" si="21"/>
        <v>4.2687058386429344</v>
      </c>
      <c r="U53" s="6">
        <f t="shared" si="15"/>
        <v>21.68734743317318</v>
      </c>
      <c r="X53" s="6"/>
      <c r="Y53" s="6"/>
      <c r="Z53" s="25"/>
      <c r="AA53" s="25"/>
      <c r="AB53" s="25"/>
      <c r="AC53" s="25"/>
      <c r="AD53" s="6">
        <f t="shared" si="22"/>
        <v>4.7750000000000004</v>
      </c>
      <c r="AE53" s="6">
        <f t="shared" si="23"/>
        <v>18.840000000000003</v>
      </c>
      <c r="AF53" s="6">
        <f t="shared" si="24"/>
        <v>3.2864083645559687</v>
      </c>
      <c r="AG53" s="6">
        <f t="shared" si="25"/>
        <v>1.9782054283696828</v>
      </c>
      <c r="AH53" s="6">
        <f t="shared" si="17"/>
        <v>0.65410146809314296</v>
      </c>
      <c r="AI53" s="6">
        <f t="shared" si="26"/>
        <v>4.5742215636195314E-2</v>
      </c>
      <c r="AJ53" s="6">
        <f t="shared" si="18"/>
        <v>0.12323271658874817</v>
      </c>
      <c r="AK53" s="6">
        <f t="shared" si="19"/>
        <v>0.53086875150439483</v>
      </c>
      <c r="AL53" s="6">
        <f t="shared" si="27"/>
        <v>0.72109999999999996</v>
      </c>
      <c r="AM53" s="6">
        <v>16</v>
      </c>
      <c r="AN53" s="6">
        <f t="shared" si="29"/>
        <v>25.173448275862071</v>
      </c>
    </row>
    <row r="54" spans="1:40" x14ac:dyDescent="0.2">
      <c r="A54" s="1">
        <f t="shared" si="28"/>
        <v>49</v>
      </c>
      <c r="B54" s="2">
        <v>23.49</v>
      </c>
      <c r="C54" s="2">
        <v>84.289900000000003</v>
      </c>
      <c r="D54" s="2">
        <v>1.29</v>
      </c>
      <c r="E54" s="2">
        <v>31.18</v>
      </c>
      <c r="F54" s="2">
        <v>100</v>
      </c>
      <c r="G54" s="2">
        <v>8.67</v>
      </c>
      <c r="H54" s="2">
        <v>19.18</v>
      </c>
      <c r="I54" s="2">
        <v>48.19</v>
      </c>
      <c r="J54" s="2">
        <v>8.64</v>
      </c>
      <c r="K54" s="3">
        <v>24.66</v>
      </c>
      <c r="L54" s="3">
        <v>13.690770000000001</v>
      </c>
      <c r="N54" s="6">
        <f t="shared" si="9"/>
        <v>4.1083299410622294</v>
      </c>
      <c r="O54" s="6">
        <f t="shared" si="10"/>
        <v>22.274468219857319</v>
      </c>
      <c r="P54" s="6">
        <f t="shared" si="11"/>
        <v>4.0277517241379313</v>
      </c>
      <c r="Q54" s="6">
        <f t="shared" si="1"/>
        <v>5.263605409356594</v>
      </c>
      <c r="R54" s="6">
        <f t="shared" si="12"/>
        <v>5.4902567161109852</v>
      </c>
      <c r="S54" s="6">
        <f t="shared" si="13"/>
        <v>8.6493822685714274</v>
      </c>
      <c r="T54" s="6">
        <f t="shared" si="21"/>
        <v>5.3991278350901108</v>
      </c>
      <c r="U54" s="6">
        <f t="shared" si="15"/>
        <v>20.884657590596227</v>
      </c>
      <c r="X54" s="6"/>
      <c r="Y54" s="6"/>
      <c r="Z54" s="25"/>
      <c r="AA54" s="25"/>
      <c r="AB54" s="25"/>
      <c r="AC54" s="25"/>
      <c r="AD54" s="6">
        <f t="shared" si="22"/>
        <v>6</v>
      </c>
      <c r="AE54" s="6">
        <f t="shared" si="23"/>
        <v>25.905000000000001</v>
      </c>
      <c r="AF54" s="6">
        <f t="shared" si="24"/>
        <v>3.5815576918254863</v>
      </c>
      <c r="AG54" s="6">
        <f t="shared" si="25"/>
        <v>1.8961369933862033</v>
      </c>
      <c r="AH54" s="6">
        <f t="shared" si="17"/>
        <v>0.8427103492196415</v>
      </c>
      <c r="AI54" s="6">
        <f t="shared" si="26"/>
        <v>5.8339951490780549E-2</v>
      </c>
      <c r="AJ54" s="6">
        <f t="shared" si="18"/>
        <v>0.21830411596534813</v>
      </c>
      <c r="AK54" s="6">
        <f t="shared" si="19"/>
        <v>0.62440623325429334</v>
      </c>
      <c r="AL54" s="6">
        <f t="shared" si="27"/>
        <v>0.71789999999999998</v>
      </c>
      <c r="AM54" s="6">
        <v>16</v>
      </c>
      <c r="AN54" s="6">
        <f t="shared" si="29"/>
        <v>25.173448275862071</v>
      </c>
    </row>
    <row r="55" spans="1:40" x14ac:dyDescent="0.2">
      <c r="A55" s="1">
        <f t="shared" si="28"/>
        <v>50</v>
      </c>
      <c r="B55" s="2">
        <v>23.08</v>
      </c>
      <c r="C55" s="2">
        <v>85.433854166666663</v>
      </c>
      <c r="D55" s="2">
        <v>1.0369999999999999</v>
      </c>
      <c r="E55" s="2">
        <v>31.46</v>
      </c>
      <c r="F55" s="2">
        <v>100</v>
      </c>
      <c r="G55" s="2">
        <v>6.9909999999999997</v>
      </c>
      <c r="H55" s="2">
        <v>18.559999999999999</v>
      </c>
      <c r="I55" s="2">
        <v>47.82</v>
      </c>
      <c r="J55" s="2">
        <v>0.254</v>
      </c>
      <c r="K55" s="3">
        <v>26.07</v>
      </c>
      <c r="L55" s="3">
        <v>15.14339</v>
      </c>
      <c r="N55" s="6">
        <f t="shared" si="9"/>
        <v>4.1083299410622294</v>
      </c>
      <c r="O55" s="6">
        <f t="shared" si="10"/>
        <v>22.274468219857319</v>
      </c>
      <c r="P55" s="6">
        <f t="shared" si="11"/>
        <v>4.0277517241379313</v>
      </c>
      <c r="Q55" s="6">
        <f t="shared" si="1"/>
        <v>5.4032313231049436</v>
      </c>
      <c r="R55" s="6">
        <f t="shared" si="12"/>
        <v>5.6358949338499764</v>
      </c>
      <c r="S55" s="6">
        <f t="shared" si="13"/>
        <v>9.0917113885714276</v>
      </c>
      <c r="T55" s="6">
        <f t="shared" si="21"/>
        <v>5.7174079785319405</v>
      </c>
      <c r="U55" s="6">
        <f t="shared" si="15"/>
        <v>19.888445696846997</v>
      </c>
      <c r="X55" s="6"/>
      <c r="Y55" s="6"/>
      <c r="Z55" s="25"/>
      <c r="AA55" s="25"/>
      <c r="AB55" s="25"/>
      <c r="AC55" s="25"/>
      <c r="AD55" s="6">
        <f t="shared" si="22"/>
        <v>6.4500000000000011</v>
      </c>
      <c r="AE55" s="6">
        <f t="shared" si="23"/>
        <v>26.09</v>
      </c>
      <c r="AF55" s="6">
        <f t="shared" si="24"/>
        <v>3.6329296379417055</v>
      </c>
      <c r="AG55" s="6">
        <f t="shared" si="25"/>
        <v>1.8322393640982655</v>
      </c>
      <c r="AH55" s="6">
        <f t="shared" si="17"/>
        <v>0.90034513692172002</v>
      </c>
      <c r="AI55" s="6">
        <f t="shared" si="26"/>
        <v>6.210001834338813E-2</v>
      </c>
      <c r="AJ55" s="6">
        <f t="shared" si="18"/>
        <v>0.23490004622287675</v>
      </c>
      <c r="AK55" s="6">
        <f t="shared" si="19"/>
        <v>0.66544509069884328</v>
      </c>
      <c r="AL55" s="6">
        <f t="shared" si="27"/>
        <v>0.71379999999999999</v>
      </c>
      <c r="AM55" s="6">
        <v>16</v>
      </c>
      <c r="AN55" s="6">
        <f t="shared" si="29"/>
        <v>25.173448275862071</v>
      </c>
    </row>
    <row r="56" spans="1:40" x14ac:dyDescent="0.2">
      <c r="A56" s="1">
        <f t="shared" si="28"/>
        <v>51</v>
      </c>
      <c r="B56" s="2">
        <v>23.53</v>
      </c>
      <c r="C56" s="2">
        <v>87.007187500000001</v>
      </c>
      <c r="D56" s="2">
        <v>0.999</v>
      </c>
      <c r="E56" s="2">
        <v>29.45</v>
      </c>
      <c r="F56" s="2">
        <v>99.8</v>
      </c>
      <c r="G56" s="2">
        <v>7.0709999999999997</v>
      </c>
      <c r="H56" s="2">
        <v>19.53</v>
      </c>
      <c r="I56" s="2">
        <v>58.94</v>
      </c>
      <c r="J56" s="2">
        <v>8.64</v>
      </c>
      <c r="K56" s="3">
        <v>16.2</v>
      </c>
      <c r="L56" s="3">
        <v>7.7212300000000003</v>
      </c>
      <c r="N56" s="6">
        <f t="shared" si="9"/>
        <v>4.1083299410622294</v>
      </c>
      <c r="O56" s="6">
        <f t="shared" si="10"/>
        <v>22.274468219857319</v>
      </c>
      <c r="P56" s="6">
        <f t="shared" si="11"/>
        <v>4.0277517241379313</v>
      </c>
      <c r="Q56" s="6">
        <f t="shared" si="1"/>
        <v>4.7903700127724074</v>
      </c>
      <c r="R56" s="6">
        <f t="shared" si="12"/>
        <v>4.9966437621879498</v>
      </c>
      <c r="S56" s="6">
        <f t="shared" si="13"/>
        <v>5.6852418857142846</v>
      </c>
      <c r="T56" s="6">
        <f t="shared" si="21"/>
        <v>4.0801113058019425</v>
      </c>
      <c r="U56" s="6">
        <f t="shared" si="15"/>
        <v>20.982113900775843</v>
      </c>
      <c r="X56" s="6"/>
      <c r="Y56" s="6"/>
      <c r="Z56" s="25"/>
      <c r="AA56" s="25"/>
      <c r="AB56" s="25"/>
      <c r="AC56" s="25"/>
      <c r="AD56" s="6">
        <f t="shared" si="22"/>
        <v>4.9599999999999991</v>
      </c>
      <c r="AE56" s="6">
        <f t="shared" si="23"/>
        <v>20.43</v>
      </c>
      <c r="AF56" s="6">
        <f t="shared" si="24"/>
        <v>3.2779592883594675</v>
      </c>
      <c r="AG56" s="6">
        <f t="shared" si="25"/>
        <v>1.933063440802901</v>
      </c>
      <c r="AH56" s="6">
        <f t="shared" si="17"/>
        <v>0.67244792377828322</v>
      </c>
      <c r="AI56" s="6">
        <f t="shared" si="26"/>
        <v>4.6953415064558801E-2</v>
      </c>
      <c r="AJ56" s="6">
        <f t="shared" si="18"/>
        <v>0.13738111082790325</v>
      </c>
      <c r="AK56" s="6">
        <f t="shared" si="19"/>
        <v>0.53506681295037994</v>
      </c>
      <c r="AL56" s="6">
        <f t="shared" si="27"/>
        <v>0.71829999999999994</v>
      </c>
      <c r="AM56" s="6">
        <v>16</v>
      </c>
      <c r="AN56" s="6">
        <f t="shared" si="29"/>
        <v>25.173448275862071</v>
      </c>
    </row>
    <row r="57" spans="1:40" x14ac:dyDescent="0.2">
      <c r="A57" s="1">
        <f t="shared" si="28"/>
        <v>52</v>
      </c>
      <c r="B57" s="2">
        <v>23.33</v>
      </c>
      <c r="C57" s="2">
        <v>86.807916666666699</v>
      </c>
      <c r="D57" s="2">
        <v>1.343</v>
      </c>
      <c r="E57" s="2">
        <v>29.74</v>
      </c>
      <c r="F57" s="2">
        <v>100</v>
      </c>
      <c r="G57" s="2">
        <v>5.633</v>
      </c>
      <c r="H57" s="2">
        <v>19.18</v>
      </c>
      <c r="I57" s="2">
        <v>58.5</v>
      </c>
      <c r="J57" s="2">
        <v>7.3659999999999997</v>
      </c>
      <c r="K57" s="3">
        <v>17.97</v>
      </c>
      <c r="L57" s="3">
        <v>8.3495670000000004</v>
      </c>
      <c r="N57" s="6">
        <f t="shared" si="9"/>
        <v>4.1083299410622294</v>
      </c>
      <c r="O57" s="6">
        <f t="shared" si="10"/>
        <v>22.274468219857319</v>
      </c>
      <c r="P57" s="6">
        <f t="shared" si="11"/>
        <v>4.0277517241379313</v>
      </c>
      <c r="Q57" s="6">
        <f t="shared" si="1"/>
        <v>4.9185658178570053</v>
      </c>
      <c r="R57" s="6">
        <f t="shared" si="12"/>
        <v>5.1303596897899393</v>
      </c>
      <c r="S57" s="6">
        <f t="shared" si="13"/>
        <v>6.2888479457142843</v>
      </c>
      <c r="T57" s="6">
        <f t="shared" si="21"/>
        <v>4.2739604375521614</v>
      </c>
      <c r="U57" s="6">
        <f t="shared" si="15"/>
        <v>20.490509219923148</v>
      </c>
      <c r="X57" s="6"/>
      <c r="Y57" s="6"/>
      <c r="Z57" s="25"/>
      <c r="AA57" s="25"/>
      <c r="AB57" s="25"/>
      <c r="AC57" s="25"/>
      <c r="AD57" s="6">
        <f t="shared" si="22"/>
        <v>5.2799999999999994</v>
      </c>
      <c r="AE57" s="6">
        <f t="shared" si="23"/>
        <v>20.75</v>
      </c>
      <c r="AF57" s="6">
        <f t="shared" si="24"/>
        <v>3.3272287261025766</v>
      </c>
      <c r="AG57" s="6">
        <f t="shared" si="25"/>
        <v>1.8961369933862033</v>
      </c>
      <c r="AH57" s="6">
        <f t="shared" si="17"/>
        <v>0.71554586635818662</v>
      </c>
      <c r="AI57" s="6">
        <f t="shared" si="26"/>
        <v>4.9830982239246327E-2</v>
      </c>
      <c r="AJ57" s="6">
        <f t="shared" si="18"/>
        <v>0.14847576726932371</v>
      </c>
      <c r="AK57" s="6">
        <f t="shared" si="19"/>
        <v>0.56707009908886286</v>
      </c>
      <c r="AL57" s="6">
        <f t="shared" si="27"/>
        <v>0.71629999999999994</v>
      </c>
      <c r="AM57" s="6">
        <v>16</v>
      </c>
      <c r="AN57" s="6">
        <f t="shared" si="29"/>
        <v>25.173448275862071</v>
      </c>
    </row>
    <row r="58" spans="1:40" x14ac:dyDescent="0.2">
      <c r="A58" s="1">
        <f t="shared" si="28"/>
        <v>53</v>
      </c>
      <c r="B58" s="2">
        <v>24.51</v>
      </c>
      <c r="C58" s="2">
        <v>83.319895833333376</v>
      </c>
      <c r="D58" s="2">
        <v>0.73399999999999999</v>
      </c>
      <c r="E58" s="2">
        <v>30.89</v>
      </c>
      <c r="F58" s="2">
        <v>100</v>
      </c>
      <c r="G58" s="2">
        <v>3.7149999999999999</v>
      </c>
      <c r="H58" s="2">
        <v>19.079999999999998</v>
      </c>
      <c r="I58" s="2">
        <v>54.12</v>
      </c>
      <c r="J58" s="2">
        <v>0.254</v>
      </c>
      <c r="K58" s="3">
        <v>21.51</v>
      </c>
      <c r="L58" s="3">
        <v>10.432969999999999</v>
      </c>
      <c r="N58" s="6">
        <f t="shared" si="9"/>
        <v>4.1083299410622294</v>
      </c>
      <c r="O58" s="6">
        <f t="shared" si="10"/>
        <v>22.274468219857319</v>
      </c>
      <c r="P58" s="6">
        <f t="shared" si="11"/>
        <v>4.0277517241379313</v>
      </c>
      <c r="Q58" s="6">
        <f t="shared" si="1"/>
        <v>5.350763954939131</v>
      </c>
      <c r="R58" s="6">
        <f t="shared" si="12"/>
        <v>5.5811683162473411</v>
      </c>
      <c r="S58" s="6">
        <f t="shared" si="13"/>
        <v>7.6517277171428555</v>
      </c>
      <c r="T58" s="6">
        <f t="shared" si="21"/>
        <v>4.7759484664341683</v>
      </c>
      <c r="U58" s="6">
        <f t="shared" si="15"/>
        <v>23.519248417240426</v>
      </c>
      <c r="X58" s="6"/>
      <c r="Y58" s="6"/>
      <c r="Z58" s="25"/>
      <c r="AA58" s="25"/>
      <c r="AB58" s="25"/>
      <c r="AC58" s="25"/>
      <c r="AD58" s="6">
        <f t="shared" si="22"/>
        <v>5.9050000000000011</v>
      </c>
      <c r="AE58" s="6">
        <f t="shared" si="23"/>
        <v>22.94</v>
      </c>
      <c r="AF58" s="6">
        <f t="shared" si="24"/>
        <v>3.5290191742895551</v>
      </c>
      <c r="AG58" s="6">
        <f t="shared" si="25"/>
        <v>1.8857007417824685</v>
      </c>
      <c r="AH58" s="6">
        <f t="shared" si="17"/>
        <v>0.82165921625354332</v>
      </c>
      <c r="AI58" s="6">
        <f t="shared" si="26"/>
        <v>5.6927050987448095E-2</v>
      </c>
      <c r="AJ58" s="6">
        <f t="shared" si="18"/>
        <v>0.18848862420856285</v>
      </c>
      <c r="AK58" s="6">
        <f t="shared" si="19"/>
        <v>0.6331705920449805</v>
      </c>
      <c r="AL58" s="6">
        <f t="shared" si="27"/>
        <v>0.72809999999999997</v>
      </c>
      <c r="AM58" s="6">
        <v>16</v>
      </c>
      <c r="AN58" s="6">
        <f t="shared" si="29"/>
        <v>25.173448275862071</v>
      </c>
    </row>
    <row r="59" spans="1:40" x14ac:dyDescent="0.2">
      <c r="A59" s="1">
        <f t="shared" si="28"/>
        <v>54</v>
      </c>
      <c r="B59" s="2">
        <v>25.08</v>
      </c>
      <c r="C59" s="2">
        <v>84.87114583333333</v>
      </c>
      <c r="D59" s="2">
        <v>1.0780000000000001</v>
      </c>
      <c r="E59" s="2">
        <v>31.42</v>
      </c>
      <c r="F59" s="2">
        <v>100</v>
      </c>
      <c r="G59" s="2">
        <v>6.5910000000000002</v>
      </c>
      <c r="H59" s="2">
        <v>21.25</v>
      </c>
      <c r="I59" s="2">
        <v>57.06</v>
      </c>
      <c r="J59" s="2">
        <v>0.50800000000000001</v>
      </c>
      <c r="K59" s="3">
        <v>17.84</v>
      </c>
      <c r="L59" s="3">
        <v>8.5491340000000005</v>
      </c>
      <c r="N59" s="6">
        <f t="shared" si="9"/>
        <v>4.1083299410622294</v>
      </c>
      <c r="O59" s="6">
        <f t="shared" si="10"/>
        <v>22.274468219857319</v>
      </c>
      <c r="P59" s="6">
        <f t="shared" si="11"/>
        <v>4.0277517241379313</v>
      </c>
      <c r="Q59" s="6">
        <f t="shared" si="1"/>
        <v>5.0322600030486813</v>
      </c>
      <c r="R59" s="6">
        <f t="shared" si="12"/>
        <v>5.2489495564850701</v>
      </c>
      <c r="S59" s="6">
        <f t="shared" si="13"/>
        <v>6.3958846628571422</v>
      </c>
      <c r="T59" s="6">
        <f t="shared" si="21"/>
        <v>4.5002998845043161</v>
      </c>
      <c r="U59" s="6">
        <f t="shared" si="15"/>
        <v>25.092419850599757</v>
      </c>
      <c r="X59" s="6"/>
      <c r="Y59" s="6"/>
      <c r="Z59" s="25"/>
      <c r="AA59" s="25"/>
      <c r="AB59" s="25"/>
      <c r="AC59" s="25"/>
      <c r="AD59" s="6">
        <f t="shared" si="22"/>
        <v>5.0850000000000009</v>
      </c>
      <c r="AE59" s="6">
        <f t="shared" si="23"/>
        <v>21.47</v>
      </c>
      <c r="AF59" s="6">
        <f t="shared" si="24"/>
        <v>3.6255517293263049</v>
      </c>
      <c r="AG59" s="6">
        <f t="shared" si="25"/>
        <v>2.1238352429420431</v>
      </c>
      <c r="AH59" s="6">
        <f t="shared" si="17"/>
        <v>0.7508582431921309</v>
      </c>
      <c r="AI59" s="6">
        <f t="shared" si="26"/>
        <v>5.2374323576974018E-2</v>
      </c>
      <c r="AJ59" s="6">
        <f t="shared" si="18"/>
        <v>0.16120926481335052</v>
      </c>
      <c r="AK59" s="6">
        <f t="shared" si="19"/>
        <v>0.58964897837878039</v>
      </c>
      <c r="AL59" s="6">
        <f t="shared" si="27"/>
        <v>0.73380000000000001</v>
      </c>
      <c r="AM59" s="6">
        <v>16</v>
      </c>
      <c r="AN59" s="6">
        <f t="shared" si="29"/>
        <v>25.173448275862071</v>
      </c>
    </row>
    <row r="60" spans="1:40" x14ac:dyDescent="0.2">
      <c r="A60" s="1">
        <f t="shared" si="28"/>
        <v>55</v>
      </c>
      <c r="B60" s="2">
        <v>24.15</v>
      </c>
      <c r="C60" s="2">
        <v>93.694059999999993</v>
      </c>
      <c r="D60" s="2">
        <v>0.72699999999999998</v>
      </c>
      <c r="E60" s="2">
        <v>29.45</v>
      </c>
      <c r="F60" s="2">
        <v>100</v>
      </c>
      <c r="G60" s="2">
        <v>4.6740000000000004</v>
      </c>
      <c r="H60" s="2">
        <v>21.63</v>
      </c>
      <c r="I60" s="2">
        <v>72.84</v>
      </c>
      <c r="J60" s="2">
        <v>15.75</v>
      </c>
      <c r="K60" s="3">
        <v>8.56</v>
      </c>
      <c r="L60" s="3">
        <v>2.0845340000000001</v>
      </c>
      <c r="N60" s="6">
        <f t="shared" si="9"/>
        <v>4.1083299410622294</v>
      </c>
      <c r="O60" s="6">
        <f t="shared" si="10"/>
        <v>22.274468219857319</v>
      </c>
      <c r="P60" s="6">
        <f t="shared" si="11"/>
        <v>4.0277517241379313</v>
      </c>
      <c r="Q60" s="6">
        <f t="shared" si="1"/>
        <v>4.3170110507192359</v>
      </c>
      <c r="R60" s="6">
        <f t="shared" si="12"/>
        <v>4.5029019220560871</v>
      </c>
      <c r="S60" s="6">
        <f t="shared" si="13"/>
        <v>3.0299831999999998</v>
      </c>
      <c r="T60" s="6">
        <f t="shared" si="21"/>
        <v>2.911114548873845</v>
      </c>
      <c r="U60" s="6">
        <f t="shared" si="15"/>
        <v>22.557135411945456</v>
      </c>
      <c r="X60" s="6"/>
      <c r="Y60" s="6"/>
      <c r="Z60" s="25"/>
      <c r="AA60" s="25"/>
      <c r="AB60" s="25"/>
      <c r="AC60" s="25"/>
      <c r="AD60" s="6">
        <f t="shared" si="22"/>
        <v>3.91</v>
      </c>
      <c r="AE60" s="6">
        <f t="shared" si="23"/>
        <v>13.579999999999998</v>
      </c>
      <c r="AF60" s="6">
        <f t="shared" si="24"/>
        <v>3.2779592883594675</v>
      </c>
      <c r="AG60" s="6">
        <f t="shared" si="25"/>
        <v>2.1681383126363478</v>
      </c>
      <c r="AH60" s="6">
        <f t="shared" si="17"/>
        <v>0.55491048786155983</v>
      </c>
      <c r="AI60" s="6">
        <f t="shared" si="26"/>
        <v>3.9084473841516809E-2</v>
      </c>
      <c r="AJ60" s="6">
        <f t="shared" si="18"/>
        <v>7.5356844251599817E-2</v>
      </c>
      <c r="AK60" s="6">
        <f t="shared" si="19"/>
        <v>0.47955364360996</v>
      </c>
      <c r="AL60" s="6">
        <f t="shared" si="27"/>
        <v>0.72449999999999992</v>
      </c>
      <c r="AM60" s="6">
        <v>16</v>
      </c>
      <c r="AN60" s="6">
        <f t="shared" si="29"/>
        <v>25.173448275862071</v>
      </c>
    </row>
    <row r="61" spans="1:40" x14ac:dyDescent="0.2">
      <c r="A61" s="1">
        <f t="shared" si="28"/>
        <v>56</v>
      </c>
      <c r="B61" s="2">
        <v>26.64</v>
      </c>
      <c r="C61" s="2">
        <v>78.281149999999997</v>
      </c>
      <c r="D61" s="2">
        <v>1.444</v>
      </c>
      <c r="E61" s="2">
        <v>33.69</v>
      </c>
      <c r="F61" s="2">
        <v>100</v>
      </c>
      <c r="G61" s="2">
        <v>6.5910000000000002</v>
      </c>
      <c r="H61" s="2">
        <v>20.76</v>
      </c>
      <c r="I61" s="2">
        <v>45.84</v>
      </c>
      <c r="J61" s="2">
        <v>0.254</v>
      </c>
      <c r="K61" s="3">
        <v>25.68</v>
      </c>
      <c r="L61" s="3">
        <v>13.93946</v>
      </c>
      <c r="N61" s="6">
        <f t="shared" si="9"/>
        <v>4.1083299410622294</v>
      </c>
      <c r="O61" s="6">
        <f t="shared" si="10"/>
        <v>22.274468219857319</v>
      </c>
      <c r="P61" s="6">
        <f t="shared" si="11"/>
        <v>4.0277517241379313</v>
      </c>
      <c r="Q61" s="6">
        <f t="shared" si="1"/>
        <v>5.8805931187317748</v>
      </c>
      <c r="R61" s="6">
        <f t="shared" si="12"/>
        <v>6.1338119699173461</v>
      </c>
      <c r="S61" s="6">
        <f t="shared" si="13"/>
        <v>9.4023578057142849</v>
      </c>
      <c r="T61" s="6">
        <f t="shared" si="21"/>
        <v>6.0776635840856512</v>
      </c>
      <c r="U61" s="6">
        <f t="shared" si="15"/>
        <v>29.807117937713272</v>
      </c>
      <c r="X61" s="6"/>
      <c r="Y61" s="6"/>
      <c r="Z61" s="25"/>
      <c r="AA61" s="25"/>
      <c r="AB61" s="25"/>
      <c r="AC61" s="25"/>
      <c r="AD61" s="6">
        <f t="shared" si="22"/>
        <v>6.4649999999999981</v>
      </c>
      <c r="AE61" s="6">
        <f t="shared" si="23"/>
        <v>27.08</v>
      </c>
      <c r="AF61" s="6">
        <f t="shared" si="24"/>
        <v>4.0654967949667036</v>
      </c>
      <c r="AG61" s="6">
        <f t="shared" si="25"/>
        <v>2.0678783630684898</v>
      </c>
      <c r="AH61" s="6">
        <f t="shared" si="17"/>
        <v>0.99880921594910688</v>
      </c>
      <c r="AI61" s="6">
        <f t="shared" si="26"/>
        <v>6.8882959229078305E-2</v>
      </c>
      <c r="AJ61" s="6">
        <f t="shared" si="18"/>
        <v>0.27047753567901811</v>
      </c>
      <c r="AK61" s="6">
        <f t="shared" si="19"/>
        <v>0.72833168027008877</v>
      </c>
      <c r="AL61" s="6">
        <f t="shared" si="27"/>
        <v>0.74940000000000007</v>
      </c>
      <c r="AM61" s="6">
        <v>16</v>
      </c>
      <c r="AN61" s="6">
        <f t="shared" si="29"/>
        <v>25.173448275862071</v>
      </c>
    </row>
    <row r="62" spans="1:40" x14ac:dyDescent="0.2">
      <c r="A62" s="1">
        <f t="shared" si="28"/>
        <v>57</v>
      </c>
      <c r="B62" s="2">
        <v>26.45</v>
      </c>
      <c r="C62" s="2">
        <v>75.574583333333337</v>
      </c>
      <c r="D62" s="2">
        <v>1.766</v>
      </c>
      <c r="E62" s="2">
        <v>32.49</v>
      </c>
      <c r="F62" s="2">
        <v>96.5</v>
      </c>
      <c r="G62" s="2">
        <v>5.952</v>
      </c>
      <c r="H62" s="2">
        <v>21.64</v>
      </c>
      <c r="I62" s="2">
        <v>50.36</v>
      </c>
      <c r="J62" s="2">
        <v>0</v>
      </c>
      <c r="K62" s="3">
        <v>20.83</v>
      </c>
      <c r="L62" s="3">
        <v>10.665649999999999</v>
      </c>
      <c r="N62" s="6">
        <f t="shared" si="9"/>
        <v>4.1083299410622294</v>
      </c>
      <c r="O62" s="6">
        <f t="shared" si="10"/>
        <v>22.274468219857319</v>
      </c>
      <c r="P62" s="6">
        <f t="shared" si="11"/>
        <v>4.0277517241379313</v>
      </c>
      <c r="Q62" s="6">
        <f t="shared" si="1"/>
        <v>5.363841829882757</v>
      </c>
      <c r="R62" s="6">
        <f t="shared" si="12"/>
        <v>5.5948093256235509</v>
      </c>
      <c r="S62" s="6">
        <f t="shared" si="13"/>
        <v>7.6072647857142863</v>
      </c>
      <c r="T62" s="6">
        <f t="shared" si="21"/>
        <v>4.9914699567811471</v>
      </c>
      <c r="U62" s="6">
        <f t="shared" si="15"/>
        <v>29.20239854431777</v>
      </c>
      <c r="X62" s="6"/>
      <c r="Y62" s="6"/>
      <c r="Z62" s="25"/>
      <c r="AA62" s="25"/>
      <c r="AB62" s="25"/>
      <c r="AC62" s="25"/>
      <c r="AD62" s="6">
        <f t="shared" si="22"/>
        <v>5.4250000000000007</v>
      </c>
      <c r="AE62" s="6">
        <f t="shared" si="23"/>
        <v>23.07</v>
      </c>
      <c r="AF62" s="6">
        <f t="shared" si="24"/>
        <v>3.8274683796966045</v>
      </c>
      <c r="AG62" s="6">
        <f t="shared" si="25"/>
        <v>2.1693150207986989</v>
      </c>
      <c r="AH62" s="6">
        <f t="shared" si="17"/>
        <v>0.8290766794489528</v>
      </c>
      <c r="AI62" s="6">
        <f t="shared" si="26"/>
        <v>5.7668364377225154E-2</v>
      </c>
      <c r="AJ62" s="6">
        <f t="shared" si="18"/>
        <v>0.19126798994887342</v>
      </c>
      <c r="AK62" s="6">
        <f t="shared" si="19"/>
        <v>0.63780868950007941</v>
      </c>
      <c r="AL62" s="6">
        <f t="shared" si="27"/>
        <v>0.74750000000000005</v>
      </c>
      <c r="AM62" s="6">
        <v>16</v>
      </c>
      <c r="AN62" s="6">
        <f t="shared" si="29"/>
        <v>25.173448275862071</v>
      </c>
    </row>
    <row r="63" spans="1:40" x14ac:dyDescent="0.2">
      <c r="A63" s="1">
        <f t="shared" si="28"/>
        <v>58</v>
      </c>
      <c r="B63" s="2">
        <v>27.08</v>
      </c>
      <c r="C63" s="2">
        <v>77.493749999999991</v>
      </c>
      <c r="D63" s="2">
        <v>1.0029999999999999</v>
      </c>
      <c r="E63" s="2">
        <v>34.159999999999997</v>
      </c>
      <c r="F63" s="2">
        <v>99.9</v>
      </c>
      <c r="G63" s="2">
        <v>7.31</v>
      </c>
      <c r="H63" s="2">
        <v>21.05</v>
      </c>
      <c r="I63" s="2">
        <v>48.81</v>
      </c>
      <c r="J63" s="2">
        <v>3.302</v>
      </c>
      <c r="K63" s="3">
        <v>21.35</v>
      </c>
      <c r="L63" s="6">
        <v>11.43078</v>
      </c>
      <c r="N63" s="6">
        <f t="shared" si="9"/>
        <v>4.1083299410622294</v>
      </c>
      <c r="O63" s="6">
        <f t="shared" si="10"/>
        <v>22.274468219857319</v>
      </c>
      <c r="P63" s="6">
        <f t="shared" si="11"/>
        <v>4.0277517241379313</v>
      </c>
      <c r="Q63" s="6">
        <f t="shared" si="1"/>
        <v>5.9800114118389551</v>
      </c>
      <c r="R63" s="6">
        <f t="shared" si="12"/>
        <v>6.237511223373108</v>
      </c>
      <c r="S63" s="6">
        <f t="shared" si="13"/>
        <v>7.8628877999999984</v>
      </c>
      <c r="T63" s="6">
        <f t="shared" si="21"/>
        <v>5.9376250761740748</v>
      </c>
      <c r="U63" s="6">
        <f t="shared" si="15"/>
        <v>31.248945353563769</v>
      </c>
      <c r="X63" s="6"/>
      <c r="Y63" s="6"/>
      <c r="Z63" s="25"/>
      <c r="AA63" s="25"/>
      <c r="AB63" s="25"/>
      <c r="AC63" s="25"/>
      <c r="AD63" s="6">
        <f t="shared" si="22"/>
        <v>6.5549999999999979</v>
      </c>
      <c r="AE63" s="6">
        <f t="shared" si="23"/>
        <v>25.545000000000002</v>
      </c>
      <c r="AF63" s="6">
        <f t="shared" si="24"/>
        <v>4.1621749968413591</v>
      </c>
      <c r="AG63" s="6">
        <f t="shared" si="25"/>
        <v>2.1008376535755926</v>
      </c>
      <c r="AH63" s="6">
        <f t="shared" si="17"/>
        <v>1.0306686716328832</v>
      </c>
      <c r="AI63" s="6">
        <f t="shared" si="26"/>
        <v>7.1027691521876324E-2</v>
      </c>
      <c r="AJ63" s="6">
        <f t="shared" si="18"/>
        <v>0.26328431216862003</v>
      </c>
      <c r="AK63" s="6">
        <f t="shared" si="19"/>
        <v>0.7673843594642632</v>
      </c>
      <c r="AL63" s="6">
        <f t="shared" si="27"/>
        <v>0.75380000000000003</v>
      </c>
      <c r="AM63" s="6">
        <v>16</v>
      </c>
      <c r="AN63" s="6">
        <f>$X$7</f>
        <v>25.173448275862071</v>
      </c>
    </row>
    <row r="64" spans="1:40" x14ac:dyDescent="0.2">
      <c r="A64" s="1">
        <f t="shared" si="28"/>
        <v>59</v>
      </c>
      <c r="B64" s="2">
        <v>27.82</v>
      </c>
      <c r="C64" s="2">
        <v>77.301562500000003</v>
      </c>
      <c r="D64" s="2">
        <v>1.19</v>
      </c>
      <c r="E64" s="2">
        <v>34.06</v>
      </c>
      <c r="F64" s="2">
        <v>99.7</v>
      </c>
      <c r="G64" s="2">
        <v>7.39</v>
      </c>
      <c r="H64" s="2">
        <v>22.93</v>
      </c>
      <c r="I64" s="2">
        <v>48.09</v>
      </c>
      <c r="J64" s="2">
        <v>0</v>
      </c>
      <c r="K64" s="3">
        <v>22.56</v>
      </c>
      <c r="L64" s="3">
        <v>12.490309999999999</v>
      </c>
      <c r="N64" s="6">
        <f t="shared" si="9"/>
        <v>4.1083299410622294</v>
      </c>
      <c r="O64" s="6">
        <f t="shared" si="10"/>
        <v>22.274468219857319</v>
      </c>
      <c r="P64" s="6">
        <f t="shared" si="11"/>
        <v>4.0277517241379313</v>
      </c>
      <c r="Q64" s="6">
        <f t="shared" si="1"/>
        <v>5.6008079588089155</v>
      </c>
      <c r="R64" s="6">
        <f t="shared" si="12"/>
        <v>5.8419792366725432</v>
      </c>
      <c r="S64" s="6">
        <f t="shared" si="13"/>
        <v>8.3900768914285688</v>
      </c>
      <c r="T64" s="6">
        <f t="shared" si="21"/>
        <v>5.502145004769214</v>
      </c>
      <c r="U64" s="6">
        <f t="shared" si="15"/>
        <v>33.791683692780417</v>
      </c>
      <c r="X64" s="6"/>
      <c r="Y64" s="6"/>
      <c r="Z64" s="25"/>
      <c r="AA64" s="25"/>
      <c r="AB64" s="25"/>
      <c r="AC64" s="25"/>
      <c r="AD64" s="6">
        <f t="shared" si="22"/>
        <v>5.5650000000000013</v>
      </c>
      <c r="AE64" s="6">
        <f t="shared" si="23"/>
        <v>25.805</v>
      </c>
      <c r="AF64" s="6">
        <f t="shared" si="24"/>
        <v>4.1414393834323908</v>
      </c>
      <c r="AG64" s="6">
        <f t="shared" si="25"/>
        <v>2.32587693690783</v>
      </c>
      <c r="AH64" s="6">
        <f t="shared" si="17"/>
        <v>0.90778122326228039</v>
      </c>
      <c r="AI64" s="6">
        <f t="shared" si="26"/>
        <v>6.307006605549241E-2</v>
      </c>
      <c r="AJ64" s="6">
        <f t="shared" si="18"/>
        <v>0.23425294466283145</v>
      </c>
      <c r="AK64" s="6">
        <f t="shared" si="19"/>
        <v>0.67352827859944897</v>
      </c>
      <c r="AL64" s="6">
        <f t="shared" si="27"/>
        <v>0.76119999999999999</v>
      </c>
      <c r="AM64" s="6">
        <v>16</v>
      </c>
      <c r="AN64" s="6">
        <f t="shared" si="29"/>
        <v>25.173448275862071</v>
      </c>
    </row>
    <row r="65" spans="1:40" x14ac:dyDescent="0.2">
      <c r="A65" s="1">
        <f t="shared" si="28"/>
        <v>60</v>
      </c>
      <c r="B65" s="2">
        <v>27.41</v>
      </c>
      <c r="C65" s="2">
        <v>78.753645833333337</v>
      </c>
      <c r="D65" s="2">
        <v>1.1399999999999999</v>
      </c>
      <c r="E65" s="2">
        <v>34.21</v>
      </c>
      <c r="F65" s="2">
        <v>100</v>
      </c>
      <c r="G65" s="2">
        <v>9.31</v>
      </c>
      <c r="H65" s="2">
        <v>21.06</v>
      </c>
      <c r="I65" s="2">
        <v>46.32</v>
      </c>
      <c r="J65" s="2">
        <v>28.45</v>
      </c>
      <c r="K65" s="3">
        <v>21.22</v>
      </c>
      <c r="L65" s="3">
        <v>12.003959999999999</v>
      </c>
      <c r="N65" s="6">
        <f t="shared" si="9"/>
        <v>4.1083299410622294</v>
      </c>
      <c r="O65" s="6">
        <f t="shared" si="10"/>
        <v>22.274468219857319</v>
      </c>
      <c r="P65" s="6">
        <f t="shared" si="11"/>
        <v>4.0277517241379313</v>
      </c>
      <c r="Q65" s="6">
        <f t="shared" si="1"/>
        <v>6.0331649888337715</v>
      </c>
      <c r="R65" s="6">
        <f t="shared" si="12"/>
        <v>6.2929535980166103</v>
      </c>
      <c r="S65" s="6">
        <f t="shared" si="13"/>
        <v>7.8492234342857135</v>
      </c>
      <c r="T65" s="6">
        <f t="shared" si="21"/>
        <v>6.0428818884428148</v>
      </c>
      <c r="U65" s="6">
        <f t="shared" si="15"/>
        <v>32.36320136749336</v>
      </c>
      <c r="X65" s="6"/>
      <c r="Y65" s="6"/>
      <c r="Z65" s="25"/>
      <c r="AA65" s="25"/>
      <c r="AB65" s="25"/>
      <c r="AC65" s="25"/>
      <c r="AD65" s="6">
        <f t="shared" si="22"/>
        <v>6.5750000000000011</v>
      </c>
      <c r="AE65" s="6">
        <f t="shared" si="23"/>
        <v>26.84</v>
      </c>
      <c r="AF65" s="6">
        <f t="shared" si="24"/>
        <v>4.1725766211324391</v>
      </c>
      <c r="AG65" s="6">
        <f t="shared" si="25"/>
        <v>2.1019823347279498</v>
      </c>
      <c r="AH65" s="6">
        <f t="shared" si="17"/>
        <v>1.0352971432022446</v>
      </c>
      <c r="AI65" s="6">
        <f t="shared" si="26"/>
        <v>7.1334957179219713E-2</v>
      </c>
      <c r="AJ65" s="6">
        <f t="shared" si="18"/>
        <v>0.27787375323548247</v>
      </c>
      <c r="AK65" s="6">
        <f t="shared" si="19"/>
        <v>0.75742338996676217</v>
      </c>
      <c r="AL65" s="6">
        <f t="shared" si="27"/>
        <v>0.7571</v>
      </c>
      <c r="AM65" s="6">
        <v>16</v>
      </c>
      <c r="AN65" s="6">
        <f t="shared" si="29"/>
        <v>25.173448275862071</v>
      </c>
    </row>
    <row r="66" spans="1:40" x14ac:dyDescent="0.2">
      <c r="A66" s="1">
        <f t="shared" si="28"/>
        <v>61</v>
      </c>
      <c r="B66" s="2">
        <v>24.18</v>
      </c>
      <c r="C66" s="2">
        <v>87.340520833333315</v>
      </c>
      <c r="D66" s="2">
        <v>1.1020000000000001</v>
      </c>
      <c r="E66" s="2">
        <v>31.86</v>
      </c>
      <c r="F66" s="2">
        <v>100</v>
      </c>
      <c r="G66" s="2">
        <v>8.75</v>
      </c>
      <c r="H66" s="2">
        <v>20.29</v>
      </c>
      <c r="I66" s="2">
        <v>54.26</v>
      </c>
      <c r="J66" s="2">
        <v>3.556</v>
      </c>
      <c r="K66" s="3">
        <v>21.39</v>
      </c>
      <c r="L66" s="3">
        <v>10.97151</v>
      </c>
      <c r="N66" s="6">
        <f t="shared" si="9"/>
        <v>3.9876159572667365</v>
      </c>
      <c r="O66" s="6">
        <f t="shared" si="10"/>
        <v>21.670170709399933</v>
      </c>
      <c r="P66" s="6">
        <f t="shared" si="11"/>
        <v>3.6012387096774194</v>
      </c>
      <c r="Q66" s="6">
        <f t="shared" si="1"/>
        <v>4.7621706269935071</v>
      </c>
      <c r="R66" s="6">
        <f t="shared" si="12"/>
        <v>4.9672301084046326</v>
      </c>
      <c r="S66" s="6">
        <f t="shared" si="13"/>
        <v>7.5745534628571427</v>
      </c>
      <c r="T66" s="6">
        <f t="shared" si="21"/>
        <v>5.3305687713090277</v>
      </c>
      <c r="U66" s="6">
        <f t="shared" si="15"/>
        <v>22.639488143563081</v>
      </c>
      <c r="X66" s="6"/>
      <c r="Y66" s="6"/>
      <c r="Z66" s="25"/>
      <c r="AA66" s="25"/>
      <c r="AB66" s="25"/>
      <c r="AC66" s="25"/>
      <c r="AD66" s="6">
        <f t="shared" si="22"/>
        <v>5.7850000000000001</v>
      </c>
      <c r="AE66" s="6">
        <f t="shared" si="23"/>
        <v>22.87</v>
      </c>
      <c r="AF66" s="6">
        <f t="shared" si="24"/>
        <v>3.7074308752108558</v>
      </c>
      <c r="AG66" s="6">
        <f t="shared" si="25"/>
        <v>2.0154224182781468</v>
      </c>
      <c r="AH66" s="6">
        <f t="shared" si="17"/>
        <v>0.84600422846635448</v>
      </c>
      <c r="AI66" s="6">
        <f t="shared" si="26"/>
        <v>5.8671631682971057E-2</v>
      </c>
      <c r="AJ66" s="6">
        <f t="shared" si="18"/>
        <v>0.19348116705025528</v>
      </c>
      <c r="AK66" s="6">
        <f t="shared" si="19"/>
        <v>0.65252306141609917</v>
      </c>
      <c r="AL66" s="6">
        <f t="shared" si="27"/>
        <v>0.7248</v>
      </c>
      <c r="AM66" s="6">
        <v>14.5</v>
      </c>
      <c r="AN66" s="6">
        <f>$X$8</f>
        <v>24.836129032258064</v>
      </c>
    </row>
    <row r="67" spans="1:40" x14ac:dyDescent="0.2">
      <c r="A67" s="1">
        <f t="shared" si="28"/>
        <v>62</v>
      </c>
      <c r="B67" s="2">
        <v>25.06</v>
      </c>
      <c r="C67" s="2">
        <v>72.141149999999996</v>
      </c>
      <c r="D67" s="2">
        <v>1.9219999999999999</v>
      </c>
      <c r="E67" s="2">
        <v>31.32</v>
      </c>
      <c r="F67" s="2">
        <v>96</v>
      </c>
      <c r="G67" s="2">
        <v>5.8719999999999999</v>
      </c>
      <c r="H67" s="2">
        <v>19.37</v>
      </c>
      <c r="I67" s="2">
        <v>45.25</v>
      </c>
      <c r="J67" s="2">
        <v>0</v>
      </c>
      <c r="K67" s="3">
        <v>26.88</v>
      </c>
      <c r="L67" s="3">
        <v>13.573040000000001</v>
      </c>
      <c r="N67" s="6">
        <f t="shared" si="9"/>
        <v>3.9876159572667365</v>
      </c>
      <c r="O67" s="6">
        <f t="shared" si="10"/>
        <v>21.670170709399933</v>
      </c>
      <c r="P67" s="6">
        <f t="shared" si="11"/>
        <v>3.6012387096774194</v>
      </c>
      <c r="Q67" s="6">
        <f t="shared" si="1"/>
        <v>4.9411945939999109</v>
      </c>
      <c r="R67" s="6">
        <f t="shared" si="12"/>
        <v>5.1539628630018059</v>
      </c>
      <c r="S67" s="6">
        <f t="shared" si="13"/>
        <v>9.6342220799999989</v>
      </c>
      <c r="T67" s="6">
        <f t="shared" si="21"/>
        <v>5.5110490066204179</v>
      </c>
      <c r="U67" s="6">
        <f t="shared" si="15"/>
        <v>25.043963163839024</v>
      </c>
      <c r="X67" s="6"/>
      <c r="Y67" s="6"/>
      <c r="Z67" s="25"/>
      <c r="AA67" s="25"/>
      <c r="AB67" s="25"/>
      <c r="AC67" s="25"/>
      <c r="AD67" s="6">
        <f t="shared" si="22"/>
        <v>5.9749999999999996</v>
      </c>
      <c r="AE67" s="6">
        <f t="shared" si="23"/>
        <v>25.375</v>
      </c>
      <c r="AF67" s="6">
        <f t="shared" si="24"/>
        <v>3.6071640180321194</v>
      </c>
      <c r="AG67" s="6">
        <f t="shared" si="25"/>
        <v>1.9161053505706394</v>
      </c>
      <c r="AH67" s="6">
        <f t="shared" si="17"/>
        <v>0.84552933373074002</v>
      </c>
      <c r="AI67" s="6">
        <f t="shared" si="26"/>
        <v>5.8547138088633315E-2</v>
      </c>
      <c r="AJ67" s="6">
        <f t="shared" si="18"/>
        <v>0.21455306843417529</v>
      </c>
      <c r="AK67" s="6">
        <f t="shared" si="19"/>
        <v>0.6309762652965647</v>
      </c>
      <c r="AL67" s="6">
        <f t="shared" si="27"/>
        <v>0.73360000000000003</v>
      </c>
      <c r="AM67" s="6">
        <v>14.5</v>
      </c>
      <c r="AN67" s="6">
        <f t="shared" ref="AN67:AN95" si="30">$X$8</f>
        <v>24.836129032258064</v>
      </c>
    </row>
    <row r="68" spans="1:40" x14ac:dyDescent="0.2">
      <c r="A68" s="1">
        <f t="shared" si="28"/>
        <v>63</v>
      </c>
      <c r="B68" s="2">
        <v>25.33</v>
      </c>
      <c r="C68" s="2">
        <v>70.766559999999998</v>
      </c>
      <c r="D68" s="2">
        <v>1.1100000000000001</v>
      </c>
      <c r="E68" s="2">
        <v>33.01</v>
      </c>
      <c r="F68" s="2">
        <v>100</v>
      </c>
      <c r="G68" s="2">
        <v>4.9139999999999997</v>
      </c>
      <c r="H68" s="2">
        <v>17.89</v>
      </c>
      <c r="I68" s="2">
        <v>34.229999999999997</v>
      </c>
      <c r="J68" s="2">
        <v>0</v>
      </c>
      <c r="K68" s="3">
        <v>27.03</v>
      </c>
      <c r="L68" s="3">
        <v>14.52422</v>
      </c>
      <c r="N68" s="6">
        <f t="shared" si="9"/>
        <v>3.9876159572667365</v>
      </c>
      <c r="O68" s="6">
        <f t="shared" si="10"/>
        <v>21.670170709399933</v>
      </c>
      <c r="P68" s="6">
        <f t="shared" si="11"/>
        <v>3.6012387096774194</v>
      </c>
      <c r="Q68" s="6">
        <f t="shared" si="1"/>
        <v>5.5930820699098422</v>
      </c>
      <c r="R68" s="6">
        <f t="shared" si="12"/>
        <v>5.8339206703254796</v>
      </c>
      <c r="S68" s="6">
        <f t="shared" si="13"/>
        <v>9.7236409114285696</v>
      </c>
      <c r="T68" s="6">
        <f t="shared" si="21"/>
        <v>6.1758492011246275</v>
      </c>
      <c r="U68" s="6">
        <f t="shared" si="15"/>
        <v>25.81598244607121</v>
      </c>
      <c r="X68" s="6"/>
      <c r="Y68" s="6"/>
      <c r="Z68" s="25"/>
      <c r="AA68" s="25"/>
      <c r="AB68" s="25"/>
      <c r="AC68" s="25"/>
      <c r="AD68" s="6">
        <f t="shared" si="22"/>
        <v>7.5599999999999987</v>
      </c>
      <c r="AE68" s="6">
        <f t="shared" si="23"/>
        <v>32.885000000000005</v>
      </c>
      <c r="AF68" s="6">
        <f t="shared" si="24"/>
        <v>3.9290813656711592</v>
      </c>
      <c r="AG68" s="6">
        <f t="shared" si="25"/>
        <v>1.7653175162495434</v>
      </c>
      <c r="AH68" s="6">
        <f t="shared" si="17"/>
        <v>1.081881924710808</v>
      </c>
      <c r="AI68" s="6">
        <f t="shared" si="26"/>
        <v>7.3946245573758215E-2</v>
      </c>
      <c r="AJ68" s="6">
        <f t="shared" si="18"/>
        <v>0.35577687094114929</v>
      </c>
      <c r="AK68" s="6">
        <f t="shared" si="19"/>
        <v>0.72610505376965873</v>
      </c>
      <c r="AL68" s="6">
        <f t="shared" si="27"/>
        <v>0.73629999999999995</v>
      </c>
      <c r="AM68" s="6">
        <v>14.5</v>
      </c>
      <c r="AN68" s="6">
        <f t="shared" si="30"/>
        <v>24.836129032258064</v>
      </c>
    </row>
    <row r="69" spans="1:40" x14ac:dyDescent="0.2">
      <c r="A69" s="1">
        <f t="shared" si="28"/>
        <v>64</v>
      </c>
      <c r="B69" s="2">
        <v>26.29</v>
      </c>
      <c r="C69" s="2">
        <v>77.198229166666636</v>
      </c>
      <c r="D69" s="2">
        <v>0.999</v>
      </c>
      <c r="E69" s="2">
        <v>33.54</v>
      </c>
      <c r="F69" s="2">
        <v>100</v>
      </c>
      <c r="G69" s="2">
        <v>5.8719999999999999</v>
      </c>
      <c r="H69" s="2">
        <v>19.57</v>
      </c>
      <c r="I69" s="2">
        <v>43.07</v>
      </c>
      <c r="J69" s="2">
        <v>0</v>
      </c>
      <c r="K69" s="3">
        <v>24.98</v>
      </c>
      <c r="L69" s="3">
        <v>14.141579999999999</v>
      </c>
      <c r="N69" s="6">
        <f t="shared" si="9"/>
        <v>3.9876159572667365</v>
      </c>
      <c r="O69" s="6">
        <f t="shared" si="10"/>
        <v>21.670170709399933</v>
      </c>
      <c r="P69" s="6">
        <f t="shared" si="11"/>
        <v>3.6012387096774194</v>
      </c>
      <c r="Q69" s="6">
        <f t="shared" si="1"/>
        <v>5.4958407527598032</v>
      </c>
      <c r="R69" s="6">
        <f t="shared" si="12"/>
        <v>5.7324921336009265</v>
      </c>
      <c r="S69" s="6">
        <f t="shared" si="13"/>
        <v>9.1033472057142859</v>
      </c>
      <c r="T69" s="6">
        <f t="shared" si="21"/>
        <v>6.0949981514682925</v>
      </c>
      <c r="U69" s="6">
        <f t="shared" si="15"/>
        <v>28.697728799784041</v>
      </c>
      <c r="X69" s="6"/>
      <c r="Y69" s="6"/>
      <c r="Z69" s="25"/>
      <c r="AA69" s="25"/>
      <c r="AB69" s="25"/>
      <c r="AC69" s="25"/>
      <c r="AD69" s="6">
        <f t="shared" si="22"/>
        <v>6.9849999999999994</v>
      </c>
      <c r="AE69" s="6">
        <f t="shared" si="23"/>
        <v>28.465</v>
      </c>
      <c r="AF69" s="6">
        <f t="shared" si="24"/>
        <v>4.0350561210233211</v>
      </c>
      <c r="AG69" s="6">
        <f t="shared" si="25"/>
        <v>1.9373234479642618</v>
      </c>
      <c r="AH69" s="6">
        <f t="shared" si="17"/>
        <v>1.0488663365295297</v>
      </c>
      <c r="AI69" s="6">
        <f t="shared" si="26"/>
        <v>7.2027526342020559E-2</v>
      </c>
      <c r="AJ69" s="6">
        <f t="shared" si="18"/>
        <v>0.29855980269313059</v>
      </c>
      <c r="AK69" s="6">
        <f t="shared" si="19"/>
        <v>0.750306533836399</v>
      </c>
      <c r="AL69" s="6">
        <f t="shared" si="27"/>
        <v>0.74590000000000001</v>
      </c>
      <c r="AM69" s="6">
        <v>14.5</v>
      </c>
      <c r="AN69" s="6">
        <f t="shared" si="30"/>
        <v>24.836129032258064</v>
      </c>
    </row>
    <row r="70" spans="1:40" x14ac:dyDescent="0.2">
      <c r="A70" s="1">
        <f t="shared" si="28"/>
        <v>65</v>
      </c>
      <c r="B70" s="2">
        <v>26.18</v>
      </c>
      <c r="C70" s="2">
        <v>80.532916666666679</v>
      </c>
      <c r="D70" s="2">
        <v>1.377</v>
      </c>
      <c r="E70" s="2">
        <v>33.299999999999997</v>
      </c>
      <c r="F70" s="2">
        <v>100</v>
      </c>
      <c r="G70" s="2">
        <v>6.5910000000000002</v>
      </c>
      <c r="H70" s="2">
        <v>21.54</v>
      </c>
      <c r="I70" s="2">
        <v>49.71</v>
      </c>
      <c r="J70" s="2">
        <v>29.21</v>
      </c>
      <c r="K70" s="3">
        <v>23.6</v>
      </c>
      <c r="L70" s="3">
        <v>13.80067</v>
      </c>
      <c r="N70" s="6">
        <f t="shared" si="9"/>
        <v>3.9876159572667365</v>
      </c>
      <c r="O70" s="6">
        <f t="shared" si="10"/>
        <v>21.670170709399933</v>
      </c>
      <c r="P70" s="6">
        <f t="shared" si="11"/>
        <v>3.6012387096774194</v>
      </c>
      <c r="Q70" s="6">
        <f t="shared" ref="Q70:Q133" si="31">0.0023*(SQRT(E70-H70))*(17.8+B70)*AM70</f>
        <v>5.0298464144622388</v>
      </c>
      <c r="R70" s="6">
        <f t="shared" si="12"/>
        <v>5.2464320385641612</v>
      </c>
      <c r="S70" s="6">
        <f t="shared" si="13"/>
        <v>8.5877567999999993</v>
      </c>
      <c r="T70" s="6">
        <f t="shared" si="21"/>
        <v>5.5956692463724771</v>
      </c>
      <c r="U70" s="6">
        <f t="shared" si="15"/>
        <v>28.353090252958808</v>
      </c>
      <c r="X70" s="6"/>
      <c r="Y70" s="6"/>
      <c r="Z70" s="25"/>
      <c r="AA70" s="25"/>
      <c r="AB70" s="25"/>
      <c r="AC70" s="25"/>
      <c r="AD70" s="6">
        <f t="shared" ref="AD70:AD133" si="32">(E70-H70)/2</f>
        <v>5.879999999999999</v>
      </c>
      <c r="AE70" s="6">
        <f t="shared" ref="AE70:AE133" si="33">(F70-I70)/2</f>
        <v>25.145</v>
      </c>
      <c r="AF70" s="6">
        <f t="shared" ref="AF70:AF133" si="34">0.611*10^((7.5*E70)/(273.3+E70))</f>
        <v>3.9867634365677822</v>
      </c>
      <c r="AG70" s="6">
        <f t="shared" ref="AG70:AG133" si="35">0.611*10^((7.5*H70)/(273.3+H70))</f>
        <v>2.1575730470748544</v>
      </c>
      <c r="AH70" s="6">
        <f t="shared" si="17"/>
        <v>0.91459519474646389</v>
      </c>
      <c r="AI70" s="6">
        <f t="shared" si="26"/>
        <v>6.33789676793826E-2</v>
      </c>
      <c r="AJ70" s="6">
        <f t="shared" si="18"/>
        <v>0.22997496171899834</v>
      </c>
      <c r="AK70" s="6">
        <f t="shared" si="19"/>
        <v>0.68462023302746555</v>
      </c>
      <c r="AL70" s="6">
        <f t="shared" ref="AL70:AL133" si="36">IF(0&lt;B70&lt;16,0.407+0.0145*B70,0.483+0.01*B70)</f>
        <v>0.74479999999999991</v>
      </c>
      <c r="AM70" s="6">
        <v>14.5</v>
      </c>
      <c r="AN70" s="6">
        <f t="shared" si="30"/>
        <v>24.836129032258064</v>
      </c>
    </row>
    <row r="71" spans="1:40" x14ac:dyDescent="0.2">
      <c r="A71" s="1">
        <f t="shared" si="28"/>
        <v>66</v>
      </c>
      <c r="B71" s="2">
        <v>24.66</v>
      </c>
      <c r="C71" s="2">
        <v>83.071770833333346</v>
      </c>
      <c r="D71" s="2">
        <v>1.5289999999999999</v>
      </c>
      <c r="E71" s="2">
        <v>30.41</v>
      </c>
      <c r="F71" s="2">
        <v>100</v>
      </c>
      <c r="G71" s="2">
        <v>6.032</v>
      </c>
      <c r="H71" s="2">
        <v>20.48</v>
      </c>
      <c r="I71" s="2">
        <v>57.4</v>
      </c>
      <c r="J71" s="2">
        <v>1.524</v>
      </c>
      <c r="K71" s="3">
        <v>18.95</v>
      </c>
      <c r="L71" s="3">
        <v>9.8706990000000001</v>
      </c>
      <c r="N71" s="6">
        <f t="shared" ref="N71:N134" si="37">IF(0&lt;AN71&lt;26.5,16*(((10*AN71)/$Z$6)^$Z$6)/30,((-415.85)+(32.24*AN71)-(0.43*AN71^2))/30)</f>
        <v>3.9876159572667365</v>
      </c>
      <c r="O71" s="6">
        <f t="shared" ref="O71:O134" si="38">IF(0&lt;AN71&lt;26.5,(16*((10*AN71)/$Z$6)/30),(-415.85+32.24*AN71-(-0.43*(AN71^2)))/30)</f>
        <v>21.670170709399933</v>
      </c>
      <c r="P71" s="6">
        <f t="shared" ref="P71:P134" si="39">(0.01*AN71*AM71)</f>
        <v>3.6012387096774194</v>
      </c>
      <c r="Q71" s="6">
        <f t="shared" si="31"/>
        <v>4.4622145946662322</v>
      </c>
      <c r="R71" s="6">
        <f t="shared" ref="R71:R134" si="40">Q71*$W$1</f>
        <v>4.6543579432352207</v>
      </c>
      <c r="S71" s="6">
        <f t="shared" ref="S71:S134" si="41">1.26*AL71*((K71*0.95)/2.45)</f>
        <v>6.7549494857142847</v>
      </c>
      <c r="T71" s="6">
        <f t="shared" ref="T71:T134" si="42">((0.408*AI71)*(K71*0.95) + ((0.063*900*G71*AK71)/((AD71+273))))/(AI71+0.063*(1+0.34*G71))</f>
        <v>4.3179992108435137</v>
      </c>
      <c r="U71" s="6">
        <f t="shared" ref="U71:U134" si="43">1.21*(10^((7.45*B71)/(234.7+B71)))*((1-0.01*(C71/100))+(0.21*B71)-2.3)</f>
        <v>23.926361801245054</v>
      </c>
      <c r="X71" s="6"/>
      <c r="Y71" s="6"/>
      <c r="Z71" s="25"/>
      <c r="AA71" s="25"/>
      <c r="AB71" s="25"/>
      <c r="AC71" s="25"/>
      <c r="AD71" s="6">
        <f t="shared" si="32"/>
        <v>4.9649999999999999</v>
      </c>
      <c r="AE71" s="6">
        <f t="shared" si="33"/>
        <v>21.3</v>
      </c>
      <c r="AF71" s="6">
        <f t="shared" si="34"/>
        <v>3.4435334025428852</v>
      </c>
      <c r="AG71" s="6">
        <f t="shared" si="35"/>
        <v>2.0364860092782702</v>
      </c>
      <c r="AH71" s="6">
        <f t="shared" ref="AH71:AH134" si="44">(AF71-AG71)/2</f>
        <v>0.70352369663230752</v>
      </c>
      <c r="AI71" s="6">
        <f t="shared" ref="AI71:AI134" si="45">(4098*AH71)/((237.3+AD71)^2)</f>
        <v>4.9121241186828278E-2</v>
      </c>
      <c r="AJ71" s="6">
        <f t="shared" ref="AJ71:AJ134" si="46">(AE71*AH71)/100</f>
        <v>0.1498505473826815</v>
      </c>
      <c r="AK71" s="6">
        <f t="shared" ref="AK71:AK134" si="47">AH71-AJ71</f>
        <v>0.55367314924962607</v>
      </c>
      <c r="AL71" s="6">
        <f t="shared" si="36"/>
        <v>0.72960000000000003</v>
      </c>
      <c r="AM71" s="6">
        <v>14.5</v>
      </c>
      <c r="AN71" s="6">
        <f t="shared" si="30"/>
        <v>24.836129032258064</v>
      </c>
    </row>
    <row r="72" spans="1:40" x14ac:dyDescent="0.2">
      <c r="A72" s="1">
        <f t="shared" si="28"/>
        <v>67</v>
      </c>
      <c r="B72" s="2">
        <v>26.06</v>
      </c>
      <c r="C72" s="2">
        <v>77.580000000000055</v>
      </c>
      <c r="D72" s="2">
        <v>1.7110000000000001</v>
      </c>
      <c r="E72" s="2">
        <v>32.380000000000003</v>
      </c>
      <c r="F72" s="2">
        <v>97.1</v>
      </c>
      <c r="G72" s="2">
        <v>5.0730000000000004</v>
      </c>
      <c r="H72" s="2">
        <v>20.82</v>
      </c>
      <c r="I72" s="2">
        <v>51.42</v>
      </c>
      <c r="J72" s="2">
        <v>0</v>
      </c>
      <c r="K72" s="3">
        <v>20.190000000000001</v>
      </c>
      <c r="L72" s="3">
        <v>10.803710000000001</v>
      </c>
      <c r="N72" s="6">
        <f t="shared" si="37"/>
        <v>3.9876159572667365</v>
      </c>
      <c r="O72" s="6">
        <f t="shared" si="38"/>
        <v>21.670170709399933</v>
      </c>
      <c r="P72" s="6">
        <f t="shared" si="39"/>
        <v>3.6012387096774194</v>
      </c>
      <c r="Q72" s="6">
        <f t="shared" si="31"/>
        <v>4.9732854000000009</v>
      </c>
      <c r="R72" s="6">
        <f t="shared" si="40"/>
        <v>5.187435501899512</v>
      </c>
      <c r="S72" s="6">
        <f t="shared" si="41"/>
        <v>7.3350616114285705</v>
      </c>
      <c r="T72" s="6">
        <f t="shared" si="42"/>
        <v>5.0027538016172386</v>
      </c>
      <c r="U72" s="6">
        <f t="shared" si="43"/>
        <v>27.985094346265505</v>
      </c>
      <c r="X72" s="6"/>
      <c r="Y72" s="6"/>
      <c r="Z72" s="25"/>
      <c r="AA72" s="25"/>
      <c r="AB72" s="25"/>
      <c r="AC72" s="25"/>
      <c r="AD72" s="6">
        <f t="shared" si="32"/>
        <v>5.7800000000000011</v>
      </c>
      <c r="AE72" s="6">
        <f t="shared" si="33"/>
        <v>22.839999999999996</v>
      </c>
      <c r="AF72" s="6">
        <f t="shared" si="34"/>
        <v>3.8062689067923459</v>
      </c>
      <c r="AG72" s="6">
        <f t="shared" si="35"/>
        <v>2.0746601398950379</v>
      </c>
      <c r="AH72" s="6">
        <f t="shared" si="44"/>
        <v>0.86580438344865396</v>
      </c>
      <c r="AI72" s="6">
        <f t="shared" si="45"/>
        <v>6.004727160747763E-2</v>
      </c>
      <c r="AJ72" s="6">
        <f t="shared" si="46"/>
        <v>0.19774972117967252</v>
      </c>
      <c r="AK72" s="6">
        <f t="shared" si="47"/>
        <v>0.66805466226898147</v>
      </c>
      <c r="AL72" s="6">
        <f t="shared" si="36"/>
        <v>0.74360000000000004</v>
      </c>
      <c r="AM72" s="6">
        <v>14.5</v>
      </c>
      <c r="AN72" s="6">
        <f t="shared" si="30"/>
        <v>24.836129032258064</v>
      </c>
    </row>
    <row r="73" spans="1:40" x14ac:dyDescent="0.2">
      <c r="A73" s="1">
        <f t="shared" si="28"/>
        <v>68</v>
      </c>
      <c r="B73" s="2">
        <v>25.95</v>
      </c>
      <c r="C73" s="2">
        <v>81.399895833333332</v>
      </c>
      <c r="D73" s="2">
        <v>1.099</v>
      </c>
      <c r="E73" s="2">
        <v>32.85</v>
      </c>
      <c r="F73" s="2">
        <v>100</v>
      </c>
      <c r="G73" s="2">
        <v>10.43</v>
      </c>
      <c r="H73" s="2">
        <v>21.25</v>
      </c>
      <c r="I73" s="2">
        <v>51.28</v>
      </c>
      <c r="J73" s="2">
        <v>40.39</v>
      </c>
      <c r="K73" s="3">
        <v>18.7</v>
      </c>
      <c r="L73" s="3">
        <v>10.39648</v>
      </c>
      <c r="N73" s="6">
        <f t="shared" si="37"/>
        <v>3.9876159572667365</v>
      </c>
      <c r="O73" s="6">
        <f t="shared" si="38"/>
        <v>21.670170709399933</v>
      </c>
      <c r="P73" s="6">
        <f t="shared" si="39"/>
        <v>3.6012387096774194</v>
      </c>
      <c r="Q73" s="6">
        <f t="shared" si="31"/>
        <v>4.9693878089068972</v>
      </c>
      <c r="R73" s="6">
        <f t="shared" si="40"/>
        <v>5.1833700801949281</v>
      </c>
      <c r="S73" s="6">
        <f t="shared" si="41"/>
        <v>6.7836921428571406</v>
      </c>
      <c r="T73" s="6">
        <f t="shared" si="42"/>
        <v>5.3711746374199043</v>
      </c>
      <c r="U73" s="6">
        <f t="shared" si="43"/>
        <v>27.646577844263479</v>
      </c>
      <c r="X73" s="6"/>
      <c r="Y73" s="6"/>
      <c r="Z73" s="25"/>
      <c r="AA73" s="25"/>
      <c r="AB73" s="25"/>
      <c r="AC73" s="25"/>
      <c r="AD73" s="6">
        <f t="shared" si="32"/>
        <v>5.8000000000000007</v>
      </c>
      <c r="AE73" s="6">
        <f t="shared" si="33"/>
        <v>24.36</v>
      </c>
      <c r="AF73" s="6">
        <f t="shared" si="34"/>
        <v>3.8975687318247871</v>
      </c>
      <c r="AG73" s="6">
        <f t="shared" si="35"/>
        <v>2.1238352429420431</v>
      </c>
      <c r="AH73" s="6">
        <f t="shared" si="44"/>
        <v>0.88686674444137203</v>
      </c>
      <c r="AI73" s="6">
        <f t="shared" si="45"/>
        <v>6.1497917068401624E-2</v>
      </c>
      <c r="AJ73" s="6">
        <f t="shared" si="46"/>
        <v>0.21604073894591821</v>
      </c>
      <c r="AK73" s="6">
        <f t="shared" si="47"/>
        <v>0.67082600549545379</v>
      </c>
      <c r="AL73" s="6">
        <f t="shared" si="36"/>
        <v>0.74249999999999994</v>
      </c>
      <c r="AM73" s="6">
        <v>14.5</v>
      </c>
      <c r="AN73" s="6">
        <f t="shared" si="30"/>
        <v>24.836129032258064</v>
      </c>
    </row>
    <row r="74" spans="1:40" x14ac:dyDescent="0.2">
      <c r="A74" s="1">
        <f t="shared" si="28"/>
        <v>69</v>
      </c>
      <c r="B74" s="2">
        <v>23.9</v>
      </c>
      <c r="C74" s="2">
        <v>94.73</v>
      </c>
      <c r="D74" s="2">
        <v>0.94199999999999995</v>
      </c>
      <c r="E74" s="2">
        <v>31.37</v>
      </c>
      <c r="F74" s="2">
        <v>100</v>
      </c>
      <c r="G74" s="2">
        <v>6.8310000000000004</v>
      </c>
      <c r="H74" s="2">
        <v>21.58</v>
      </c>
      <c r="I74" s="2">
        <v>63.77</v>
      </c>
      <c r="J74" s="2">
        <v>13.72</v>
      </c>
      <c r="K74" s="3">
        <v>13.16</v>
      </c>
      <c r="L74" s="3">
        <v>5.4016260000000003</v>
      </c>
      <c r="N74" s="6">
        <f t="shared" si="37"/>
        <v>3.9876159572667365</v>
      </c>
      <c r="O74" s="6">
        <f t="shared" si="38"/>
        <v>21.670170709399933</v>
      </c>
      <c r="P74" s="6">
        <f t="shared" si="39"/>
        <v>3.6012387096774194</v>
      </c>
      <c r="Q74" s="6">
        <f t="shared" si="31"/>
        <v>4.3513422053217967</v>
      </c>
      <c r="R74" s="6">
        <f t="shared" si="40"/>
        <v>4.5387113791619527</v>
      </c>
      <c r="S74" s="6">
        <f t="shared" si="41"/>
        <v>4.6421711999999991</v>
      </c>
      <c r="T74" s="6">
        <f t="shared" si="42"/>
        <v>4.18603384255597</v>
      </c>
      <c r="U74" s="6">
        <f t="shared" si="43"/>
        <v>21.909795443183185</v>
      </c>
      <c r="X74" s="6"/>
      <c r="Y74" s="6"/>
      <c r="Z74" s="25"/>
      <c r="AA74" s="25"/>
      <c r="AB74" s="25"/>
      <c r="AC74" s="25"/>
      <c r="AD74" s="6">
        <f t="shared" si="32"/>
        <v>4.8950000000000014</v>
      </c>
      <c r="AE74" s="6">
        <f t="shared" si="33"/>
        <v>18.114999999999998</v>
      </c>
      <c r="AF74" s="6">
        <f t="shared" si="34"/>
        <v>3.6163476957253091</v>
      </c>
      <c r="AG74" s="6">
        <f t="shared" si="35"/>
        <v>2.1622631456119992</v>
      </c>
      <c r="AH74" s="6">
        <f t="shared" si="44"/>
        <v>0.72704227505665497</v>
      </c>
      <c r="AI74" s="6">
        <f t="shared" si="45"/>
        <v>5.0792696828481698E-2</v>
      </c>
      <c r="AJ74" s="6">
        <f t="shared" si="46"/>
        <v>0.13170370812651305</v>
      </c>
      <c r="AK74" s="6">
        <f t="shared" si="47"/>
        <v>0.59533856693014187</v>
      </c>
      <c r="AL74" s="6">
        <f t="shared" si="36"/>
        <v>0.72199999999999998</v>
      </c>
      <c r="AM74" s="6">
        <v>14.5</v>
      </c>
      <c r="AN74" s="6">
        <f t="shared" si="30"/>
        <v>24.836129032258064</v>
      </c>
    </row>
    <row r="75" spans="1:40" x14ac:dyDescent="0.2">
      <c r="A75" s="1">
        <f t="shared" si="28"/>
        <v>70</v>
      </c>
      <c r="B75" s="2">
        <v>25.06</v>
      </c>
      <c r="C75" s="2">
        <v>88.382400000000004</v>
      </c>
      <c r="D75" s="2">
        <v>1.1519999999999999</v>
      </c>
      <c r="E75" s="2">
        <v>30.84</v>
      </c>
      <c r="F75" s="2">
        <v>100</v>
      </c>
      <c r="G75" s="2">
        <v>4.8339999999999996</v>
      </c>
      <c r="H75" s="2">
        <v>21.77</v>
      </c>
      <c r="I75" s="2">
        <v>63.67</v>
      </c>
      <c r="J75" s="2">
        <v>0.254</v>
      </c>
      <c r="K75" s="3">
        <v>15.43</v>
      </c>
      <c r="L75" s="3">
        <v>8.2513319999999997</v>
      </c>
      <c r="N75" s="6">
        <f t="shared" si="37"/>
        <v>3.9876159572667365</v>
      </c>
      <c r="O75" s="6">
        <f t="shared" si="38"/>
        <v>21.670170709399933</v>
      </c>
      <c r="P75" s="6">
        <f t="shared" si="39"/>
        <v>3.6012387096774194</v>
      </c>
      <c r="Q75" s="6">
        <f t="shared" si="31"/>
        <v>4.30478681138454</v>
      </c>
      <c r="R75" s="6">
        <f t="shared" si="40"/>
        <v>4.4901513059123772</v>
      </c>
      <c r="S75" s="6">
        <f t="shared" si="41"/>
        <v>5.5303588799999996</v>
      </c>
      <c r="T75" s="6">
        <f t="shared" si="42"/>
        <v>3.8410880590307515</v>
      </c>
      <c r="U75" s="6">
        <f t="shared" si="43"/>
        <v>25.033679836786732</v>
      </c>
      <c r="X75" s="6"/>
      <c r="Y75" s="6"/>
      <c r="Z75" s="25"/>
      <c r="AA75" s="25"/>
      <c r="AB75" s="25"/>
      <c r="AC75" s="25"/>
      <c r="AD75" s="6">
        <f t="shared" si="32"/>
        <v>4.5350000000000001</v>
      </c>
      <c r="AE75" s="6">
        <f t="shared" si="33"/>
        <v>18.164999999999999</v>
      </c>
      <c r="AF75" s="6">
        <f t="shared" si="34"/>
        <v>3.52002899483599</v>
      </c>
      <c r="AG75" s="6">
        <f t="shared" si="35"/>
        <v>2.1846631574410718</v>
      </c>
      <c r="AH75" s="6">
        <f t="shared" si="44"/>
        <v>0.6676829186974591</v>
      </c>
      <c r="AI75" s="6">
        <f t="shared" si="45"/>
        <v>4.6784706539389168E-2</v>
      </c>
      <c r="AJ75" s="6">
        <f t="shared" si="46"/>
        <v>0.12128460218139343</v>
      </c>
      <c r="AK75" s="6">
        <f t="shared" si="47"/>
        <v>0.54639831651606563</v>
      </c>
      <c r="AL75" s="6">
        <f t="shared" si="36"/>
        <v>0.73360000000000003</v>
      </c>
      <c r="AM75" s="6">
        <v>14.5</v>
      </c>
      <c r="AN75" s="6">
        <f t="shared" si="30"/>
        <v>24.836129032258064</v>
      </c>
    </row>
    <row r="76" spans="1:40" x14ac:dyDescent="0.2">
      <c r="A76" s="1">
        <f t="shared" si="28"/>
        <v>71</v>
      </c>
      <c r="B76" s="2">
        <v>25.19</v>
      </c>
      <c r="C76" s="2">
        <v>72.792599999999993</v>
      </c>
      <c r="D76" s="2">
        <v>2.0329999999999999</v>
      </c>
      <c r="E76" s="2">
        <v>31.37</v>
      </c>
      <c r="F76" s="2">
        <v>96.4</v>
      </c>
      <c r="G76" s="2">
        <v>5.8719999999999999</v>
      </c>
      <c r="H76" s="2">
        <v>20.28</v>
      </c>
      <c r="I76" s="2">
        <v>45.97</v>
      </c>
      <c r="J76" s="2">
        <v>0</v>
      </c>
      <c r="K76" s="3">
        <v>25.87</v>
      </c>
      <c r="L76" s="3">
        <v>12.096970000000001</v>
      </c>
      <c r="N76" s="6">
        <f t="shared" si="37"/>
        <v>3.9876159572667365</v>
      </c>
      <c r="O76" s="6">
        <f t="shared" si="38"/>
        <v>21.670170709399933</v>
      </c>
      <c r="P76" s="6">
        <f t="shared" si="39"/>
        <v>3.6012387096774194</v>
      </c>
      <c r="Q76" s="6">
        <f t="shared" si="31"/>
        <v>4.774512739150274</v>
      </c>
      <c r="R76" s="6">
        <f t="shared" si="40"/>
        <v>4.9801036729843844</v>
      </c>
      <c r="S76" s="6">
        <f t="shared" si="41"/>
        <v>9.2886530657142838</v>
      </c>
      <c r="T76" s="6">
        <f t="shared" si="42"/>
        <v>5.2125507591925748</v>
      </c>
      <c r="U76" s="6">
        <f t="shared" si="43"/>
        <v>25.412664803472282</v>
      </c>
      <c r="X76" s="6"/>
      <c r="Y76" s="6"/>
      <c r="Z76" s="25"/>
      <c r="AA76" s="25"/>
      <c r="AB76" s="25"/>
      <c r="AC76" s="25"/>
      <c r="AD76" s="6">
        <f t="shared" si="32"/>
        <v>5.5449999999999999</v>
      </c>
      <c r="AE76" s="6">
        <f t="shared" si="33"/>
        <v>25.215000000000003</v>
      </c>
      <c r="AF76" s="6">
        <f t="shared" si="34"/>
        <v>3.6163476957253091</v>
      </c>
      <c r="AG76" s="6">
        <f t="shared" si="35"/>
        <v>2.0143191121171191</v>
      </c>
      <c r="AH76" s="6">
        <f t="shared" si="44"/>
        <v>0.801014291804095</v>
      </c>
      <c r="AI76" s="6">
        <f t="shared" si="45"/>
        <v>5.5661369396694853E-2</v>
      </c>
      <c r="AJ76" s="6">
        <f t="shared" si="46"/>
        <v>0.20197575367840259</v>
      </c>
      <c r="AK76" s="6">
        <f t="shared" si="47"/>
        <v>0.59903853812569241</v>
      </c>
      <c r="AL76" s="6">
        <f t="shared" si="36"/>
        <v>0.7349</v>
      </c>
      <c r="AM76" s="6">
        <v>14.5</v>
      </c>
      <c r="AN76" s="6">
        <f t="shared" si="30"/>
        <v>24.836129032258064</v>
      </c>
    </row>
    <row r="77" spans="1:40" x14ac:dyDescent="0.2">
      <c r="A77" s="1">
        <f t="shared" si="28"/>
        <v>72</v>
      </c>
      <c r="B77" s="2">
        <v>24.68</v>
      </c>
      <c r="C77" s="2">
        <v>75.307400000000001</v>
      </c>
      <c r="D77" s="2">
        <v>1.468</v>
      </c>
      <c r="E77" s="2">
        <v>33.21</v>
      </c>
      <c r="F77" s="2">
        <v>99</v>
      </c>
      <c r="G77" s="2">
        <v>6.2720000000000002</v>
      </c>
      <c r="H77" s="2">
        <v>17.170000000000002</v>
      </c>
      <c r="I77" s="2">
        <v>51.69</v>
      </c>
      <c r="J77" s="2">
        <v>0</v>
      </c>
      <c r="K77" s="3">
        <v>25.48</v>
      </c>
      <c r="L77" s="3">
        <v>12.542619999999999</v>
      </c>
      <c r="N77" s="6">
        <f t="shared" si="37"/>
        <v>3.9876159572667365</v>
      </c>
      <c r="O77" s="6">
        <f t="shared" si="38"/>
        <v>21.670170709399933</v>
      </c>
      <c r="P77" s="6">
        <f t="shared" si="39"/>
        <v>3.6012387096774194</v>
      </c>
      <c r="Q77" s="6">
        <f t="shared" si="31"/>
        <v>5.6739111183128843</v>
      </c>
      <c r="R77" s="6">
        <f t="shared" si="40"/>
        <v>5.9182302245832537</v>
      </c>
      <c r="S77" s="6">
        <f t="shared" si="41"/>
        <v>9.0851342399999986</v>
      </c>
      <c r="T77" s="6">
        <f t="shared" si="42"/>
        <v>6.7784724476635034</v>
      </c>
      <c r="U77" s="6">
        <f t="shared" si="43"/>
        <v>23.985819028724247</v>
      </c>
      <c r="X77" s="6"/>
      <c r="Y77" s="6"/>
      <c r="Z77" s="25"/>
      <c r="AA77" s="25"/>
      <c r="AB77" s="25"/>
      <c r="AC77" s="25"/>
      <c r="AD77" s="6">
        <f t="shared" si="32"/>
        <v>8.02</v>
      </c>
      <c r="AE77" s="6">
        <f t="shared" si="33"/>
        <v>23.655000000000001</v>
      </c>
      <c r="AF77" s="6">
        <f t="shared" si="34"/>
        <v>3.9687837706970157</v>
      </c>
      <c r="AG77" s="6">
        <f t="shared" si="35"/>
        <v>1.6957992108184095</v>
      </c>
      <c r="AH77" s="6">
        <f t="shared" si="44"/>
        <v>1.1364922799393031</v>
      </c>
      <c r="AI77" s="6">
        <f t="shared" si="45"/>
        <v>7.7387805593717218E-2</v>
      </c>
      <c r="AJ77" s="6">
        <f t="shared" si="46"/>
        <v>0.26883724881964216</v>
      </c>
      <c r="AK77" s="6">
        <f t="shared" si="47"/>
        <v>0.86765503111966091</v>
      </c>
      <c r="AL77" s="6">
        <f t="shared" si="36"/>
        <v>0.7298</v>
      </c>
      <c r="AM77" s="6">
        <v>14.5</v>
      </c>
      <c r="AN77" s="6">
        <f t="shared" si="30"/>
        <v>24.836129032258064</v>
      </c>
    </row>
    <row r="78" spans="1:40" x14ac:dyDescent="0.2">
      <c r="A78" s="1">
        <f t="shared" si="28"/>
        <v>73</v>
      </c>
      <c r="B78" s="2">
        <v>26.64</v>
      </c>
      <c r="C78" s="7">
        <v>75.284059999999997</v>
      </c>
      <c r="D78" s="2">
        <v>1.089</v>
      </c>
      <c r="E78" s="2">
        <v>34.85</v>
      </c>
      <c r="F78" s="2">
        <v>92.7</v>
      </c>
      <c r="G78" s="2">
        <v>3.7949999999999999</v>
      </c>
      <c r="H78" s="2">
        <v>19.7</v>
      </c>
      <c r="I78" s="2">
        <v>42.11</v>
      </c>
      <c r="J78" s="2">
        <v>0</v>
      </c>
      <c r="K78" s="3">
        <v>25.675000000000001</v>
      </c>
      <c r="L78" s="3">
        <v>12.43</v>
      </c>
      <c r="N78" s="6">
        <f t="shared" si="37"/>
        <v>3.9876159572667365</v>
      </c>
      <c r="O78" s="6">
        <f t="shared" si="38"/>
        <v>21.670170709399933</v>
      </c>
      <c r="P78" s="6">
        <f t="shared" si="39"/>
        <v>3.6012387096774194</v>
      </c>
      <c r="Q78" s="6">
        <f t="shared" si="31"/>
        <v>5.7686767653736153</v>
      </c>
      <c r="R78" s="6">
        <f t="shared" si="40"/>
        <v>6.0170764886491188</v>
      </c>
      <c r="S78" s="6">
        <f t="shared" si="41"/>
        <v>9.4005271285714294</v>
      </c>
      <c r="T78" s="6">
        <f t="shared" si="42"/>
        <v>6.5671873016592812</v>
      </c>
      <c r="U78" s="6">
        <f t="shared" si="43"/>
        <v>29.809201995032183</v>
      </c>
      <c r="X78" s="6"/>
      <c r="Y78" s="6"/>
      <c r="Z78" s="25"/>
      <c r="AA78" s="25"/>
      <c r="AB78" s="25"/>
      <c r="AC78" s="25"/>
      <c r="AD78" s="6">
        <f t="shared" si="32"/>
        <v>7.5750000000000011</v>
      </c>
      <c r="AE78" s="6">
        <f t="shared" si="33"/>
        <v>25.295000000000002</v>
      </c>
      <c r="AF78" s="6">
        <f t="shared" si="34"/>
        <v>4.3077277931222175</v>
      </c>
      <c r="AG78" s="6">
        <f t="shared" si="35"/>
        <v>1.9512253150526406</v>
      </c>
      <c r="AH78" s="6">
        <f t="shared" si="44"/>
        <v>1.1782512390347883</v>
      </c>
      <c r="AI78" s="6">
        <f t="shared" si="45"/>
        <v>8.0523188082629066E-2</v>
      </c>
      <c r="AJ78" s="6">
        <f t="shared" si="46"/>
        <v>0.29803865091384973</v>
      </c>
      <c r="AK78" s="6">
        <f t="shared" si="47"/>
        <v>0.88021258812093861</v>
      </c>
      <c r="AL78" s="6">
        <f t="shared" si="36"/>
        <v>0.74940000000000007</v>
      </c>
      <c r="AM78" s="6">
        <v>14.5</v>
      </c>
      <c r="AN78" s="6">
        <f t="shared" si="30"/>
        <v>24.836129032258064</v>
      </c>
    </row>
    <row r="79" spans="1:40" x14ac:dyDescent="0.2">
      <c r="A79" s="1">
        <f t="shared" si="28"/>
        <v>74</v>
      </c>
      <c r="B79" s="2">
        <v>27.61</v>
      </c>
      <c r="C79" s="2">
        <v>75.660830000000004</v>
      </c>
      <c r="D79" s="2">
        <v>0.93200000000000005</v>
      </c>
      <c r="E79" s="2">
        <v>35.71</v>
      </c>
      <c r="F79" s="2">
        <v>99.6</v>
      </c>
      <c r="G79" s="2">
        <v>9.39</v>
      </c>
      <c r="H79" s="2">
        <v>22.11</v>
      </c>
      <c r="I79" s="2">
        <v>44.31</v>
      </c>
      <c r="J79" s="2">
        <v>2.794</v>
      </c>
      <c r="K79" s="3">
        <v>23.55</v>
      </c>
      <c r="L79" s="3">
        <v>11.942920000000001</v>
      </c>
      <c r="N79" s="6">
        <f t="shared" si="37"/>
        <v>3.9876159572667365</v>
      </c>
      <c r="O79" s="6">
        <f t="shared" si="38"/>
        <v>21.670170709399933</v>
      </c>
      <c r="P79" s="6">
        <f t="shared" si="39"/>
        <v>3.6012387096774194</v>
      </c>
      <c r="Q79" s="6">
        <f t="shared" si="31"/>
        <v>5.5849179141676384</v>
      </c>
      <c r="R79" s="6">
        <f t="shared" si="40"/>
        <v>5.8254049653268991</v>
      </c>
      <c r="S79" s="6">
        <f t="shared" si="41"/>
        <v>8.7340961571428561</v>
      </c>
      <c r="T79" s="6">
        <f t="shared" si="42"/>
        <v>6.648999747302776</v>
      </c>
      <c r="U79" s="6">
        <f t="shared" si="43"/>
        <v>33.055903583729496</v>
      </c>
      <c r="X79" s="6"/>
      <c r="Y79" s="6"/>
      <c r="Z79" s="25"/>
      <c r="AA79" s="25"/>
      <c r="AB79" s="25"/>
      <c r="AC79" s="25"/>
      <c r="AD79" s="6">
        <f t="shared" si="32"/>
        <v>6.8000000000000007</v>
      </c>
      <c r="AE79" s="6">
        <f t="shared" si="33"/>
        <v>27.644999999999996</v>
      </c>
      <c r="AF79" s="6">
        <f t="shared" si="34"/>
        <v>4.4953212565716845</v>
      </c>
      <c r="AG79" s="6">
        <f t="shared" si="35"/>
        <v>2.2252545051734072</v>
      </c>
      <c r="AH79" s="6">
        <f t="shared" si="44"/>
        <v>1.1350333756991386</v>
      </c>
      <c r="AI79" s="6">
        <f t="shared" si="45"/>
        <v>7.8062962248517179E-2</v>
      </c>
      <c r="AJ79" s="6">
        <f t="shared" si="46"/>
        <v>0.31377997671202684</v>
      </c>
      <c r="AK79" s="6">
        <f t="shared" si="47"/>
        <v>0.8212533989871118</v>
      </c>
      <c r="AL79" s="6">
        <f t="shared" si="36"/>
        <v>0.7591</v>
      </c>
      <c r="AM79" s="6">
        <v>14.5</v>
      </c>
      <c r="AN79" s="6">
        <f t="shared" si="30"/>
        <v>24.836129032258064</v>
      </c>
    </row>
    <row r="80" spans="1:40" x14ac:dyDescent="0.2">
      <c r="A80" s="1">
        <f t="shared" si="28"/>
        <v>75</v>
      </c>
      <c r="B80" s="2">
        <v>28.25</v>
      </c>
      <c r="C80" s="2">
        <v>71.207499999999968</v>
      </c>
      <c r="D80" s="2">
        <v>0.91600000000000004</v>
      </c>
      <c r="E80" s="2">
        <v>35.9</v>
      </c>
      <c r="F80" s="2">
        <v>100</v>
      </c>
      <c r="G80" s="2">
        <v>4.9139999999999997</v>
      </c>
      <c r="H80" s="2">
        <v>21.2</v>
      </c>
      <c r="I80" s="2">
        <v>34.58</v>
      </c>
      <c r="J80" s="2">
        <v>0</v>
      </c>
      <c r="K80" s="3">
        <v>24.43</v>
      </c>
      <c r="L80" s="3">
        <v>13.542590000000001</v>
      </c>
      <c r="N80" s="6">
        <f t="shared" si="37"/>
        <v>3.9876159572667365</v>
      </c>
      <c r="O80" s="6">
        <f t="shared" si="38"/>
        <v>21.670170709399933</v>
      </c>
      <c r="P80" s="6">
        <f t="shared" si="39"/>
        <v>3.6012387096774194</v>
      </c>
      <c r="Q80" s="6">
        <f t="shared" si="31"/>
        <v>5.8882215198332055</v>
      </c>
      <c r="R80" s="6">
        <f t="shared" si="40"/>
        <v>6.1417688506337216</v>
      </c>
      <c r="S80" s="6">
        <f t="shared" si="41"/>
        <v>9.1368548999999994</v>
      </c>
      <c r="T80" s="6">
        <f t="shared" si="42"/>
        <v>6.3460224443032764</v>
      </c>
      <c r="U80" s="6">
        <f t="shared" si="43"/>
        <v>35.344555643840792</v>
      </c>
      <c r="X80" s="6"/>
      <c r="Y80" s="6"/>
      <c r="Z80" s="25"/>
      <c r="AA80" s="25"/>
      <c r="AB80" s="25"/>
      <c r="AC80" s="25"/>
      <c r="AD80" s="6">
        <f t="shared" si="32"/>
        <v>7.35</v>
      </c>
      <c r="AE80" s="6">
        <f t="shared" si="33"/>
        <v>32.71</v>
      </c>
      <c r="AF80" s="6">
        <f t="shared" si="34"/>
        <v>4.5377107798373366</v>
      </c>
      <c r="AG80" s="6">
        <f t="shared" si="35"/>
        <v>2.1180652872419836</v>
      </c>
      <c r="AH80" s="6">
        <f t="shared" si="44"/>
        <v>1.2098227462976765</v>
      </c>
      <c r="AI80" s="6">
        <f t="shared" si="45"/>
        <v>8.2832974968689285E-2</v>
      </c>
      <c r="AJ80" s="6">
        <f t="shared" si="46"/>
        <v>0.39573302031397001</v>
      </c>
      <c r="AK80" s="6">
        <f t="shared" si="47"/>
        <v>0.81408972598370655</v>
      </c>
      <c r="AL80" s="6">
        <f t="shared" si="36"/>
        <v>0.76550000000000007</v>
      </c>
      <c r="AM80" s="6">
        <v>14.5</v>
      </c>
      <c r="AN80" s="6">
        <f t="shared" si="30"/>
        <v>24.836129032258064</v>
      </c>
    </row>
    <row r="81" spans="1:40" x14ac:dyDescent="0.2">
      <c r="A81" s="1">
        <f t="shared" si="28"/>
        <v>76</v>
      </c>
      <c r="B81" s="2">
        <v>28.11</v>
      </c>
      <c r="C81" s="2">
        <v>72.240520000000004</v>
      </c>
      <c r="D81" s="2">
        <v>0.92200000000000004</v>
      </c>
      <c r="E81" s="2">
        <v>35.619999999999997</v>
      </c>
      <c r="F81" s="2">
        <v>99.3</v>
      </c>
      <c r="G81" s="2">
        <v>4.1950000000000003</v>
      </c>
      <c r="H81" s="2">
        <v>21.5</v>
      </c>
      <c r="I81" s="2">
        <v>37.659999999999997</v>
      </c>
      <c r="J81" s="2">
        <v>0</v>
      </c>
      <c r="K81" s="3">
        <v>23.09</v>
      </c>
      <c r="L81" s="3">
        <v>13.12144</v>
      </c>
      <c r="N81" s="6">
        <f t="shared" si="37"/>
        <v>3.9876159572667365</v>
      </c>
      <c r="O81" s="6">
        <f t="shared" si="38"/>
        <v>21.670170709399933</v>
      </c>
      <c r="P81" s="6">
        <f t="shared" si="39"/>
        <v>3.6012387096774194</v>
      </c>
      <c r="Q81" s="6">
        <f t="shared" si="31"/>
        <v>5.7533458220270202</v>
      </c>
      <c r="R81" s="6">
        <f t="shared" si="40"/>
        <v>6.0010853935485367</v>
      </c>
      <c r="S81" s="6">
        <f t="shared" si="41"/>
        <v>8.6198994257142836</v>
      </c>
      <c r="T81" s="6">
        <f t="shared" si="42"/>
        <v>6.0009348507944029</v>
      </c>
      <c r="U81" s="6">
        <f t="shared" si="43"/>
        <v>34.833827788273197</v>
      </c>
      <c r="X81" s="6"/>
      <c r="Y81" s="6"/>
      <c r="Z81" s="25"/>
      <c r="AA81" s="25"/>
      <c r="AB81" s="25"/>
      <c r="AC81" s="25"/>
      <c r="AD81" s="6">
        <f t="shared" si="32"/>
        <v>7.0599999999999987</v>
      </c>
      <c r="AE81" s="6">
        <f t="shared" si="33"/>
        <v>30.82</v>
      </c>
      <c r="AF81" s="6">
        <f t="shared" si="34"/>
        <v>4.4753624135078827</v>
      </c>
      <c r="AG81" s="6">
        <f t="shared" si="35"/>
        <v>2.1528918530717109</v>
      </c>
      <c r="AH81" s="6">
        <f t="shared" si="44"/>
        <v>1.1612352802180859</v>
      </c>
      <c r="AI81" s="6">
        <f t="shared" si="45"/>
        <v>7.9695159302854479E-2</v>
      </c>
      <c r="AJ81" s="6">
        <f t="shared" si="46"/>
        <v>0.35789271336321404</v>
      </c>
      <c r="AK81" s="6">
        <f t="shared" si="47"/>
        <v>0.80334256685487182</v>
      </c>
      <c r="AL81" s="6">
        <f t="shared" si="36"/>
        <v>0.7641</v>
      </c>
      <c r="AM81" s="6">
        <v>14.5</v>
      </c>
      <c r="AN81" s="6">
        <f t="shared" si="30"/>
        <v>24.836129032258064</v>
      </c>
    </row>
    <row r="82" spans="1:40" x14ac:dyDescent="0.2">
      <c r="A82" s="1">
        <f t="shared" si="28"/>
        <v>77</v>
      </c>
      <c r="B82" s="2">
        <v>26.6</v>
      </c>
      <c r="C82" s="2">
        <v>77.298310000000001</v>
      </c>
      <c r="D82" s="2">
        <v>1.18</v>
      </c>
      <c r="E82" s="2">
        <v>34.85</v>
      </c>
      <c r="F82" s="2">
        <v>100</v>
      </c>
      <c r="G82" s="2">
        <v>7.79</v>
      </c>
      <c r="H82" s="2">
        <v>21.69</v>
      </c>
      <c r="I82" s="2">
        <v>50.12</v>
      </c>
      <c r="J82" s="2">
        <v>20.07</v>
      </c>
      <c r="K82" s="3">
        <v>19.86</v>
      </c>
      <c r="L82" s="3">
        <v>10.426600000000001</v>
      </c>
      <c r="N82" s="6">
        <f t="shared" si="37"/>
        <v>3.9876159572667365</v>
      </c>
      <c r="O82" s="6">
        <f t="shared" si="38"/>
        <v>21.670170709399933</v>
      </c>
      <c r="P82" s="6">
        <f t="shared" si="39"/>
        <v>3.6012387096774194</v>
      </c>
      <c r="Q82" s="6">
        <f t="shared" si="31"/>
        <v>5.3716381924340366</v>
      </c>
      <c r="R82" s="6">
        <f t="shared" si="40"/>
        <v>5.6029414002244149</v>
      </c>
      <c r="S82" s="6">
        <f t="shared" si="41"/>
        <v>7.2675683999999983</v>
      </c>
      <c r="T82" s="6">
        <f t="shared" si="42"/>
        <v>6.0328333177624813</v>
      </c>
      <c r="U82" s="6">
        <f t="shared" si="43"/>
        <v>29.679315663489749</v>
      </c>
      <c r="X82" s="6"/>
      <c r="Y82" s="6"/>
      <c r="Z82" s="25"/>
      <c r="AA82" s="25"/>
      <c r="AB82" s="25"/>
      <c r="AC82" s="25"/>
      <c r="AD82" s="6">
        <f t="shared" si="32"/>
        <v>6.58</v>
      </c>
      <c r="AE82" s="6">
        <f t="shared" si="33"/>
        <v>24.94</v>
      </c>
      <c r="AF82" s="6">
        <f t="shared" si="34"/>
        <v>4.3077277931222175</v>
      </c>
      <c r="AG82" s="6">
        <f t="shared" si="35"/>
        <v>2.1752069477534302</v>
      </c>
      <c r="AH82" s="6">
        <f t="shared" si="44"/>
        <v>1.0662604226843937</v>
      </c>
      <c r="AI82" s="6">
        <f t="shared" si="45"/>
        <v>7.346540392893218E-2</v>
      </c>
      <c r="AJ82" s="6">
        <f t="shared" si="46"/>
        <v>0.2659253494174878</v>
      </c>
      <c r="AK82" s="6">
        <f t="shared" si="47"/>
        <v>0.80033507326690589</v>
      </c>
      <c r="AL82" s="6">
        <f t="shared" si="36"/>
        <v>0.749</v>
      </c>
      <c r="AM82" s="6">
        <v>14.5</v>
      </c>
      <c r="AN82" s="6">
        <f t="shared" si="30"/>
        <v>24.836129032258064</v>
      </c>
    </row>
    <row r="83" spans="1:40" x14ac:dyDescent="0.2">
      <c r="A83" s="1">
        <f t="shared" si="28"/>
        <v>78</v>
      </c>
      <c r="B83" s="2">
        <v>27.6</v>
      </c>
      <c r="C83" s="2">
        <v>69</v>
      </c>
      <c r="D83" s="7">
        <v>1.907</v>
      </c>
      <c r="E83" s="2">
        <v>32.4</v>
      </c>
      <c r="F83" s="2">
        <v>100</v>
      </c>
      <c r="G83" s="2">
        <v>3.95</v>
      </c>
      <c r="H83" s="2">
        <v>22.9</v>
      </c>
      <c r="I83" s="2">
        <v>48</v>
      </c>
      <c r="J83" s="2">
        <v>0</v>
      </c>
      <c r="K83" s="3">
        <v>20.059999999999999</v>
      </c>
      <c r="L83" s="3">
        <v>12.657629999999999</v>
      </c>
      <c r="N83" s="6">
        <f t="shared" si="37"/>
        <v>3.9876159572667365</v>
      </c>
      <c r="O83" s="6">
        <f t="shared" si="38"/>
        <v>21.670170709399933</v>
      </c>
      <c r="P83" s="6">
        <f t="shared" si="39"/>
        <v>3.6012387096774194</v>
      </c>
      <c r="Q83" s="6">
        <f t="shared" si="31"/>
        <v>4.6667387988776481</v>
      </c>
      <c r="R83" s="6">
        <f t="shared" si="40"/>
        <v>4.8676889774694603</v>
      </c>
      <c r="S83" s="6">
        <f t="shared" si="41"/>
        <v>7.4387638285714273</v>
      </c>
      <c r="T83" s="6">
        <f t="shared" si="42"/>
        <v>4.250285383022951</v>
      </c>
      <c r="U83" s="6">
        <f t="shared" si="43"/>
        <v>33.026017136215813</v>
      </c>
      <c r="X83" s="6"/>
      <c r="Y83" s="6"/>
      <c r="Z83" s="25"/>
      <c r="AA83" s="25"/>
      <c r="AB83" s="25"/>
      <c r="AC83" s="25"/>
      <c r="AD83" s="6">
        <f t="shared" si="32"/>
        <v>4.75</v>
      </c>
      <c r="AE83" s="6">
        <f t="shared" si="33"/>
        <v>26</v>
      </c>
      <c r="AF83" s="6">
        <f t="shared" si="34"/>
        <v>3.8101157364190938</v>
      </c>
      <c r="AG83" s="6">
        <f t="shared" si="35"/>
        <v>2.3221266878216267</v>
      </c>
      <c r="AH83" s="6">
        <f t="shared" si="44"/>
        <v>0.74399452429873358</v>
      </c>
      <c r="AI83" s="6">
        <f t="shared" si="45"/>
        <v>5.2039308776817485E-2</v>
      </c>
      <c r="AJ83" s="6">
        <f t="shared" si="46"/>
        <v>0.19343857631767072</v>
      </c>
      <c r="AK83" s="6">
        <f t="shared" si="47"/>
        <v>0.55055594798106289</v>
      </c>
      <c r="AL83" s="6">
        <f t="shared" si="36"/>
        <v>0.75900000000000001</v>
      </c>
      <c r="AM83" s="6">
        <v>14.5</v>
      </c>
      <c r="AN83" s="6">
        <f t="shared" si="30"/>
        <v>24.836129032258064</v>
      </c>
    </row>
    <row r="84" spans="1:40" x14ac:dyDescent="0.2">
      <c r="A84" s="1">
        <f t="shared" si="28"/>
        <v>79</v>
      </c>
      <c r="B84" s="2">
        <v>27.2</v>
      </c>
      <c r="C84" s="2">
        <v>67</v>
      </c>
      <c r="D84" s="7">
        <v>1.907</v>
      </c>
      <c r="E84" s="2">
        <v>31.8</v>
      </c>
      <c r="F84" s="2">
        <v>92.8</v>
      </c>
      <c r="G84" s="2">
        <v>7.23</v>
      </c>
      <c r="H84" s="2">
        <v>23.56</v>
      </c>
      <c r="I84" s="2">
        <v>58.26</v>
      </c>
      <c r="J84" s="2">
        <v>0</v>
      </c>
      <c r="K84" s="3">
        <v>21.5</v>
      </c>
      <c r="L84" s="3">
        <v>12.5</v>
      </c>
      <c r="N84" s="6">
        <f t="shared" si="37"/>
        <v>3.9876159572667365</v>
      </c>
      <c r="O84" s="6">
        <f t="shared" si="38"/>
        <v>21.670170709399933</v>
      </c>
      <c r="P84" s="6">
        <f t="shared" si="39"/>
        <v>3.6012387096774194</v>
      </c>
      <c r="Q84" s="6">
        <f t="shared" si="31"/>
        <v>4.3079629333363583</v>
      </c>
      <c r="R84" s="6">
        <f t="shared" si="40"/>
        <v>4.4934641919516993</v>
      </c>
      <c r="S84" s="6">
        <f t="shared" si="41"/>
        <v>7.9307357142857144</v>
      </c>
      <c r="T84" s="6">
        <f t="shared" si="42"/>
        <v>4.4355652599690547</v>
      </c>
      <c r="U84" s="6">
        <f t="shared" si="43"/>
        <v>31.658569764352787</v>
      </c>
      <c r="X84" s="6"/>
      <c r="Y84" s="6"/>
      <c r="Z84" s="25"/>
      <c r="AA84" s="25"/>
      <c r="AB84" s="25"/>
      <c r="AC84" s="25"/>
      <c r="AD84" s="6">
        <f t="shared" si="32"/>
        <v>4.120000000000001</v>
      </c>
      <c r="AE84" s="6">
        <f t="shared" si="33"/>
        <v>17.27</v>
      </c>
      <c r="AF84" s="6">
        <f t="shared" si="34"/>
        <v>3.6961715910165558</v>
      </c>
      <c r="AG84" s="6">
        <f t="shared" si="35"/>
        <v>2.4058651708965413</v>
      </c>
      <c r="AH84" s="6">
        <f t="shared" si="44"/>
        <v>0.64515321006000725</v>
      </c>
      <c r="AI84" s="6">
        <f t="shared" si="45"/>
        <v>4.5361595901689956E-2</v>
      </c>
      <c r="AJ84" s="6">
        <f t="shared" si="46"/>
        <v>0.11141795937736325</v>
      </c>
      <c r="AK84" s="6">
        <f t="shared" si="47"/>
        <v>0.53373525068264405</v>
      </c>
      <c r="AL84" s="6">
        <f t="shared" si="36"/>
        <v>0.755</v>
      </c>
      <c r="AM84" s="6">
        <v>14.5</v>
      </c>
      <c r="AN84" s="6">
        <f t="shared" si="30"/>
        <v>24.836129032258064</v>
      </c>
    </row>
    <row r="85" spans="1:40" x14ac:dyDescent="0.2">
      <c r="A85" s="1">
        <f t="shared" si="28"/>
        <v>80</v>
      </c>
      <c r="B85" s="2">
        <v>25.34</v>
      </c>
      <c r="C85" s="2">
        <v>90.425729166666642</v>
      </c>
      <c r="D85" s="2">
        <v>0.53600000000000003</v>
      </c>
      <c r="E85" s="2">
        <v>33.11</v>
      </c>
      <c r="F85" s="2">
        <v>100</v>
      </c>
      <c r="G85" s="2">
        <v>7.79</v>
      </c>
      <c r="H85" s="2">
        <v>22.45</v>
      </c>
      <c r="I85" s="2">
        <v>54.06</v>
      </c>
      <c r="J85" s="2">
        <v>7.3659999999999997</v>
      </c>
      <c r="K85" s="3">
        <v>15.96</v>
      </c>
      <c r="L85" s="3">
        <v>7.6257149999999996</v>
      </c>
      <c r="N85" s="6">
        <f t="shared" si="37"/>
        <v>3.9876159572667365</v>
      </c>
      <c r="O85" s="6">
        <f t="shared" si="38"/>
        <v>21.670170709399933</v>
      </c>
      <c r="P85" s="6">
        <f t="shared" si="39"/>
        <v>3.6012387096774194</v>
      </c>
      <c r="Q85" s="6">
        <f t="shared" si="31"/>
        <v>4.6973679617254023</v>
      </c>
      <c r="R85" s="6">
        <f t="shared" si="40"/>
        <v>4.8996370347335576</v>
      </c>
      <c r="S85" s="6">
        <f t="shared" si="41"/>
        <v>5.7421526399999996</v>
      </c>
      <c r="T85" s="6">
        <f t="shared" si="42"/>
        <v>4.8212168514562936</v>
      </c>
      <c r="U85" s="6">
        <f t="shared" si="43"/>
        <v>25.832221554401325</v>
      </c>
      <c r="X85" s="6"/>
      <c r="Y85" s="6"/>
      <c r="Z85" s="25"/>
      <c r="AA85" s="25"/>
      <c r="AB85" s="25"/>
      <c r="AC85" s="25"/>
      <c r="AD85" s="6">
        <f t="shared" si="32"/>
        <v>5.33</v>
      </c>
      <c r="AE85" s="6">
        <f t="shared" si="33"/>
        <v>22.97</v>
      </c>
      <c r="AF85" s="6">
        <f t="shared" si="34"/>
        <v>3.9488891506947885</v>
      </c>
      <c r="AG85" s="6">
        <f t="shared" si="35"/>
        <v>2.2665041068535894</v>
      </c>
      <c r="AH85" s="6">
        <f t="shared" si="44"/>
        <v>0.84119252192059957</v>
      </c>
      <c r="AI85" s="6">
        <f t="shared" si="45"/>
        <v>5.8556938255055861E-2</v>
      </c>
      <c r="AJ85" s="6">
        <f t="shared" si="46"/>
        <v>0.19322192228516172</v>
      </c>
      <c r="AK85" s="6">
        <f t="shared" si="47"/>
        <v>0.6479705996354379</v>
      </c>
      <c r="AL85" s="6">
        <f t="shared" si="36"/>
        <v>0.73639999999999994</v>
      </c>
      <c r="AM85" s="6">
        <v>14.5</v>
      </c>
      <c r="AN85" s="6">
        <f t="shared" si="30"/>
        <v>24.836129032258064</v>
      </c>
    </row>
    <row r="86" spans="1:40" x14ac:dyDescent="0.2">
      <c r="A86" s="1">
        <f t="shared" si="28"/>
        <v>81</v>
      </c>
      <c r="B86" s="2">
        <v>27.06</v>
      </c>
      <c r="C86" s="7">
        <v>79.765625</v>
      </c>
      <c r="D86" s="2">
        <v>1.194</v>
      </c>
      <c r="E86" s="2">
        <v>33.869999999999997</v>
      </c>
      <c r="F86" s="2">
        <v>100</v>
      </c>
      <c r="G86" s="2">
        <v>7.79</v>
      </c>
      <c r="H86" s="2">
        <v>21.88</v>
      </c>
      <c r="I86" s="2">
        <v>49.64</v>
      </c>
      <c r="J86" s="2">
        <v>2.286</v>
      </c>
      <c r="K86" s="3">
        <v>21.28</v>
      </c>
      <c r="L86" s="3">
        <v>12.39217</v>
      </c>
      <c r="N86" s="6">
        <f t="shared" si="37"/>
        <v>3.9876159572667365</v>
      </c>
      <c r="O86" s="6">
        <f t="shared" si="38"/>
        <v>21.670170709399933</v>
      </c>
      <c r="P86" s="6">
        <f t="shared" si="39"/>
        <v>3.6012387096774194</v>
      </c>
      <c r="Q86" s="6">
        <f t="shared" si="31"/>
        <v>5.1804167514927197</v>
      </c>
      <c r="R86" s="6">
        <f t="shared" si="40"/>
        <v>5.4034859474037571</v>
      </c>
      <c r="S86" s="6">
        <f t="shared" si="41"/>
        <v>7.8350284800000001</v>
      </c>
      <c r="T86" s="6">
        <f t="shared" si="42"/>
        <v>5.6519165495554624</v>
      </c>
      <c r="U86" s="6">
        <f t="shared" si="43"/>
        <v>31.180690896508739</v>
      </c>
      <c r="X86" s="6"/>
      <c r="Y86" s="6"/>
      <c r="Z86" s="25"/>
      <c r="AA86" s="25"/>
      <c r="AB86" s="25"/>
      <c r="AC86" s="25"/>
      <c r="AD86" s="6">
        <f t="shared" si="32"/>
        <v>5.9949999999999992</v>
      </c>
      <c r="AE86" s="6">
        <f t="shared" si="33"/>
        <v>25.18</v>
      </c>
      <c r="AF86" s="6">
        <f t="shared" si="34"/>
        <v>4.1022891405868602</v>
      </c>
      <c r="AG86" s="6">
        <f t="shared" si="35"/>
        <v>2.19772416741572</v>
      </c>
      <c r="AH86" s="6">
        <f t="shared" si="44"/>
        <v>0.95228248658557013</v>
      </c>
      <c r="AI86" s="6">
        <f t="shared" si="45"/>
        <v>6.5928225084143074E-2</v>
      </c>
      <c r="AJ86" s="6">
        <f t="shared" si="46"/>
        <v>0.23978473012224655</v>
      </c>
      <c r="AK86" s="6">
        <f t="shared" si="47"/>
        <v>0.71249775646332358</v>
      </c>
      <c r="AL86" s="6">
        <f t="shared" si="36"/>
        <v>0.75360000000000005</v>
      </c>
      <c r="AM86" s="6">
        <v>14.5</v>
      </c>
      <c r="AN86" s="6">
        <f t="shared" si="30"/>
        <v>24.836129032258064</v>
      </c>
    </row>
    <row r="87" spans="1:40" x14ac:dyDescent="0.2">
      <c r="A87" s="1">
        <f t="shared" si="28"/>
        <v>82</v>
      </c>
      <c r="B87" s="2">
        <v>22.35</v>
      </c>
      <c r="C87" s="2">
        <v>91.32895833333329</v>
      </c>
      <c r="D87" s="2">
        <v>2.7410000000000001</v>
      </c>
      <c r="E87" s="2">
        <v>25.33</v>
      </c>
      <c r="F87" s="2">
        <v>100</v>
      </c>
      <c r="G87" s="2">
        <v>8.11</v>
      </c>
      <c r="H87" s="2">
        <v>19.23</v>
      </c>
      <c r="I87" s="2">
        <v>72.94</v>
      </c>
      <c r="J87" s="2">
        <v>14.22</v>
      </c>
      <c r="K87" s="3">
        <v>7.2480000000000002</v>
      </c>
      <c r="L87" s="3">
        <v>1.5445660000000001</v>
      </c>
      <c r="N87" s="6">
        <f t="shared" si="37"/>
        <v>3.9876159572667365</v>
      </c>
      <c r="O87" s="6">
        <f t="shared" si="38"/>
        <v>21.670170709399933</v>
      </c>
      <c r="P87" s="6">
        <f t="shared" si="39"/>
        <v>3.6012387096774194</v>
      </c>
      <c r="Q87" s="6">
        <f t="shared" si="31"/>
        <v>3.3070922181787012</v>
      </c>
      <c r="R87" s="6">
        <f t="shared" si="40"/>
        <v>3.4494958967437901</v>
      </c>
      <c r="S87" s="6">
        <f t="shared" si="41"/>
        <v>2.501833577142857</v>
      </c>
      <c r="T87" s="6">
        <f t="shared" si="42"/>
        <v>2.313356172881889</v>
      </c>
      <c r="U87" s="6">
        <f t="shared" si="43"/>
        <v>18.198094524568649</v>
      </c>
      <c r="X87" s="6"/>
      <c r="Y87" s="6"/>
      <c r="Z87" s="25"/>
      <c r="AA87" s="25"/>
      <c r="AB87" s="25"/>
      <c r="AC87" s="25"/>
      <c r="AD87" s="6">
        <f t="shared" si="32"/>
        <v>3.0499999999999989</v>
      </c>
      <c r="AE87" s="6">
        <f t="shared" si="33"/>
        <v>13.530000000000001</v>
      </c>
      <c r="AF87" s="6">
        <f t="shared" si="34"/>
        <v>2.6436035023584243</v>
      </c>
      <c r="AG87" s="6">
        <f t="shared" si="35"/>
        <v>1.9013740682177454</v>
      </c>
      <c r="AH87" s="6">
        <f t="shared" si="44"/>
        <v>0.37111471707033949</v>
      </c>
      <c r="AI87" s="6">
        <f t="shared" si="45"/>
        <v>2.6326424414334235E-2</v>
      </c>
      <c r="AJ87" s="6">
        <f t="shared" si="46"/>
        <v>5.0211821219616939E-2</v>
      </c>
      <c r="AK87" s="6">
        <f t="shared" si="47"/>
        <v>0.32090289585072257</v>
      </c>
      <c r="AL87" s="6">
        <f t="shared" si="36"/>
        <v>0.70650000000000002</v>
      </c>
      <c r="AM87" s="6">
        <v>14.5</v>
      </c>
      <c r="AN87" s="6">
        <f t="shared" si="30"/>
        <v>24.836129032258064</v>
      </c>
    </row>
    <row r="88" spans="1:40" x14ac:dyDescent="0.2">
      <c r="A88" s="1">
        <f t="shared" si="28"/>
        <v>83</v>
      </c>
      <c r="B88" s="2">
        <v>19.670000000000002</v>
      </c>
      <c r="C88" s="2">
        <v>87.513019999999997</v>
      </c>
      <c r="D88" s="2">
        <v>2.8690000000000002</v>
      </c>
      <c r="E88" s="2">
        <v>22.15</v>
      </c>
      <c r="F88" s="2">
        <v>98.3</v>
      </c>
      <c r="G88" s="2">
        <v>7.71</v>
      </c>
      <c r="H88" s="2">
        <v>18.22</v>
      </c>
      <c r="I88" s="2">
        <v>70.92</v>
      </c>
      <c r="J88" s="2">
        <v>10.41</v>
      </c>
      <c r="K88" s="3">
        <v>6.0810000000000004</v>
      </c>
      <c r="L88" s="3">
        <v>0.24302070000000001</v>
      </c>
      <c r="N88" s="6">
        <f t="shared" si="37"/>
        <v>3.9876159572667365</v>
      </c>
      <c r="O88" s="6">
        <f t="shared" si="38"/>
        <v>21.670170709399933</v>
      </c>
      <c r="P88" s="6">
        <f t="shared" si="39"/>
        <v>3.6012387096774194</v>
      </c>
      <c r="Q88" s="6">
        <f t="shared" si="31"/>
        <v>2.4772840504534357</v>
      </c>
      <c r="R88" s="6">
        <f t="shared" si="40"/>
        <v>2.5839561171397025</v>
      </c>
      <c r="S88" s="6">
        <f t="shared" si="41"/>
        <v>2.0193906419999998</v>
      </c>
      <c r="T88" s="6">
        <f t="shared" si="42"/>
        <v>1.3664856153782836</v>
      </c>
      <c r="U88" s="6">
        <f t="shared" si="43"/>
        <v>12.865608423766608</v>
      </c>
      <c r="X88" s="6"/>
      <c r="Y88" s="6"/>
      <c r="Z88" s="25"/>
      <c r="AA88" s="25"/>
      <c r="AB88" s="25"/>
      <c r="AC88" s="25"/>
      <c r="AD88" s="6">
        <f t="shared" si="32"/>
        <v>1.9649999999999999</v>
      </c>
      <c r="AE88" s="6">
        <f t="shared" si="33"/>
        <v>13.689999999999998</v>
      </c>
      <c r="AF88" s="6">
        <f t="shared" si="34"/>
        <v>2.230073060645505</v>
      </c>
      <c r="AG88" s="6">
        <f t="shared" si="35"/>
        <v>1.798006304663871</v>
      </c>
      <c r="AH88" s="6">
        <f t="shared" si="44"/>
        <v>0.21603337799081701</v>
      </c>
      <c r="AI88" s="6">
        <f t="shared" si="45"/>
        <v>1.5464449418035837E-2</v>
      </c>
      <c r="AJ88" s="6">
        <f t="shared" si="46"/>
        <v>2.9574969446942843E-2</v>
      </c>
      <c r="AK88" s="6">
        <f t="shared" si="47"/>
        <v>0.18645840854387416</v>
      </c>
      <c r="AL88" s="6">
        <f t="shared" si="36"/>
        <v>0.67969999999999997</v>
      </c>
      <c r="AM88" s="6">
        <v>14.5</v>
      </c>
      <c r="AN88" s="6">
        <f t="shared" si="30"/>
        <v>24.836129032258064</v>
      </c>
    </row>
    <row r="89" spans="1:40" x14ac:dyDescent="0.2">
      <c r="A89" s="1">
        <f t="shared" si="28"/>
        <v>84</v>
      </c>
      <c r="B89" s="2">
        <v>20</v>
      </c>
      <c r="C89" s="2">
        <v>95.677080000000004</v>
      </c>
      <c r="D89" s="2">
        <v>1.0029999999999999</v>
      </c>
      <c r="E89" s="2">
        <v>23.31</v>
      </c>
      <c r="F89" s="2">
        <v>100</v>
      </c>
      <c r="G89" s="2">
        <v>4.7539999999999996</v>
      </c>
      <c r="H89" s="2">
        <v>17.79</v>
      </c>
      <c r="I89" s="1">
        <v>86.7</v>
      </c>
      <c r="J89" s="2">
        <v>11.68</v>
      </c>
      <c r="K89" s="3">
        <v>6.4160000000000004</v>
      </c>
      <c r="L89" s="3">
        <v>1.501145</v>
      </c>
      <c r="N89" s="6">
        <f t="shared" si="37"/>
        <v>3.9876159572667365</v>
      </c>
      <c r="O89" s="6">
        <f t="shared" si="38"/>
        <v>21.670170709399933</v>
      </c>
      <c r="P89" s="6">
        <f t="shared" si="39"/>
        <v>3.6012387096774194</v>
      </c>
      <c r="Q89" s="6">
        <f t="shared" si="31"/>
        <v>2.9618098762223073</v>
      </c>
      <c r="R89" s="6">
        <f t="shared" si="40"/>
        <v>3.0893456671101549</v>
      </c>
      <c r="S89" s="6">
        <f t="shared" si="41"/>
        <v>2.1409825371428575</v>
      </c>
      <c r="T89" s="6">
        <f t="shared" si="42"/>
        <v>1.8027339681521271</v>
      </c>
      <c r="U89" s="6">
        <f t="shared" si="43"/>
        <v>13.450862523671729</v>
      </c>
      <c r="X89" s="6"/>
      <c r="Y89" s="6"/>
      <c r="Z89" s="25"/>
      <c r="AA89" s="25"/>
      <c r="AB89" s="25"/>
      <c r="AC89" s="25"/>
      <c r="AD89" s="6">
        <f t="shared" si="32"/>
        <v>2.76</v>
      </c>
      <c r="AE89" s="6">
        <f t="shared" si="33"/>
        <v>6.6499999999999986</v>
      </c>
      <c r="AF89" s="6">
        <f t="shared" si="34"/>
        <v>2.373840565585918</v>
      </c>
      <c r="AG89" s="6">
        <f t="shared" si="35"/>
        <v>1.7555152359071173</v>
      </c>
      <c r="AH89" s="6">
        <f t="shared" si="44"/>
        <v>0.30916266483940036</v>
      </c>
      <c r="AI89" s="6">
        <f t="shared" si="45"/>
        <v>2.1984641730647739E-2</v>
      </c>
      <c r="AJ89" s="6">
        <f t="shared" si="46"/>
        <v>2.0559317211820121E-2</v>
      </c>
      <c r="AK89" s="6">
        <f t="shared" si="47"/>
        <v>0.28860334762758022</v>
      </c>
      <c r="AL89" s="6">
        <f t="shared" si="36"/>
        <v>0.68300000000000005</v>
      </c>
      <c r="AM89" s="6">
        <v>14.5</v>
      </c>
      <c r="AN89" s="6">
        <f t="shared" si="30"/>
        <v>24.836129032258064</v>
      </c>
    </row>
    <row r="90" spans="1:40" x14ac:dyDescent="0.2">
      <c r="A90" s="1">
        <f t="shared" si="28"/>
        <v>85</v>
      </c>
      <c r="B90" s="2">
        <v>23.58</v>
      </c>
      <c r="C90" s="2">
        <v>80.614999999999995</v>
      </c>
      <c r="D90" s="2">
        <v>1.218</v>
      </c>
      <c r="E90" s="2">
        <v>29.93</v>
      </c>
      <c r="F90" s="2">
        <v>100</v>
      </c>
      <c r="G90" s="2">
        <v>5.2329999999999997</v>
      </c>
      <c r="H90" s="2">
        <v>17.84</v>
      </c>
      <c r="I90" s="2">
        <v>54.29</v>
      </c>
      <c r="J90" s="2">
        <v>0</v>
      </c>
      <c r="K90" s="3">
        <v>22.73</v>
      </c>
      <c r="L90" s="3">
        <v>12.81842</v>
      </c>
      <c r="N90" s="6">
        <f t="shared" si="37"/>
        <v>3.9876159572667365</v>
      </c>
      <c r="O90" s="6">
        <f t="shared" si="38"/>
        <v>21.670170709399933</v>
      </c>
      <c r="P90" s="6">
        <f t="shared" si="39"/>
        <v>3.6012387096774194</v>
      </c>
      <c r="Q90" s="6">
        <f t="shared" si="31"/>
        <v>4.7984334401547768</v>
      </c>
      <c r="R90" s="6">
        <f t="shared" si="40"/>
        <v>5.0050544014547595</v>
      </c>
      <c r="S90" s="6">
        <f t="shared" si="41"/>
        <v>7.9824382971428562</v>
      </c>
      <c r="T90" s="6">
        <f t="shared" si="42"/>
        <v>4.9627570344574412</v>
      </c>
      <c r="U90" s="6">
        <f t="shared" si="43"/>
        <v>21.110074475720001</v>
      </c>
      <c r="X90" s="6"/>
      <c r="Y90" s="6"/>
      <c r="Z90" s="25"/>
      <c r="AA90" s="25"/>
      <c r="AB90" s="25"/>
      <c r="AC90" s="25"/>
      <c r="AD90" s="6">
        <f t="shared" si="32"/>
        <v>6.0449999999999999</v>
      </c>
      <c r="AE90" s="6">
        <f t="shared" si="33"/>
        <v>22.855</v>
      </c>
      <c r="AF90" s="6">
        <f t="shared" si="34"/>
        <v>3.3598575594877511</v>
      </c>
      <c r="AG90" s="6">
        <f t="shared" si="35"/>
        <v>1.7604103951962109</v>
      </c>
      <c r="AH90" s="6">
        <f t="shared" si="44"/>
        <v>0.79972358214577011</v>
      </c>
      <c r="AI90" s="6">
        <f t="shared" si="45"/>
        <v>5.5343548571162436E-2</v>
      </c>
      <c r="AJ90" s="6">
        <f t="shared" si="46"/>
        <v>0.18277682469941578</v>
      </c>
      <c r="AK90" s="6">
        <f t="shared" si="47"/>
        <v>0.6169467574463543</v>
      </c>
      <c r="AL90" s="6">
        <f t="shared" si="36"/>
        <v>0.71879999999999999</v>
      </c>
      <c r="AM90" s="6">
        <v>14.5</v>
      </c>
      <c r="AN90" s="6">
        <f t="shared" si="30"/>
        <v>24.836129032258064</v>
      </c>
    </row>
    <row r="91" spans="1:40" x14ac:dyDescent="0.2">
      <c r="A91" s="1">
        <f t="shared" si="28"/>
        <v>86</v>
      </c>
      <c r="B91" s="2">
        <v>22.89</v>
      </c>
      <c r="C91" s="2">
        <v>81.394687499999975</v>
      </c>
      <c r="D91" s="2">
        <v>1.488</v>
      </c>
      <c r="E91" s="2">
        <v>27.34</v>
      </c>
      <c r="F91" s="2">
        <v>93.6</v>
      </c>
      <c r="G91" s="2">
        <v>5.5529999999999999</v>
      </c>
      <c r="H91" s="2">
        <v>19.32</v>
      </c>
      <c r="I91" s="2">
        <v>65.069999999999993</v>
      </c>
      <c r="J91" s="2">
        <v>0</v>
      </c>
      <c r="K91" s="3">
        <v>10.35</v>
      </c>
      <c r="L91" s="3">
        <v>4.6724490000000003</v>
      </c>
      <c r="N91" s="6">
        <f t="shared" si="37"/>
        <v>3.9876159572667365</v>
      </c>
      <c r="O91" s="6">
        <f t="shared" si="38"/>
        <v>21.670170709399933</v>
      </c>
      <c r="P91" s="6">
        <f t="shared" si="39"/>
        <v>3.6012387096774194</v>
      </c>
      <c r="Q91" s="6">
        <f t="shared" si="31"/>
        <v>3.8430029005038029</v>
      </c>
      <c r="R91" s="6">
        <f t="shared" si="40"/>
        <v>4.0084829396632298</v>
      </c>
      <c r="S91" s="6">
        <f t="shared" si="41"/>
        <v>3.5998748999999997</v>
      </c>
      <c r="T91" s="6">
        <f t="shared" si="42"/>
        <v>2.9602403995741935</v>
      </c>
      <c r="U91" s="6">
        <f t="shared" si="43"/>
        <v>19.441177761246632</v>
      </c>
      <c r="X91" s="6"/>
      <c r="Y91" s="6"/>
      <c r="Z91" s="25"/>
      <c r="AA91" s="25"/>
      <c r="AB91" s="25"/>
      <c r="AC91" s="25"/>
      <c r="AD91" s="6">
        <f t="shared" si="32"/>
        <v>4.01</v>
      </c>
      <c r="AE91" s="6">
        <f t="shared" si="33"/>
        <v>14.265000000000001</v>
      </c>
      <c r="AF91" s="6">
        <f t="shared" si="34"/>
        <v>2.9382326541247754</v>
      </c>
      <c r="AG91" s="6">
        <f t="shared" si="35"/>
        <v>1.9108327418827502</v>
      </c>
      <c r="AH91" s="6">
        <f t="shared" si="44"/>
        <v>0.5136999561210126</v>
      </c>
      <c r="AI91" s="6">
        <f t="shared" si="45"/>
        <v>3.615187639018555E-2</v>
      </c>
      <c r="AJ91" s="6">
        <f t="shared" si="46"/>
        <v>7.3279298740662455E-2</v>
      </c>
      <c r="AK91" s="6">
        <f t="shared" si="47"/>
        <v>0.44042065738035013</v>
      </c>
      <c r="AL91" s="6">
        <f t="shared" si="36"/>
        <v>0.71189999999999998</v>
      </c>
      <c r="AM91" s="6">
        <v>14.5</v>
      </c>
      <c r="AN91" s="6">
        <f t="shared" si="30"/>
        <v>24.836129032258064</v>
      </c>
    </row>
    <row r="92" spans="1:40" x14ac:dyDescent="0.2">
      <c r="A92" s="1">
        <f t="shared" si="28"/>
        <v>87</v>
      </c>
      <c r="B92" s="2">
        <v>21.8</v>
      </c>
      <c r="C92" s="2">
        <v>85.623333333333335</v>
      </c>
      <c r="D92" s="2">
        <v>1.702</v>
      </c>
      <c r="E92" s="2">
        <v>24.75</v>
      </c>
      <c r="F92" s="2">
        <v>99.1</v>
      </c>
      <c r="G92" s="2">
        <v>4.9939999999999998</v>
      </c>
      <c r="H92" s="2">
        <v>19.71</v>
      </c>
      <c r="I92" s="2">
        <v>71.03</v>
      </c>
      <c r="J92" s="2">
        <v>1.27</v>
      </c>
      <c r="K92" s="3">
        <v>7.5149999999999997</v>
      </c>
      <c r="L92" s="3">
        <v>2.7213699999999998</v>
      </c>
      <c r="N92" s="6">
        <f t="shared" si="37"/>
        <v>3.9876159572667365</v>
      </c>
      <c r="O92" s="6">
        <f t="shared" si="38"/>
        <v>21.670170709399933</v>
      </c>
      <c r="P92" s="6">
        <f t="shared" si="39"/>
        <v>3.6012387096774194</v>
      </c>
      <c r="Q92" s="6">
        <f t="shared" si="31"/>
        <v>2.9648743466501237</v>
      </c>
      <c r="R92" s="6">
        <f t="shared" si="40"/>
        <v>3.0925420939011405</v>
      </c>
      <c r="S92" s="6">
        <f t="shared" si="41"/>
        <v>2.5738016142857134</v>
      </c>
      <c r="T92" s="6">
        <f t="shared" si="42"/>
        <v>1.7389528415117008</v>
      </c>
      <c r="U92" s="6">
        <f t="shared" si="43"/>
        <v>16.999487167468882</v>
      </c>
      <c r="X92" s="6"/>
      <c r="Y92" s="6"/>
      <c r="Z92" s="25"/>
      <c r="AA92" s="25"/>
      <c r="AB92" s="25"/>
      <c r="AC92" s="25"/>
      <c r="AD92" s="6">
        <f t="shared" si="32"/>
        <v>2.5199999999999996</v>
      </c>
      <c r="AE92" s="6">
        <f t="shared" si="33"/>
        <v>14.034999999999997</v>
      </c>
      <c r="AF92" s="6">
        <f t="shared" si="34"/>
        <v>2.5635358689861181</v>
      </c>
      <c r="AG92" s="6">
        <f t="shared" si="35"/>
        <v>1.9522982992488185</v>
      </c>
      <c r="AH92" s="6">
        <f t="shared" si="44"/>
        <v>0.3056187848686498</v>
      </c>
      <c r="AI92" s="6">
        <f t="shared" si="45"/>
        <v>2.177615511538664E-2</v>
      </c>
      <c r="AJ92" s="6">
        <f t="shared" si="46"/>
        <v>4.2893596456314985E-2</v>
      </c>
      <c r="AK92" s="6">
        <f t="shared" si="47"/>
        <v>0.26272518841233483</v>
      </c>
      <c r="AL92" s="6">
        <f t="shared" si="36"/>
        <v>0.70099999999999996</v>
      </c>
      <c r="AM92" s="6">
        <v>14.5</v>
      </c>
      <c r="AN92" s="6">
        <f t="shared" si="30"/>
        <v>24.836129032258064</v>
      </c>
    </row>
    <row r="93" spans="1:40" x14ac:dyDescent="0.2">
      <c r="A93" s="1">
        <f t="shared" si="28"/>
        <v>88</v>
      </c>
      <c r="B93" s="2">
        <v>21.16</v>
      </c>
      <c r="C93" s="2">
        <v>96.430208333333283</v>
      </c>
      <c r="D93" s="2">
        <v>0.72299999999999998</v>
      </c>
      <c r="E93" s="2">
        <v>23.94</v>
      </c>
      <c r="F93" s="2">
        <v>100</v>
      </c>
      <c r="G93" s="2">
        <v>3.3959999999999999</v>
      </c>
      <c r="H93" s="2">
        <v>19.27</v>
      </c>
      <c r="I93" s="2">
        <v>84.9</v>
      </c>
      <c r="J93" s="2">
        <v>5.08</v>
      </c>
      <c r="K93" s="3">
        <v>8.43</v>
      </c>
      <c r="L93" s="3">
        <v>1.6065309999999999</v>
      </c>
      <c r="N93" s="6">
        <f t="shared" si="37"/>
        <v>3.9876159572667365</v>
      </c>
      <c r="O93" s="6">
        <f t="shared" si="38"/>
        <v>21.670170709399933</v>
      </c>
      <c r="P93" s="6">
        <f t="shared" si="39"/>
        <v>3.6012387096774194</v>
      </c>
      <c r="Q93" s="6">
        <f t="shared" si="31"/>
        <v>2.8078456255441679</v>
      </c>
      <c r="R93" s="6">
        <f t="shared" si="40"/>
        <v>2.9287517024060308</v>
      </c>
      <c r="S93" s="6">
        <f t="shared" si="41"/>
        <v>2.8608192514285711</v>
      </c>
      <c r="T93" s="6">
        <f t="shared" si="42"/>
        <v>1.5563409291810717</v>
      </c>
      <c r="U93" s="6">
        <f t="shared" si="43"/>
        <v>15.667669695048998</v>
      </c>
      <c r="X93" s="6"/>
      <c r="Y93" s="6"/>
      <c r="Z93" s="25"/>
      <c r="AA93" s="25"/>
      <c r="AB93" s="25"/>
      <c r="AC93" s="25"/>
      <c r="AD93" s="6">
        <f t="shared" si="32"/>
        <v>2.3350000000000009</v>
      </c>
      <c r="AE93" s="6">
        <f t="shared" si="33"/>
        <v>7.5499999999999972</v>
      </c>
      <c r="AF93" s="6">
        <f t="shared" si="34"/>
        <v>2.4552659310563358</v>
      </c>
      <c r="AG93" s="6">
        <f t="shared" si="35"/>
        <v>1.9055728472666345</v>
      </c>
      <c r="AH93" s="6">
        <f t="shared" si="44"/>
        <v>0.27484654189485069</v>
      </c>
      <c r="AI93" s="6">
        <f t="shared" si="45"/>
        <v>1.9613799536727244E-2</v>
      </c>
      <c r="AJ93" s="6">
        <f t="shared" si="46"/>
        <v>2.0750913913061216E-2</v>
      </c>
      <c r="AK93" s="6">
        <f t="shared" si="47"/>
        <v>0.25409562798178947</v>
      </c>
      <c r="AL93" s="6">
        <f t="shared" si="36"/>
        <v>0.6946</v>
      </c>
      <c r="AM93" s="6">
        <v>14.5</v>
      </c>
      <c r="AN93" s="6">
        <f t="shared" si="30"/>
        <v>24.836129032258064</v>
      </c>
    </row>
    <row r="94" spans="1:40" x14ac:dyDescent="0.2">
      <c r="A94" s="1">
        <f t="shared" si="28"/>
        <v>89</v>
      </c>
      <c r="B94" s="2">
        <v>22.77</v>
      </c>
      <c r="C94" s="2">
        <v>86.320729999999998</v>
      </c>
      <c r="D94" s="2">
        <v>0.498</v>
      </c>
      <c r="E94" s="2">
        <v>27.34</v>
      </c>
      <c r="F94" s="2">
        <v>100</v>
      </c>
      <c r="G94" s="2">
        <v>2.9159999999999999</v>
      </c>
      <c r="H94" s="2">
        <v>19.47</v>
      </c>
      <c r="I94" s="2">
        <v>64.150000000000006</v>
      </c>
      <c r="J94" s="2">
        <v>0</v>
      </c>
      <c r="K94" s="3">
        <v>11.84</v>
      </c>
      <c r="L94" s="3">
        <v>6.5660270000000001</v>
      </c>
      <c r="N94" s="6">
        <f t="shared" si="37"/>
        <v>3.9876159572667365</v>
      </c>
      <c r="O94" s="6">
        <f t="shared" si="38"/>
        <v>21.670170709399933</v>
      </c>
      <c r="P94" s="6">
        <f t="shared" si="39"/>
        <v>3.6012387096774194</v>
      </c>
      <c r="Q94" s="6">
        <f t="shared" si="31"/>
        <v>3.7956679444862234</v>
      </c>
      <c r="R94" s="6">
        <f t="shared" si="40"/>
        <v>3.9591097363223473</v>
      </c>
      <c r="S94" s="6">
        <f t="shared" si="41"/>
        <v>4.1111761371428566</v>
      </c>
      <c r="T94" s="6">
        <f t="shared" si="42"/>
        <v>2.5533240983280776</v>
      </c>
      <c r="U94" s="6">
        <f t="shared" si="43"/>
        <v>19.158342468803266</v>
      </c>
      <c r="X94" s="6"/>
      <c r="Y94" s="6"/>
      <c r="Z94" s="25"/>
      <c r="AA94" s="25"/>
      <c r="AB94" s="25"/>
      <c r="AC94" s="25"/>
      <c r="AD94" s="6">
        <f t="shared" si="32"/>
        <v>3.9350000000000005</v>
      </c>
      <c r="AE94" s="6">
        <f t="shared" si="33"/>
        <v>17.924999999999997</v>
      </c>
      <c r="AF94" s="6">
        <f t="shared" si="34"/>
        <v>2.9382326541247754</v>
      </c>
      <c r="AG94" s="6">
        <f t="shared" si="35"/>
        <v>1.9266888144607497</v>
      </c>
      <c r="AH94" s="6">
        <f t="shared" si="44"/>
        <v>0.50577191983201286</v>
      </c>
      <c r="AI94" s="6">
        <f t="shared" si="45"/>
        <v>3.5616072863771032E-2</v>
      </c>
      <c r="AJ94" s="6">
        <f t="shared" si="46"/>
        <v>9.0659616629888293E-2</v>
      </c>
      <c r="AK94" s="6">
        <f t="shared" si="47"/>
        <v>0.41511230320212456</v>
      </c>
      <c r="AL94" s="6">
        <f t="shared" si="36"/>
        <v>0.7107</v>
      </c>
      <c r="AM94" s="6">
        <v>14.5</v>
      </c>
      <c r="AN94" s="6">
        <f t="shared" si="30"/>
        <v>24.836129032258064</v>
      </c>
    </row>
    <row r="95" spans="1:40" x14ac:dyDescent="0.2">
      <c r="A95" s="1">
        <f t="shared" si="28"/>
        <v>90</v>
      </c>
      <c r="B95" s="2">
        <v>24.41</v>
      </c>
      <c r="C95" s="2">
        <v>79.242810000000006</v>
      </c>
      <c r="D95" s="2">
        <v>1.153</v>
      </c>
      <c r="E95" s="2">
        <v>30.65</v>
      </c>
      <c r="F95" s="2">
        <v>100</v>
      </c>
      <c r="G95" s="2">
        <v>5.3929999999999998</v>
      </c>
      <c r="H95" s="2">
        <v>19.420000000000002</v>
      </c>
      <c r="I95" s="2">
        <v>46.89</v>
      </c>
      <c r="J95" s="2">
        <v>0</v>
      </c>
      <c r="K95" s="3">
        <v>20.62</v>
      </c>
      <c r="L95" s="3">
        <v>11.788169999999999</v>
      </c>
      <c r="N95" s="6">
        <f t="shared" si="37"/>
        <v>3.9876159572667365</v>
      </c>
      <c r="O95" s="6">
        <f t="shared" si="38"/>
        <v>21.670170709399933</v>
      </c>
      <c r="P95" s="6">
        <f t="shared" si="39"/>
        <v>3.6012387096774194</v>
      </c>
      <c r="Q95" s="6">
        <f t="shared" si="31"/>
        <v>4.7173822493131254</v>
      </c>
      <c r="R95" s="6">
        <f t="shared" si="40"/>
        <v>4.9205131392856476</v>
      </c>
      <c r="S95" s="6">
        <f t="shared" si="41"/>
        <v>7.325054691428571</v>
      </c>
      <c r="T95" s="6">
        <f t="shared" si="42"/>
        <v>4.5730989531298372</v>
      </c>
      <c r="U95" s="6">
        <f t="shared" si="43"/>
        <v>23.253275039995838</v>
      </c>
      <c r="X95" s="6"/>
      <c r="Y95" s="6"/>
      <c r="Z95" s="25"/>
      <c r="AA95" s="25"/>
      <c r="AB95" s="25"/>
      <c r="AC95" s="25"/>
      <c r="AD95" s="6">
        <f t="shared" si="32"/>
        <v>5.6149999999999984</v>
      </c>
      <c r="AE95" s="6">
        <f t="shared" si="33"/>
        <v>26.555</v>
      </c>
      <c r="AF95" s="6">
        <f t="shared" si="34"/>
        <v>3.4860480069512887</v>
      </c>
      <c r="AG95" s="6">
        <f t="shared" si="35"/>
        <v>1.9213906993943306</v>
      </c>
      <c r="AH95" s="6">
        <f t="shared" si="44"/>
        <v>0.78232865377847904</v>
      </c>
      <c r="AI95" s="6">
        <f t="shared" si="45"/>
        <v>5.4331603739078235E-2</v>
      </c>
      <c r="AJ95" s="6">
        <f t="shared" si="46"/>
        <v>0.20774737401087509</v>
      </c>
      <c r="AK95" s="6">
        <f t="shared" si="47"/>
        <v>0.57458127976760398</v>
      </c>
      <c r="AL95" s="6">
        <f t="shared" si="36"/>
        <v>0.72709999999999997</v>
      </c>
      <c r="AM95" s="6">
        <v>14.5</v>
      </c>
      <c r="AN95" s="6">
        <f t="shared" si="30"/>
        <v>24.836129032258064</v>
      </c>
    </row>
    <row r="96" spans="1:40" x14ac:dyDescent="0.2">
      <c r="A96" s="1">
        <f t="shared" si="28"/>
        <v>91</v>
      </c>
      <c r="B96" s="2">
        <v>24.34</v>
      </c>
      <c r="C96" s="2">
        <v>70.050520000000006</v>
      </c>
      <c r="D96" s="2">
        <v>1.0309999999999999</v>
      </c>
      <c r="E96" s="2">
        <v>31.94</v>
      </c>
      <c r="F96" s="2">
        <v>100</v>
      </c>
      <c r="G96" s="2">
        <v>4.1950000000000003</v>
      </c>
      <c r="H96" s="2">
        <v>16.739999999999998</v>
      </c>
      <c r="I96" s="2">
        <v>36.42</v>
      </c>
      <c r="J96" s="2">
        <v>0</v>
      </c>
      <c r="K96" s="3">
        <v>21.39</v>
      </c>
      <c r="L96" s="3">
        <v>10.92254</v>
      </c>
      <c r="N96" s="6">
        <f t="shared" si="37"/>
        <v>3.9876159572667365</v>
      </c>
      <c r="O96" s="6">
        <f t="shared" si="38"/>
        <v>21.670170709399933</v>
      </c>
      <c r="P96" s="6">
        <f t="shared" si="39"/>
        <v>3.6012387096774194</v>
      </c>
      <c r="Q96" s="6">
        <f t="shared" si="31"/>
        <v>5.4791370486279316</v>
      </c>
      <c r="R96" s="6">
        <f t="shared" si="40"/>
        <v>5.7150691665162512</v>
      </c>
      <c r="S96" s="6">
        <f t="shared" si="41"/>
        <v>7.5912743314285711</v>
      </c>
      <c r="T96" s="6">
        <f t="shared" si="42"/>
        <v>5.2939227319466715</v>
      </c>
      <c r="U96" s="6">
        <f t="shared" si="43"/>
        <v>23.072266987884547</v>
      </c>
      <c r="X96" s="6"/>
      <c r="Y96" s="6"/>
      <c r="Z96" s="25"/>
      <c r="AA96" s="25"/>
      <c r="AB96" s="25"/>
      <c r="AC96" s="25"/>
      <c r="AD96" s="6">
        <f t="shared" si="32"/>
        <v>7.6000000000000014</v>
      </c>
      <c r="AE96" s="6">
        <f t="shared" si="33"/>
        <v>31.79</v>
      </c>
      <c r="AF96" s="6">
        <f t="shared" si="34"/>
        <v>3.7224897007056326</v>
      </c>
      <c r="AG96" s="6">
        <f t="shared" si="35"/>
        <v>1.6554365449658279</v>
      </c>
      <c r="AH96" s="6">
        <f t="shared" si="44"/>
        <v>1.0335265778699023</v>
      </c>
      <c r="AI96" s="6">
        <f t="shared" si="45"/>
        <v>7.0618100739126527E-2</v>
      </c>
      <c r="AJ96" s="6">
        <f t="shared" si="46"/>
        <v>0.32855809910484196</v>
      </c>
      <c r="AK96" s="6">
        <f t="shared" si="47"/>
        <v>0.7049684787650603</v>
      </c>
      <c r="AL96" s="6">
        <f t="shared" si="36"/>
        <v>0.72639999999999993</v>
      </c>
      <c r="AM96" s="6">
        <v>14.5</v>
      </c>
      <c r="AN96" s="6">
        <f>$X$8</f>
        <v>24.836129032258064</v>
      </c>
    </row>
    <row r="97" spans="1:40" x14ac:dyDescent="0.2">
      <c r="A97" s="1">
        <f t="shared" si="28"/>
        <v>92</v>
      </c>
      <c r="B97" s="2">
        <v>24.57</v>
      </c>
      <c r="C97" s="2">
        <v>66.981354166666691</v>
      </c>
      <c r="D97" s="7">
        <v>0.74399999999999999</v>
      </c>
      <c r="E97" s="2">
        <v>31.85</v>
      </c>
      <c r="F97" s="2">
        <v>99.6</v>
      </c>
      <c r="G97" s="2">
        <v>3.3159999999999998</v>
      </c>
      <c r="H97" s="2">
        <v>17.739999999999998</v>
      </c>
      <c r="I97" s="2">
        <v>35.74</v>
      </c>
      <c r="J97" s="2">
        <v>0</v>
      </c>
      <c r="K97" s="3">
        <v>20.6</v>
      </c>
      <c r="L97" s="3">
        <v>11.15199</v>
      </c>
      <c r="N97" s="6">
        <f t="shared" si="37"/>
        <v>3.8969842034074094</v>
      </c>
      <c r="O97" s="6">
        <f t="shared" si="38"/>
        <v>21.228923352148151</v>
      </c>
      <c r="P97" s="6">
        <f t="shared" si="39"/>
        <v>3.0489946666666672</v>
      </c>
      <c r="Q97" s="6">
        <f t="shared" si="31"/>
        <v>4.5391182000968202</v>
      </c>
      <c r="R97" s="6">
        <f t="shared" si="40"/>
        <v>4.7345730246047122</v>
      </c>
      <c r="S97" s="6">
        <f t="shared" si="41"/>
        <v>7.3340531999999996</v>
      </c>
      <c r="T97" s="6">
        <f t="shared" si="42"/>
        <v>4.8844932096309233</v>
      </c>
      <c r="U97" s="6">
        <f t="shared" si="43"/>
        <v>23.691460841641021</v>
      </c>
      <c r="X97" s="6"/>
      <c r="Y97" s="6"/>
      <c r="Z97" s="25"/>
      <c r="AA97" s="25"/>
      <c r="AB97" s="25"/>
      <c r="AC97" s="25"/>
      <c r="AD97" s="6">
        <f t="shared" si="32"/>
        <v>7.0550000000000015</v>
      </c>
      <c r="AE97" s="6">
        <f t="shared" si="33"/>
        <v>31.929999999999996</v>
      </c>
      <c r="AF97" s="6">
        <f t="shared" si="34"/>
        <v>3.7055522566442769</v>
      </c>
      <c r="AG97" s="6">
        <f t="shared" si="35"/>
        <v>1.7506320136066487</v>
      </c>
      <c r="AH97" s="6">
        <f t="shared" si="44"/>
        <v>0.97746012151881412</v>
      </c>
      <c r="AI97" s="6">
        <f t="shared" si="45"/>
        <v>6.7085481636280683E-2</v>
      </c>
      <c r="AJ97" s="6">
        <f t="shared" si="46"/>
        <v>0.31210301680095731</v>
      </c>
      <c r="AK97" s="6">
        <f t="shared" si="47"/>
        <v>0.66535710471785681</v>
      </c>
      <c r="AL97" s="6">
        <f t="shared" si="36"/>
        <v>0.72870000000000001</v>
      </c>
      <c r="AM97" s="6">
        <v>12.4</v>
      </c>
      <c r="AN97" s="6">
        <f>$X$9</f>
        <v>24.588666666666668</v>
      </c>
    </row>
    <row r="98" spans="1:40" x14ac:dyDescent="0.2">
      <c r="A98" s="1">
        <f t="shared" si="28"/>
        <v>93</v>
      </c>
      <c r="B98" s="2">
        <v>25.02</v>
      </c>
      <c r="C98" s="2">
        <v>70.629687500000017</v>
      </c>
      <c r="D98" s="2">
        <v>0.59499999999999997</v>
      </c>
      <c r="E98" s="2">
        <v>31.94</v>
      </c>
      <c r="F98" s="2">
        <v>98.7</v>
      </c>
      <c r="G98" s="2">
        <v>3.2360000000000002</v>
      </c>
      <c r="H98" s="2">
        <v>20.38</v>
      </c>
      <c r="I98" s="2">
        <v>39.229999999999997</v>
      </c>
      <c r="J98" s="2">
        <v>0</v>
      </c>
      <c r="K98" s="3">
        <v>16.05</v>
      </c>
      <c r="L98" s="3">
        <v>8.5576190000000008</v>
      </c>
      <c r="N98" s="6">
        <f t="shared" si="37"/>
        <v>3.8969842034074094</v>
      </c>
      <c r="O98" s="6">
        <f t="shared" si="38"/>
        <v>21.228923352148151</v>
      </c>
      <c r="P98" s="6">
        <f t="shared" si="39"/>
        <v>3.0489946666666672</v>
      </c>
      <c r="Q98" s="6">
        <f t="shared" si="31"/>
        <v>4.1521697600000005</v>
      </c>
      <c r="R98" s="6">
        <f t="shared" si="40"/>
        <v>4.3309625510206144</v>
      </c>
      <c r="S98" s="6">
        <f t="shared" si="41"/>
        <v>5.7494401714285708</v>
      </c>
      <c r="T98" s="6">
        <f t="shared" si="42"/>
        <v>3.9679102450972406</v>
      </c>
      <c r="U98" s="6">
        <f t="shared" si="43"/>
        <v>24.932148456265768</v>
      </c>
      <c r="X98" s="6"/>
      <c r="Y98" s="6"/>
      <c r="Z98" s="25"/>
      <c r="AA98" s="25"/>
      <c r="AB98" s="25"/>
      <c r="AC98" s="25"/>
      <c r="AD98" s="6">
        <f t="shared" si="32"/>
        <v>5.7800000000000011</v>
      </c>
      <c r="AE98" s="6">
        <f t="shared" si="33"/>
        <v>29.735000000000003</v>
      </c>
      <c r="AF98" s="6">
        <f t="shared" si="34"/>
        <v>3.7224897007056326</v>
      </c>
      <c r="AG98" s="6">
        <f t="shared" si="35"/>
        <v>2.0253760089085695</v>
      </c>
      <c r="AH98" s="6">
        <f t="shared" si="44"/>
        <v>0.84855684589853153</v>
      </c>
      <c r="AI98" s="6">
        <f t="shared" si="45"/>
        <v>5.8851080421996306E-2</v>
      </c>
      <c r="AJ98" s="6">
        <f t="shared" si="46"/>
        <v>0.25231837812792834</v>
      </c>
      <c r="AK98" s="6">
        <f t="shared" si="47"/>
        <v>0.59623846777060319</v>
      </c>
      <c r="AL98" s="6">
        <f t="shared" si="36"/>
        <v>0.73319999999999996</v>
      </c>
      <c r="AM98" s="6">
        <v>12.4</v>
      </c>
      <c r="AN98" s="6">
        <f t="shared" ref="AN98:AN126" si="48">$X$9</f>
        <v>24.588666666666668</v>
      </c>
    </row>
    <row r="99" spans="1:40" x14ac:dyDescent="0.2">
      <c r="A99" s="1">
        <f t="shared" si="28"/>
        <v>94</v>
      </c>
      <c r="B99" s="2">
        <v>25.27</v>
      </c>
      <c r="C99" s="2">
        <v>71.788958333333341</v>
      </c>
      <c r="D99" s="2">
        <v>0.879</v>
      </c>
      <c r="E99" s="2">
        <v>33.049999999999997</v>
      </c>
      <c r="F99" s="2">
        <v>99.1</v>
      </c>
      <c r="G99" s="2">
        <v>3.9550000000000001</v>
      </c>
      <c r="H99" s="2">
        <v>18.32</v>
      </c>
      <c r="I99" s="2">
        <v>42.1</v>
      </c>
      <c r="J99" s="2">
        <v>0</v>
      </c>
      <c r="K99" s="3">
        <v>19.79</v>
      </c>
      <c r="L99" s="3">
        <v>10.190810000000001</v>
      </c>
      <c r="N99" s="6">
        <f t="shared" si="37"/>
        <v>3.8969842034074094</v>
      </c>
      <c r="O99" s="6">
        <f t="shared" si="38"/>
        <v>21.228923352148151</v>
      </c>
      <c r="P99" s="6">
        <f t="shared" si="39"/>
        <v>3.0489946666666672</v>
      </c>
      <c r="Q99" s="6">
        <f t="shared" si="31"/>
        <v>4.7143928167952591</v>
      </c>
      <c r="R99" s="6">
        <f t="shared" si="40"/>
        <v>4.9173949815435423</v>
      </c>
      <c r="S99" s="6">
        <f t="shared" si="41"/>
        <v>7.1133571800000004</v>
      </c>
      <c r="T99" s="6">
        <f t="shared" si="42"/>
        <v>5.2937820721298952</v>
      </c>
      <c r="U99" s="6">
        <f t="shared" si="43"/>
        <v>25.64245564856466</v>
      </c>
      <c r="X99" s="6"/>
      <c r="Y99" s="6"/>
      <c r="Z99" s="25"/>
      <c r="AA99" s="25"/>
      <c r="AB99" s="25"/>
      <c r="AC99" s="25"/>
      <c r="AD99" s="6">
        <f t="shared" si="32"/>
        <v>7.3649999999999984</v>
      </c>
      <c r="AE99" s="6">
        <f t="shared" si="33"/>
        <v>28.499999999999996</v>
      </c>
      <c r="AF99" s="6">
        <f t="shared" si="34"/>
        <v>3.9369940798861234</v>
      </c>
      <c r="AG99" s="6">
        <f t="shared" si="35"/>
        <v>1.8080161701377677</v>
      </c>
      <c r="AH99" s="6">
        <f t="shared" si="44"/>
        <v>1.0644889548741778</v>
      </c>
      <c r="AI99" s="6">
        <f t="shared" si="45"/>
        <v>7.2873465025133588E-2</v>
      </c>
      <c r="AJ99" s="6">
        <f t="shared" si="46"/>
        <v>0.30337935213914063</v>
      </c>
      <c r="AK99" s="6">
        <f t="shared" si="47"/>
        <v>0.76110960273503725</v>
      </c>
      <c r="AL99" s="6">
        <f t="shared" si="36"/>
        <v>0.73570000000000002</v>
      </c>
      <c r="AM99" s="6">
        <v>12.4</v>
      </c>
      <c r="AN99" s="6">
        <f t="shared" si="48"/>
        <v>24.588666666666668</v>
      </c>
    </row>
    <row r="100" spans="1:40" x14ac:dyDescent="0.2">
      <c r="A100" s="1">
        <f t="shared" si="28"/>
        <v>95</v>
      </c>
      <c r="B100" s="2">
        <v>26.86</v>
      </c>
      <c r="C100" s="2">
        <v>72.310416666666654</v>
      </c>
      <c r="D100" s="2">
        <v>1.115</v>
      </c>
      <c r="E100" s="2">
        <v>34.450000000000003</v>
      </c>
      <c r="F100" s="2">
        <v>99.9</v>
      </c>
      <c r="G100" s="2">
        <v>5.4729999999999999</v>
      </c>
      <c r="H100" s="2">
        <v>20.09</v>
      </c>
      <c r="I100" s="2">
        <v>40.119999999999997</v>
      </c>
      <c r="J100" s="2">
        <v>0</v>
      </c>
      <c r="K100" s="3">
        <v>21.09</v>
      </c>
      <c r="L100" s="3">
        <v>11.97128</v>
      </c>
      <c r="N100" s="6">
        <f t="shared" si="37"/>
        <v>3.8969842034074094</v>
      </c>
      <c r="O100" s="6">
        <f t="shared" si="38"/>
        <v>21.228923352148151</v>
      </c>
      <c r="P100" s="6">
        <f t="shared" si="39"/>
        <v>3.0489946666666672</v>
      </c>
      <c r="Q100" s="6">
        <f t="shared" si="31"/>
        <v>4.8266461364670032</v>
      </c>
      <c r="R100" s="6">
        <f t="shared" si="40"/>
        <v>5.0344819389241255</v>
      </c>
      <c r="S100" s="6">
        <f t="shared" si="41"/>
        <v>7.7444649257142864</v>
      </c>
      <c r="T100" s="6">
        <f t="shared" si="42"/>
        <v>5.8066101815028039</v>
      </c>
      <c r="U100" s="6">
        <f t="shared" si="43"/>
        <v>30.525517410185508</v>
      </c>
      <c r="X100" s="6"/>
      <c r="Y100" s="6"/>
      <c r="Z100" s="25"/>
      <c r="AA100" s="25"/>
      <c r="AB100" s="25"/>
      <c r="AC100" s="25"/>
      <c r="AD100" s="6">
        <f t="shared" si="32"/>
        <v>7.1800000000000015</v>
      </c>
      <c r="AE100" s="6">
        <f t="shared" si="33"/>
        <v>29.890000000000004</v>
      </c>
      <c r="AF100" s="6">
        <f t="shared" si="34"/>
        <v>4.2228197346667811</v>
      </c>
      <c r="AG100" s="6">
        <f t="shared" si="35"/>
        <v>1.993456537869329</v>
      </c>
      <c r="AH100" s="6">
        <f t="shared" si="44"/>
        <v>1.1146815983987262</v>
      </c>
      <c r="AI100" s="6">
        <f t="shared" si="45"/>
        <v>7.6425116946009175E-2</v>
      </c>
      <c r="AJ100" s="6">
        <f t="shared" si="46"/>
        <v>0.33317832976137929</v>
      </c>
      <c r="AK100" s="6">
        <f t="shared" si="47"/>
        <v>0.78150326863734687</v>
      </c>
      <c r="AL100" s="6">
        <f t="shared" si="36"/>
        <v>0.75160000000000005</v>
      </c>
      <c r="AM100" s="6">
        <v>12.4</v>
      </c>
      <c r="AN100" s="6">
        <f t="shared" si="48"/>
        <v>24.588666666666668</v>
      </c>
    </row>
    <row r="101" spans="1:40" x14ac:dyDescent="0.2">
      <c r="A101" s="1">
        <f t="shared" si="28"/>
        <v>96</v>
      </c>
      <c r="B101" s="2">
        <v>26.77</v>
      </c>
      <c r="C101" s="2">
        <v>68.436145833333327</v>
      </c>
      <c r="D101" s="2">
        <v>1.3460000000000001</v>
      </c>
      <c r="E101" s="2">
        <v>33.11</v>
      </c>
      <c r="F101" s="2">
        <v>95.8</v>
      </c>
      <c r="G101" s="2">
        <v>5.7919999999999998</v>
      </c>
      <c r="H101" s="2">
        <v>20.82</v>
      </c>
      <c r="I101" s="2">
        <v>40.9</v>
      </c>
      <c r="J101" s="2">
        <v>0</v>
      </c>
      <c r="K101" s="3">
        <v>19.3</v>
      </c>
      <c r="L101" s="3">
        <v>10.059839999999999</v>
      </c>
      <c r="N101" s="6">
        <f t="shared" si="37"/>
        <v>3.8969842034074094</v>
      </c>
      <c r="O101" s="6">
        <f t="shared" si="38"/>
        <v>21.228923352148151</v>
      </c>
      <c r="P101" s="6">
        <f t="shared" si="39"/>
        <v>3.0489946666666672</v>
      </c>
      <c r="Q101" s="6">
        <f t="shared" si="31"/>
        <v>4.4562351167332892</v>
      </c>
      <c r="R101" s="6">
        <f t="shared" si="40"/>
        <v>4.6481209884623906</v>
      </c>
      <c r="S101" s="6">
        <f t="shared" si="41"/>
        <v>7.078672028571428</v>
      </c>
      <c r="T101" s="6">
        <f t="shared" si="42"/>
        <v>5.1003579398296237</v>
      </c>
      <c r="U101" s="6">
        <f t="shared" si="43"/>
        <v>30.234493705019066</v>
      </c>
      <c r="X101" s="6"/>
      <c r="Y101" s="6"/>
      <c r="Z101" s="25"/>
      <c r="AA101" s="25"/>
      <c r="AB101" s="25"/>
      <c r="AC101" s="25"/>
      <c r="AD101" s="6">
        <f t="shared" si="32"/>
        <v>6.1449999999999996</v>
      </c>
      <c r="AE101" s="6">
        <f t="shared" si="33"/>
        <v>27.45</v>
      </c>
      <c r="AF101" s="6">
        <f t="shared" si="34"/>
        <v>3.9488891506947885</v>
      </c>
      <c r="AG101" s="6">
        <f t="shared" si="35"/>
        <v>2.0746601398950379</v>
      </c>
      <c r="AH101" s="6">
        <f t="shared" si="44"/>
        <v>0.93711450539987529</v>
      </c>
      <c r="AI101" s="6">
        <f t="shared" si="45"/>
        <v>6.4798193131769974E-2</v>
      </c>
      <c r="AJ101" s="6">
        <f t="shared" si="46"/>
        <v>0.25723793173226572</v>
      </c>
      <c r="AK101" s="6">
        <f t="shared" si="47"/>
        <v>0.67987657366760956</v>
      </c>
      <c r="AL101" s="6">
        <f t="shared" si="36"/>
        <v>0.75069999999999992</v>
      </c>
      <c r="AM101" s="6">
        <v>12.4</v>
      </c>
      <c r="AN101" s="6">
        <f t="shared" si="48"/>
        <v>24.588666666666668</v>
      </c>
    </row>
    <row r="102" spans="1:40" x14ac:dyDescent="0.2">
      <c r="A102" s="1">
        <f t="shared" ref="A102:A165" si="49">A101+1</f>
        <v>97</v>
      </c>
      <c r="B102" s="2">
        <v>23.59</v>
      </c>
      <c r="C102" s="2">
        <v>76.513540000000006</v>
      </c>
      <c r="D102" s="2">
        <v>2.2090000000000001</v>
      </c>
      <c r="E102" s="2">
        <v>30.22</v>
      </c>
      <c r="F102" s="2">
        <v>96.1</v>
      </c>
      <c r="G102" s="2">
        <v>7.47</v>
      </c>
      <c r="H102" s="2">
        <v>18.420000000000002</v>
      </c>
      <c r="I102" s="2">
        <v>51</v>
      </c>
      <c r="J102" s="2">
        <v>0</v>
      </c>
      <c r="K102" s="3">
        <v>20.23</v>
      </c>
      <c r="L102" s="3">
        <v>9.6663219999999992</v>
      </c>
      <c r="N102" s="6">
        <f t="shared" si="37"/>
        <v>3.8969842034074094</v>
      </c>
      <c r="O102" s="6">
        <f t="shared" si="38"/>
        <v>21.228923352148151</v>
      </c>
      <c r="P102" s="6">
        <f t="shared" si="39"/>
        <v>3.0489946666666672</v>
      </c>
      <c r="Q102" s="6">
        <f t="shared" si="31"/>
        <v>4.0549541807581146</v>
      </c>
      <c r="R102" s="6">
        <f t="shared" si="40"/>
        <v>4.2295608604807784</v>
      </c>
      <c r="S102" s="6">
        <f t="shared" si="41"/>
        <v>7.1054638199999989</v>
      </c>
      <c r="T102" s="6">
        <f t="shared" si="42"/>
        <v>4.9208593275240782</v>
      </c>
      <c r="U102" s="6">
        <f t="shared" si="43"/>
        <v>21.137369888957124</v>
      </c>
      <c r="X102" s="6"/>
      <c r="Y102" s="6"/>
      <c r="Z102" s="25"/>
      <c r="AA102" s="25"/>
      <c r="AB102" s="25"/>
      <c r="AC102" s="25"/>
      <c r="AD102" s="6">
        <f t="shared" si="32"/>
        <v>5.8999999999999986</v>
      </c>
      <c r="AE102" s="6">
        <f t="shared" si="33"/>
        <v>22.549999999999997</v>
      </c>
      <c r="AF102" s="6">
        <f t="shared" si="34"/>
        <v>3.4101971035638572</v>
      </c>
      <c r="AG102" s="6">
        <f t="shared" si="35"/>
        <v>1.8180748425421427</v>
      </c>
      <c r="AH102" s="6">
        <f t="shared" si="44"/>
        <v>0.79606113051085725</v>
      </c>
      <c r="AI102" s="6">
        <f t="shared" si="45"/>
        <v>5.5155805556422403E-2</v>
      </c>
      <c r="AJ102" s="6">
        <f t="shared" si="46"/>
        <v>0.17951178493019829</v>
      </c>
      <c r="AK102" s="6">
        <f t="shared" si="47"/>
        <v>0.61654934558065899</v>
      </c>
      <c r="AL102" s="6">
        <f t="shared" si="36"/>
        <v>0.71889999999999998</v>
      </c>
      <c r="AM102" s="6">
        <v>12.4</v>
      </c>
      <c r="AN102" s="6">
        <f t="shared" si="48"/>
        <v>24.588666666666668</v>
      </c>
    </row>
    <row r="103" spans="1:40" x14ac:dyDescent="0.2">
      <c r="A103" s="1">
        <f t="shared" si="49"/>
        <v>98</v>
      </c>
      <c r="B103" s="2">
        <v>24.51</v>
      </c>
      <c r="C103" s="2">
        <v>73.848129999999998</v>
      </c>
      <c r="D103" s="2">
        <v>0.78500000000000003</v>
      </c>
      <c r="E103" s="2">
        <v>32.14</v>
      </c>
      <c r="F103" s="2">
        <v>100</v>
      </c>
      <c r="G103" s="2">
        <v>3.9550000000000001</v>
      </c>
      <c r="H103" s="2">
        <v>17.170000000000002</v>
      </c>
      <c r="I103" s="2">
        <v>45.66</v>
      </c>
      <c r="J103" s="2">
        <v>0</v>
      </c>
      <c r="K103" s="3">
        <v>20.399999999999999</v>
      </c>
      <c r="L103" s="3">
        <v>10.812110000000001</v>
      </c>
      <c r="N103" s="6">
        <f t="shared" si="37"/>
        <v>3.8969842034074094</v>
      </c>
      <c r="O103" s="6">
        <f t="shared" si="38"/>
        <v>21.228923352148151</v>
      </c>
      <c r="P103" s="6">
        <f t="shared" si="39"/>
        <v>3.0489946666666672</v>
      </c>
      <c r="Q103" s="6">
        <f t="shared" si="31"/>
        <v>4.6687803965220507</v>
      </c>
      <c r="R103" s="6">
        <f t="shared" si="40"/>
        <v>4.8698184864860083</v>
      </c>
      <c r="S103" s="6">
        <f t="shared" si="41"/>
        <v>7.2568686857142843</v>
      </c>
      <c r="T103" s="6">
        <f t="shared" si="42"/>
        <v>5.3102486563559035</v>
      </c>
      <c r="U103" s="6">
        <f t="shared" si="43"/>
        <v>23.525051550250282</v>
      </c>
      <c r="X103" s="6"/>
      <c r="Y103" s="6"/>
      <c r="Z103" s="25"/>
      <c r="AA103" s="25"/>
      <c r="AB103" s="25"/>
      <c r="AC103" s="25"/>
      <c r="AD103" s="6">
        <f t="shared" si="32"/>
        <v>7.4849999999999994</v>
      </c>
      <c r="AE103" s="6">
        <f t="shared" si="33"/>
        <v>27.17</v>
      </c>
      <c r="AF103" s="6">
        <f t="shared" si="34"/>
        <v>3.7603699753463684</v>
      </c>
      <c r="AG103" s="6">
        <f t="shared" si="35"/>
        <v>1.6957992108184095</v>
      </c>
      <c r="AH103" s="6">
        <f t="shared" si="44"/>
        <v>1.0322853822639795</v>
      </c>
      <c r="AI103" s="6">
        <f t="shared" si="45"/>
        <v>7.059958182419486E-2</v>
      </c>
      <c r="AJ103" s="6">
        <f t="shared" si="46"/>
        <v>0.28047193836112322</v>
      </c>
      <c r="AK103" s="6">
        <f t="shared" si="47"/>
        <v>0.75181344390285632</v>
      </c>
      <c r="AL103" s="6">
        <f t="shared" si="36"/>
        <v>0.72809999999999997</v>
      </c>
      <c r="AM103" s="6">
        <v>12.4</v>
      </c>
      <c r="AN103" s="6">
        <f t="shared" si="48"/>
        <v>24.588666666666668</v>
      </c>
    </row>
    <row r="104" spans="1:40" x14ac:dyDescent="0.2">
      <c r="A104" s="1">
        <f t="shared" si="49"/>
        <v>99</v>
      </c>
      <c r="B104" s="2">
        <v>22.73</v>
      </c>
      <c r="C104" s="2">
        <v>88.208437499999988</v>
      </c>
      <c r="D104" s="2">
        <v>0.64900000000000002</v>
      </c>
      <c r="E104" s="2">
        <v>27.44</v>
      </c>
      <c r="F104" s="2">
        <v>100</v>
      </c>
      <c r="G104" s="2">
        <v>3.476</v>
      </c>
      <c r="H104" s="2">
        <v>19.86</v>
      </c>
      <c r="I104" s="2">
        <v>59.32</v>
      </c>
      <c r="J104" s="2">
        <v>1.27</v>
      </c>
      <c r="K104" s="3">
        <v>6.4450000000000003</v>
      </c>
      <c r="L104" s="3">
        <v>16.350000000000001</v>
      </c>
      <c r="N104" s="6">
        <f t="shared" si="37"/>
        <v>3.8969842034074094</v>
      </c>
      <c r="O104" s="6">
        <f t="shared" si="38"/>
        <v>21.228923352148151</v>
      </c>
      <c r="P104" s="6">
        <f t="shared" si="39"/>
        <v>3.0489946666666672</v>
      </c>
      <c r="Q104" s="6">
        <f t="shared" si="31"/>
        <v>3.1824436880125742</v>
      </c>
      <c r="R104" s="6">
        <f t="shared" si="40"/>
        <v>3.3194799900268022</v>
      </c>
      <c r="S104" s="6">
        <f t="shared" si="41"/>
        <v>2.2366230814285708</v>
      </c>
      <c r="T104" s="6">
        <f t="shared" si="42"/>
        <v>2.1265304396431608</v>
      </c>
      <c r="U104" s="6">
        <f t="shared" si="43"/>
        <v>19.064586334298198</v>
      </c>
      <c r="X104" s="6"/>
      <c r="Y104" s="6"/>
      <c r="Z104" s="25"/>
      <c r="AA104" s="25"/>
      <c r="AB104" s="25"/>
      <c r="AC104" s="25"/>
      <c r="AD104" s="6">
        <f t="shared" si="32"/>
        <v>3.7900000000000009</v>
      </c>
      <c r="AE104" s="6">
        <f t="shared" si="33"/>
        <v>20.34</v>
      </c>
      <c r="AF104" s="6">
        <f t="shared" si="34"/>
        <v>2.9536106177572705</v>
      </c>
      <c r="AG104" s="6">
        <f t="shared" si="35"/>
        <v>1.9684551893499898</v>
      </c>
      <c r="AH104" s="6">
        <f t="shared" si="44"/>
        <v>0.49257771420364038</v>
      </c>
      <c r="AI104" s="6">
        <f t="shared" si="45"/>
        <v>3.4728683411404691E-2</v>
      </c>
      <c r="AJ104" s="6">
        <f t="shared" si="46"/>
        <v>0.10019030706902045</v>
      </c>
      <c r="AK104" s="6">
        <f t="shared" si="47"/>
        <v>0.39238740713461995</v>
      </c>
      <c r="AL104" s="6">
        <f t="shared" si="36"/>
        <v>0.71029999999999993</v>
      </c>
      <c r="AM104" s="6">
        <v>12.4</v>
      </c>
      <c r="AN104" s="6">
        <f t="shared" si="48"/>
        <v>24.588666666666668</v>
      </c>
    </row>
    <row r="105" spans="1:40" x14ac:dyDescent="0.2">
      <c r="A105" s="1">
        <f t="shared" si="49"/>
        <v>100</v>
      </c>
      <c r="B105" s="2">
        <v>23.38</v>
      </c>
      <c r="C105" s="2">
        <v>83.363020833333337</v>
      </c>
      <c r="D105" s="2">
        <v>1.107</v>
      </c>
      <c r="E105" s="2">
        <v>29.88</v>
      </c>
      <c r="F105" s="2">
        <v>100</v>
      </c>
      <c r="G105" s="2">
        <v>4.9939999999999998</v>
      </c>
      <c r="H105" s="2">
        <v>19.850000000000001</v>
      </c>
      <c r="I105" s="2">
        <v>57.68</v>
      </c>
      <c r="J105" s="2">
        <v>3.556</v>
      </c>
      <c r="K105" s="3">
        <v>16.579999999999998</v>
      </c>
      <c r="L105" s="3">
        <v>8.9262599999999992</v>
      </c>
      <c r="N105" s="6">
        <f t="shared" si="37"/>
        <v>3.8969842034074094</v>
      </c>
      <c r="O105" s="6">
        <f t="shared" si="38"/>
        <v>21.228923352148151</v>
      </c>
      <c r="P105" s="6">
        <f t="shared" si="39"/>
        <v>3.0489946666666672</v>
      </c>
      <c r="Q105" s="6">
        <f t="shared" si="31"/>
        <v>3.719515132821237</v>
      </c>
      <c r="R105" s="6">
        <f t="shared" si="40"/>
        <v>3.879677777963308</v>
      </c>
      <c r="S105" s="6">
        <f t="shared" si="41"/>
        <v>5.8064486399999984</v>
      </c>
      <c r="T105" s="6">
        <f t="shared" si="42"/>
        <v>3.9675030617251128</v>
      </c>
      <c r="U105" s="6">
        <f t="shared" si="43"/>
        <v>20.614618032759868</v>
      </c>
      <c r="X105" s="6"/>
      <c r="Y105" s="6"/>
      <c r="Z105" s="25"/>
      <c r="AA105" s="25"/>
      <c r="AB105" s="25"/>
      <c r="AC105" s="25"/>
      <c r="AD105" s="6">
        <f t="shared" si="32"/>
        <v>5.0149999999999988</v>
      </c>
      <c r="AE105" s="6">
        <f t="shared" si="33"/>
        <v>21.16</v>
      </c>
      <c r="AF105" s="6">
        <f t="shared" si="34"/>
        <v>3.3512441031381464</v>
      </c>
      <c r="AG105" s="6">
        <f t="shared" si="35"/>
        <v>1.9673744318560986</v>
      </c>
      <c r="AH105" s="6">
        <f t="shared" si="44"/>
        <v>0.69193483564102387</v>
      </c>
      <c r="AI105" s="6">
        <f t="shared" si="45"/>
        <v>4.8292151207143828E-2</v>
      </c>
      <c r="AJ105" s="6">
        <f t="shared" si="46"/>
        <v>0.14641341122164064</v>
      </c>
      <c r="AK105" s="6">
        <f t="shared" si="47"/>
        <v>0.54552142441938323</v>
      </c>
      <c r="AL105" s="6">
        <f t="shared" si="36"/>
        <v>0.71679999999999999</v>
      </c>
      <c r="AM105" s="6">
        <v>12.4</v>
      </c>
      <c r="AN105" s="6">
        <f t="shared" si="48"/>
        <v>24.588666666666668</v>
      </c>
    </row>
    <row r="106" spans="1:40" x14ac:dyDescent="0.2">
      <c r="A106" s="1">
        <f t="shared" si="49"/>
        <v>101</v>
      </c>
      <c r="B106" s="2">
        <v>25.06</v>
      </c>
      <c r="C106" s="2">
        <v>78.079687499999991</v>
      </c>
      <c r="D106" s="2">
        <v>0.76800000000000002</v>
      </c>
      <c r="E106" s="2">
        <v>31.76</v>
      </c>
      <c r="F106" s="2">
        <v>100</v>
      </c>
      <c r="G106" s="2">
        <v>3.6349999999999998</v>
      </c>
      <c r="H106" s="2">
        <v>18.940000000000001</v>
      </c>
      <c r="I106" s="2">
        <v>46.62</v>
      </c>
      <c r="J106" s="2">
        <v>0.254</v>
      </c>
      <c r="K106" s="3">
        <v>19.760000000000002</v>
      </c>
      <c r="L106" s="3">
        <v>10.668620000000001</v>
      </c>
      <c r="N106" s="6">
        <f t="shared" si="37"/>
        <v>3.8969842034074094</v>
      </c>
      <c r="O106" s="6">
        <f t="shared" si="38"/>
        <v>21.228923352148151</v>
      </c>
      <c r="P106" s="6">
        <f t="shared" si="39"/>
        <v>3.0489946666666672</v>
      </c>
      <c r="Q106" s="6">
        <f t="shared" si="31"/>
        <v>4.3766891308809521</v>
      </c>
      <c r="R106" s="6">
        <f t="shared" si="40"/>
        <v>4.5651497455403565</v>
      </c>
      <c r="S106" s="6">
        <f t="shared" si="41"/>
        <v>7.0823001600000008</v>
      </c>
      <c r="T106" s="6">
        <f t="shared" si="42"/>
        <v>4.773205450810825</v>
      </c>
      <c r="U106" s="6">
        <f t="shared" si="43"/>
        <v>25.040203113145587</v>
      </c>
      <c r="X106" s="6"/>
      <c r="Y106" s="6"/>
      <c r="Z106" s="25"/>
      <c r="AA106" s="25"/>
      <c r="AB106" s="25"/>
      <c r="AC106" s="25"/>
      <c r="AD106" s="6">
        <f t="shared" si="32"/>
        <v>6.41</v>
      </c>
      <c r="AE106" s="6">
        <f t="shared" si="33"/>
        <v>26.69</v>
      </c>
      <c r="AF106" s="6">
        <f t="shared" si="34"/>
        <v>3.6886819527314048</v>
      </c>
      <c r="AG106" s="6">
        <f t="shared" si="35"/>
        <v>1.8711745452044068</v>
      </c>
      <c r="AH106" s="6">
        <f t="shared" si="44"/>
        <v>0.90875370376349895</v>
      </c>
      <c r="AI106" s="6">
        <f t="shared" si="45"/>
        <v>6.2700564175414475E-2</v>
      </c>
      <c r="AJ106" s="6">
        <f t="shared" si="46"/>
        <v>0.24254636353447789</v>
      </c>
      <c r="AK106" s="6">
        <f t="shared" si="47"/>
        <v>0.66620734022902106</v>
      </c>
      <c r="AL106" s="6">
        <f t="shared" si="36"/>
        <v>0.73360000000000003</v>
      </c>
      <c r="AM106" s="6">
        <v>12.4</v>
      </c>
      <c r="AN106" s="6">
        <f t="shared" si="48"/>
        <v>24.588666666666668</v>
      </c>
    </row>
    <row r="107" spans="1:40" x14ac:dyDescent="0.2">
      <c r="A107" s="1">
        <f t="shared" si="49"/>
        <v>102</v>
      </c>
      <c r="B107" s="2">
        <v>24.92</v>
      </c>
      <c r="C107" s="2">
        <v>80.344059999999999</v>
      </c>
      <c r="D107" s="2">
        <v>1.486</v>
      </c>
      <c r="E107" s="2">
        <v>31.08</v>
      </c>
      <c r="F107" s="2">
        <v>98.2</v>
      </c>
      <c r="G107" s="2">
        <v>7.0709999999999997</v>
      </c>
      <c r="H107" s="2">
        <v>21.44</v>
      </c>
      <c r="I107" s="2">
        <v>52.13</v>
      </c>
      <c r="J107" s="2">
        <v>0</v>
      </c>
      <c r="K107" s="3">
        <v>14.12</v>
      </c>
      <c r="L107" s="3">
        <v>7.4848990000000004</v>
      </c>
      <c r="N107" s="6">
        <f t="shared" si="37"/>
        <v>3.8969842034074094</v>
      </c>
      <c r="O107" s="6">
        <f t="shared" si="38"/>
        <v>21.228923352148151</v>
      </c>
      <c r="P107" s="6">
        <f t="shared" si="39"/>
        <v>3.0489946666666672</v>
      </c>
      <c r="Q107" s="6">
        <f t="shared" si="31"/>
        <v>3.7828514062101966</v>
      </c>
      <c r="R107" s="6">
        <f t="shared" si="40"/>
        <v>3.9457413167933741</v>
      </c>
      <c r="S107" s="6">
        <f t="shared" si="41"/>
        <v>5.0511758399999982</v>
      </c>
      <c r="T107" s="6">
        <f t="shared" si="42"/>
        <v>4.0087964530498406</v>
      </c>
      <c r="U107" s="6">
        <f t="shared" si="43"/>
        <v>24.645767350199257</v>
      </c>
      <c r="X107" s="6"/>
      <c r="Y107" s="6"/>
      <c r="Z107" s="25"/>
      <c r="AA107" s="25"/>
      <c r="AB107" s="25"/>
      <c r="AC107" s="25"/>
      <c r="AD107" s="6">
        <f t="shared" si="32"/>
        <v>4.8199999999999985</v>
      </c>
      <c r="AE107" s="6">
        <f t="shared" si="33"/>
        <v>23.035</v>
      </c>
      <c r="AF107" s="6">
        <f t="shared" si="34"/>
        <v>3.5633645262870828</v>
      </c>
      <c r="AG107" s="6">
        <f t="shared" si="35"/>
        <v>2.1458867267390311</v>
      </c>
      <c r="AH107" s="6">
        <f t="shared" si="44"/>
        <v>0.70873889977402582</v>
      </c>
      <c r="AI107" s="6">
        <f t="shared" si="45"/>
        <v>4.9544664703654082E-2</v>
      </c>
      <c r="AJ107" s="6">
        <f t="shared" si="46"/>
        <v>0.16325800556294684</v>
      </c>
      <c r="AK107" s="6">
        <f t="shared" si="47"/>
        <v>0.54548089421107893</v>
      </c>
      <c r="AL107" s="6">
        <f t="shared" si="36"/>
        <v>0.73219999999999996</v>
      </c>
      <c r="AM107" s="6">
        <v>12.4</v>
      </c>
      <c r="AN107" s="6">
        <f t="shared" si="48"/>
        <v>24.588666666666668</v>
      </c>
    </row>
    <row r="108" spans="1:40" x14ac:dyDescent="0.2">
      <c r="A108" s="1">
        <f t="shared" si="49"/>
        <v>103</v>
      </c>
      <c r="B108" s="2">
        <v>24.95</v>
      </c>
      <c r="C108" s="2">
        <v>76.845208333333332</v>
      </c>
      <c r="D108" s="2">
        <v>1.5529999999999999</v>
      </c>
      <c r="E108" s="2">
        <v>31.22</v>
      </c>
      <c r="F108" s="2">
        <v>92.1</v>
      </c>
      <c r="G108" s="2">
        <v>5.0730000000000004</v>
      </c>
      <c r="H108" s="2">
        <v>21.01</v>
      </c>
      <c r="I108" s="2">
        <v>52.03</v>
      </c>
      <c r="J108" s="2">
        <v>2.032</v>
      </c>
      <c r="K108" s="3">
        <v>15.67</v>
      </c>
      <c r="L108" s="3">
        <v>8.2071299999999994</v>
      </c>
      <c r="N108" s="6">
        <f t="shared" si="37"/>
        <v>3.8969842034074094</v>
      </c>
      <c r="O108" s="6">
        <f t="shared" si="38"/>
        <v>21.228923352148151</v>
      </c>
      <c r="P108" s="6">
        <f t="shared" si="39"/>
        <v>3.0489946666666672</v>
      </c>
      <c r="Q108" s="6">
        <f t="shared" si="31"/>
        <v>3.8958166673380559</v>
      </c>
      <c r="R108" s="6">
        <f t="shared" si="40"/>
        <v>4.0635708718910983</v>
      </c>
      <c r="S108" s="6">
        <f t="shared" si="41"/>
        <v>5.6079572142857135</v>
      </c>
      <c r="T108" s="6">
        <f t="shared" si="42"/>
        <v>4.172145682035449</v>
      </c>
      <c r="U108" s="6">
        <f t="shared" si="43"/>
        <v>24.731795155664198</v>
      </c>
      <c r="X108" s="6"/>
      <c r="Y108" s="6"/>
      <c r="Z108" s="25"/>
      <c r="AA108" s="25"/>
      <c r="AB108" s="25"/>
      <c r="AC108" s="25"/>
      <c r="AD108" s="6">
        <f t="shared" si="32"/>
        <v>5.1049999999999986</v>
      </c>
      <c r="AE108" s="6">
        <f t="shared" si="33"/>
        <v>20.034999999999997</v>
      </c>
      <c r="AF108" s="6">
        <f t="shared" si="34"/>
        <v>3.5888575789640913</v>
      </c>
      <c r="AG108" s="6">
        <f t="shared" si="35"/>
        <v>2.0962643832179353</v>
      </c>
      <c r="AH108" s="6">
        <f t="shared" si="44"/>
        <v>0.746296597873078</v>
      </c>
      <c r="AI108" s="6">
        <f t="shared" si="45"/>
        <v>5.2047547311674255E-2</v>
      </c>
      <c r="AJ108" s="6">
        <f t="shared" si="46"/>
        <v>0.14952052338387115</v>
      </c>
      <c r="AK108" s="6">
        <f t="shared" si="47"/>
        <v>0.59677607448920689</v>
      </c>
      <c r="AL108" s="6">
        <f t="shared" si="36"/>
        <v>0.73249999999999993</v>
      </c>
      <c r="AM108" s="6">
        <v>12.4</v>
      </c>
      <c r="AN108" s="6">
        <f t="shared" si="48"/>
        <v>24.588666666666668</v>
      </c>
    </row>
    <row r="109" spans="1:40" x14ac:dyDescent="0.2">
      <c r="A109" s="1">
        <f t="shared" si="49"/>
        <v>104</v>
      </c>
      <c r="B109" s="2">
        <v>25.61</v>
      </c>
      <c r="C109" s="2">
        <v>71.916460000000001</v>
      </c>
      <c r="D109" s="2">
        <v>1.2729999999999999</v>
      </c>
      <c r="E109" s="2">
        <v>32.14</v>
      </c>
      <c r="F109" s="2">
        <v>96.8</v>
      </c>
      <c r="G109" s="2">
        <v>4.8339999999999996</v>
      </c>
      <c r="H109" s="2">
        <v>19.57</v>
      </c>
      <c r="I109" s="2">
        <v>45.87</v>
      </c>
      <c r="J109" s="2">
        <v>0</v>
      </c>
      <c r="K109" s="3">
        <v>18.57</v>
      </c>
      <c r="L109" s="3">
        <v>10.43723</v>
      </c>
      <c r="N109" s="6">
        <f t="shared" si="37"/>
        <v>3.8969842034074094</v>
      </c>
      <c r="O109" s="6">
        <f t="shared" si="38"/>
        <v>21.228923352148151</v>
      </c>
      <c r="P109" s="6">
        <f t="shared" si="39"/>
        <v>3.0489946666666672</v>
      </c>
      <c r="Q109" s="6">
        <f t="shared" si="31"/>
        <v>4.3894180566676626</v>
      </c>
      <c r="R109" s="6">
        <f t="shared" si="40"/>
        <v>4.578426779978602</v>
      </c>
      <c r="S109" s="6">
        <f t="shared" si="41"/>
        <v>6.7056853628571425</v>
      </c>
      <c r="T109" s="6">
        <f t="shared" si="42"/>
        <v>4.8797404266625479</v>
      </c>
      <c r="U109" s="6">
        <f t="shared" si="43"/>
        <v>26.63347241756863</v>
      </c>
      <c r="X109" s="6"/>
      <c r="Y109" s="6"/>
      <c r="Z109" s="25"/>
      <c r="AA109" s="25"/>
      <c r="AB109" s="25"/>
      <c r="AC109" s="25"/>
      <c r="AD109" s="6">
        <f t="shared" si="32"/>
        <v>6.2850000000000001</v>
      </c>
      <c r="AE109" s="6">
        <f t="shared" si="33"/>
        <v>25.465</v>
      </c>
      <c r="AF109" s="6">
        <f t="shared" si="34"/>
        <v>3.7603699753463684</v>
      </c>
      <c r="AG109" s="6">
        <f t="shared" si="35"/>
        <v>1.9373234479642618</v>
      </c>
      <c r="AH109" s="6">
        <f t="shared" si="44"/>
        <v>0.9115232636910533</v>
      </c>
      <c r="AI109" s="6">
        <f t="shared" si="45"/>
        <v>6.2956217838079268E-2</v>
      </c>
      <c r="AJ109" s="6">
        <f t="shared" si="46"/>
        <v>0.2321193990989267</v>
      </c>
      <c r="AK109" s="6">
        <f t="shared" si="47"/>
        <v>0.67940386459212654</v>
      </c>
      <c r="AL109" s="6">
        <f t="shared" si="36"/>
        <v>0.73909999999999998</v>
      </c>
      <c r="AM109" s="6">
        <v>12.4</v>
      </c>
      <c r="AN109" s="6">
        <f t="shared" si="48"/>
        <v>24.588666666666668</v>
      </c>
    </row>
    <row r="110" spans="1:40" x14ac:dyDescent="0.2">
      <c r="A110" s="1">
        <f t="shared" si="49"/>
        <v>105</v>
      </c>
      <c r="B110" s="2">
        <v>24.48</v>
      </c>
      <c r="C110" s="2">
        <v>82.956249999999997</v>
      </c>
      <c r="D110" s="2">
        <v>0.98399999999999999</v>
      </c>
      <c r="E110" s="2">
        <v>29.64</v>
      </c>
      <c r="F110" s="2">
        <v>100</v>
      </c>
      <c r="G110" s="2">
        <v>5.4729999999999999</v>
      </c>
      <c r="H110" s="2">
        <v>21.11</v>
      </c>
      <c r="I110" s="2">
        <v>55.49</v>
      </c>
      <c r="J110" s="2">
        <v>7.1120000000000001</v>
      </c>
      <c r="K110" s="3">
        <v>8.91</v>
      </c>
      <c r="L110" s="3">
        <v>4.1003480000000003</v>
      </c>
      <c r="N110" s="6">
        <f t="shared" si="37"/>
        <v>3.8969842034074094</v>
      </c>
      <c r="O110" s="6">
        <f t="shared" si="38"/>
        <v>21.228923352148151</v>
      </c>
      <c r="P110" s="6">
        <f t="shared" si="39"/>
        <v>3.0489946666666672</v>
      </c>
      <c r="Q110" s="6">
        <f t="shared" si="31"/>
        <v>3.5217539907067654</v>
      </c>
      <c r="R110" s="6">
        <f t="shared" si="40"/>
        <v>3.6734010238681569</v>
      </c>
      <c r="S110" s="6">
        <f t="shared" si="41"/>
        <v>3.1682381657142851</v>
      </c>
      <c r="T110" s="6">
        <f t="shared" si="42"/>
        <v>3.0071962737349733</v>
      </c>
      <c r="U110" s="6">
        <f t="shared" si="43"/>
        <v>23.438695440315911</v>
      </c>
      <c r="X110" s="6"/>
      <c r="Y110" s="6"/>
      <c r="Z110" s="25"/>
      <c r="AA110" s="25"/>
      <c r="AB110" s="25"/>
      <c r="AC110" s="25"/>
      <c r="AD110" s="6">
        <f t="shared" si="32"/>
        <v>4.2650000000000006</v>
      </c>
      <c r="AE110" s="6">
        <f t="shared" si="33"/>
        <v>22.254999999999999</v>
      </c>
      <c r="AF110" s="6">
        <f t="shared" si="34"/>
        <v>3.3101668511467879</v>
      </c>
      <c r="AG110" s="6">
        <f t="shared" si="35"/>
        <v>2.1077139328922474</v>
      </c>
      <c r="AH110" s="6">
        <f t="shared" si="44"/>
        <v>0.60122645912727024</v>
      </c>
      <c r="AI110" s="6">
        <f t="shared" si="45"/>
        <v>4.2222312781220128E-2</v>
      </c>
      <c r="AJ110" s="6">
        <f t="shared" si="46"/>
        <v>0.13380294847877397</v>
      </c>
      <c r="AK110" s="6">
        <f t="shared" si="47"/>
        <v>0.4674235106484963</v>
      </c>
      <c r="AL110" s="6">
        <f t="shared" si="36"/>
        <v>0.7278</v>
      </c>
      <c r="AM110" s="6">
        <v>12.4</v>
      </c>
      <c r="AN110" s="6">
        <f t="shared" si="48"/>
        <v>24.588666666666668</v>
      </c>
    </row>
    <row r="111" spans="1:40" x14ac:dyDescent="0.2">
      <c r="A111" s="1">
        <f t="shared" si="49"/>
        <v>106</v>
      </c>
      <c r="B111" s="2">
        <v>24.64</v>
      </c>
      <c r="C111" s="2">
        <v>83.411458333333329</v>
      </c>
      <c r="D111" s="2">
        <v>0.629</v>
      </c>
      <c r="E111" s="2">
        <v>30.6</v>
      </c>
      <c r="F111" s="2">
        <v>100</v>
      </c>
      <c r="G111" s="2">
        <v>5.633</v>
      </c>
      <c r="H111" s="2">
        <v>21.15</v>
      </c>
      <c r="I111" s="2">
        <v>47.2</v>
      </c>
      <c r="J111" s="2">
        <v>1.016</v>
      </c>
      <c r="K111" s="3">
        <v>13.86</v>
      </c>
      <c r="L111" s="3">
        <v>7.61768</v>
      </c>
      <c r="N111" s="6">
        <f t="shared" si="37"/>
        <v>3.8969842034074094</v>
      </c>
      <c r="O111" s="6">
        <f t="shared" si="38"/>
        <v>21.228923352148151</v>
      </c>
      <c r="P111" s="6">
        <f t="shared" si="39"/>
        <v>3.0489946666666672</v>
      </c>
      <c r="Q111" s="6">
        <f t="shared" si="31"/>
        <v>3.720838332380676</v>
      </c>
      <c r="R111" s="6">
        <f t="shared" si="40"/>
        <v>3.8810579546108679</v>
      </c>
      <c r="S111" s="6">
        <f t="shared" si="41"/>
        <v>4.9392050399999992</v>
      </c>
      <c r="T111" s="6">
        <f t="shared" si="42"/>
        <v>3.6045356954021637</v>
      </c>
      <c r="U111" s="6">
        <f t="shared" si="43"/>
        <v>23.871592582169487</v>
      </c>
      <c r="X111" s="6"/>
      <c r="Y111" s="6"/>
      <c r="Z111" s="25"/>
      <c r="AA111" s="25"/>
      <c r="AB111" s="25"/>
      <c r="AC111" s="25"/>
      <c r="AD111" s="6">
        <f t="shared" si="32"/>
        <v>4.7250000000000014</v>
      </c>
      <c r="AE111" s="6">
        <f t="shared" si="33"/>
        <v>26.4</v>
      </c>
      <c r="AF111" s="6">
        <f t="shared" si="34"/>
        <v>3.4771532833275658</v>
      </c>
      <c r="AG111" s="6">
        <f t="shared" si="35"/>
        <v>2.1123090555515196</v>
      </c>
      <c r="AH111" s="6">
        <f t="shared" si="44"/>
        <v>0.6824221138880231</v>
      </c>
      <c r="AI111" s="6">
        <f t="shared" si="45"/>
        <v>4.7742437493689324E-2</v>
      </c>
      <c r="AJ111" s="6">
        <f t="shared" si="46"/>
        <v>0.18015943806643808</v>
      </c>
      <c r="AK111" s="6">
        <f t="shared" si="47"/>
        <v>0.50226267582158501</v>
      </c>
      <c r="AL111" s="6">
        <f t="shared" si="36"/>
        <v>0.72940000000000005</v>
      </c>
      <c r="AM111" s="6">
        <v>12.4</v>
      </c>
      <c r="AN111" s="6">
        <f t="shared" si="48"/>
        <v>24.588666666666668</v>
      </c>
    </row>
    <row r="112" spans="1:40" x14ac:dyDescent="0.2">
      <c r="A112" s="1">
        <f t="shared" si="49"/>
        <v>107</v>
      </c>
      <c r="B112" s="2">
        <v>25.85</v>
      </c>
      <c r="C112" s="2">
        <v>78.957187499999989</v>
      </c>
      <c r="D112" s="2">
        <v>0.89</v>
      </c>
      <c r="E112" s="2">
        <v>31.94</v>
      </c>
      <c r="F112" s="2">
        <v>100</v>
      </c>
      <c r="G112" s="2">
        <v>5.5529999999999999</v>
      </c>
      <c r="H112" s="2">
        <v>21.24</v>
      </c>
      <c r="I112" s="2">
        <v>50.15</v>
      </c>
      <c r="J112" s="2">
        <v>26.16</v>
      </c>
      <c r="K112" s="3">
        <v>16.78</v>
      </c>
      <c r="L112" s="3">
        <v>9.7221849999999996</v>
      </c>
      <c r="N112" s="6">
        <f t="shared" si="37"/>
        <v>3.8969842034074094</v>
      </c>
      <c r="O112" s="6">
        <f t="shared" si="38"/>
        <v>21.228923352148151</v>
      </c>
      <c r="P112" s="6">
        <f t="shared" si="39"/>
        <v>3.0489946666666672</v>
      </c>
      <c r="Q112" s="6">
        <f t="shared" si="31"/>
        <v>4.0721677304996673</v>
      </c>
      <c r="R112" s="6">
        <f t="shared" si="40"/>
        <v>4.2475156271714338</v>
      </c>
      <c r="S112" s="6">
        <f t="shared" si="41"/>
        <v>6.0789864857142861</v>
      </c>
      <c r="T112" s="6">
        <f t="shared" si="42"/>
        <v>4.3825810761883011</v>
      </c>
      <c r="U112" s="6">
        <f t="shared" si="43"/>
        <v>27.345422693734307</v>
      </c>
      <c r="X112" s="6"/>
      <c r="Y112" s="6"/>
      <c r="Z112" s="25"/>
      <c r="AA112" s="25"/>
      <c r="AB112" s="25"/>
      <c r="AC112" s="25"/>
      <c r="AD112" s="6">
        <f t="shared" si="32"/>
        <v>5.3500000000000014</v>
      </c>
      <c r="AE112" s="6">
        <f t="shared" si="33"/>
        <v>24.925000000000001</v>
      </c>
      <c r="AF112" s="6">
        <f t="shared" si="34"/>
        <v>3.7224897007056326</v>
      </c>
      <c r="AG112" s="6">
        <f t="shared" si="35"/>
        <v>2.1226801525517374</v>
      </c>
      <c r="AH112" s="6">
        <f t="shared" si="44"/>
        <v>0.7999047740769476</v>
      </c>
      <c r="AI112" s="6">
        <f t="shared" si="45"/>
        <v>5.5673644448960266E-2</v>
      </c>
      <c r="AJ112" s="6">
        <f t="shared" si="46"/>
        <v>0.19937626493867922</v>
      </c>
      <c r="AK112" s="6">
        <f t="shared" si="47"/>
        <v>0.60052850913826838</v>
      </c>
      <c r="AL112" s="6">
        <f t="shared" si="36"/>
        <v>0.74150000000000005</v>
      </c>
      <c r="AM112" s="6">
        <v>12.4</v>
      </c>
      <c r="AN112" s="6">
        <f t="shared" si="48"/>
        <v>24.588666666666668</v>
      </c>
    </row>
    <row r="113" spans="1:40" x14ac:dyDescent="0.2">
      <c r="A113" s="1">
        <f t="shared" si="49"/>
        <v>108</v>
      </c>
      <c r="B113" s="2">
        <v>24.12</v>
      </c>
      <c r="C113" s="2">
        <v>91.375312500000007</v>
      </c>
      <c r="D113" s="2">
        <v>0.66500000000000004</v>
      </c>
      <c r="E113" s="2">
        <v>28.44</v>
      </c>
      <c r="F113" s="2">
        <v>100</v>
      </c>
      <c r="G113" s="2">
        <v>4.5140000000000002</v>
      </c>
      <c r="H113" s="2">
        <v>21.3</v>
      </c>
      <c r="I113" s="2">
        <v>70.17</v>
      </c>
      <c r="J113" s="2">
        <v>0.76200000000000001</v>
      </c>
      <c r="K113" s="3">
        <v>9.8000000000000007</v>
      </c>
      <c r="L113" s="3">
        <v>3.9789349999999999</v>
      </c>
      <c r="N113" s="6">
        <f t="shared" si="37"/>
        <v>3.8969842034074094</v>
      </c>
      <c r="O113" s="6">
        <f t="shared" si="38"/>
        <v>21.228923352148151</v>
      </c>
      <c r="P113" s="6">
        <f t="shared" si="39"/>
        <v>3.0489946666666672</v>
      </c>
      <c r="Q113" s="6">
        <f t="shared" si="31"/>
        <v>3.1946251108647159</v>
      </c>
      <c r="R113" s="6">
        <f t="shared" si="40"/>
        <v>3.3321859460064949</v>
      </c>
      <c r="S113" s="6">
        <f t="shared" si="41"/>
        <v>3.4674695999999998</v>
      </c>
      <c r="T113" s="6">
        <f t="shared" si="42"/>
        <v>2.66606353253158</v>
      </c>
      <c r="U113" s="6">
        <f t="shared" si="43"/>
        <v>22.480186873615679</v>
      </c>
      <c r="X113" s="6"/>
      <c r="Y113" s="6"/>
      <c r="Z113" s="25"/>
      <c r="AA113" s="25"/>
      <c r="AB113" s="25"/>
      <c r="AC113" s="25"/>
      <c r="AD113" s="6">
        <f t="shared" si="32"/>
        <v>3.5700000000000003</v>
      </c>
      <c r="AE113" s="6">
        <f t="shared" si="33"/>
        <v>14.914999999999999</v>
      </c>
      <c r="AF113" s="6">
        <f t="shared" si="34"/>
        <v>3.1112949950397364</v>
      </c>
      <c r="AG113" s="6">
        <f t="shared" si="35"/>
        <v>2.1296189503635805</v>
      </c>
      <c r="AH113" s="6">
        <f t="shared" si="44"/>
        <v>0.49083802233807794</v>
      </c>
      <c r="AI113" s="6">
        <f t="shared" si="45"/>
        <v>3.4669272330624092E-2</v>
      </c>
      <c r="AJ113" s="6">
        <f t="shared" si="46"/>
        <v>7.3208491031724318E-2</v>
      </c>
      <c r="AK113" s="6">
        <f t="shared" si="47"/>
        <v>0.41762953130635361</v>
      </c>
      <c r="AL113" s="6">
        <f t="shared" si="36"/>
        <v>0.72419999999999995</v>
      </c>
      <c r="AM113" s="6">
        <v>12.4</v>
      </c>
      <c r="AN113" s="6">
        <f t="shared" si="48"/>
        <v>24.588666666666668</v>
      </c>
    </row>
    <row r="114" spans="1:40" x14ac:dyDescent="0.2">
      <c r="A114" s="1">
        <f t="shared" si="49"/>
        <v>109</v>
      </c>
      <c r="B114" s="2">
        <v>21.49</v>
      </c>
      <c r="C114" s="2">
        <v>80.73510416666663</v>
      </c>
      <c r="D114" s="2">
        <v>2.5510000000000002</v>
      </c>
      <c r="E114" s="2">
        <v>24.71</v>
      </c>
      <c r="F114" s="2">
        <v>100</v>
      </c>
      <c r="G114" s="2">
        <v>5.952</v>
      </c>
      <c r="H114" s="2">
        <v>17.170000000000002</v>
      </c>
      <c r="I114" s="2">
        <v>66.37</v>
      </c>
      <c r="J114" s="2">
        <v>0</v>
      </c>
      <c r="K114" s="3">
        <v>10.82</v>
      </c>
      <c r="L114" s="3">
        <v>5.4487969999999999</v>
      </c>
      <c r="N114" s="6">
        <f t="shared" si="37"/>
        <v>3.8969842034074094</v>
      </c>
      <c r="O114" s="6">
        <f t="shared" si="38"/>
        <v>21.228923352148151</v>
      </c>
      <c r="P114" s="6">
        <f t="shared" si="39"/>
        <v>3.0489946666666672</v>
      </c>
      <c r="Q114" s="6">
        <f t="shared" si="31"/>
        <v>3.0769272138238861</v>
      </c>
      <c r="R114" s="6">
        <f t="shared" si="40"/>
        <v>3.2094199672817441</v>
      </c>
      <c r="S114" s="6">
        <f t="shared" si="41"/>
        <v>3.6893386799999992</v>
      </c>
      <c r="T114" s="6">
        <f t="shared" si="42"/>
        <v>2.5569736582683706</v>
      </c>
      <c r="U114" s="6">
        <f t="shared" si="43"/>
        <v>16.350033836111404</v>
      </c>
      <c r="X114" s="6"/>
      <c r="Y114" s="6"/>
      <c r="Z114" s="25"/>
      <c r="AA114" s="25"/>
      <c r="AB114" s="25"/>
      <c r="AC114" s="25"/>
      <c r="AD114" s="6">
        <f t="shared" si="32"/>
        <v>3.7699999999999996</v>
      </c>
      <c r="AE114" s="6">
        <f t="shared" si="33"/>
        <v>16.814999999999998</v>
      </c>
      <c r="AF114" s="6">
        <f t="shared" si="34"/>
        <v>2.5580929164145298</v>
      </c>
      <c r="AG114" s="6">
        <f t="shared" si="35"/>
        <v>1.6957992108184095</v>
      </c>
      <c r="AH114" s="6">
        <f t="shared" si="44"/>
        <v>0.4311468527980602</v>
      </c>
      <c r="AI114" s="6">
        <f t="shared" si="45"/>
        <v>3.0402607906250146E-2</v>
      </c>
      <c r="AJ114" s="6">
        <f t="shared" si="46"/>
        <v>7.2497343297993802E-2</v>
      </c>
      <c r="AK114" s="6">
        <f t="shared" si="47"/>
        <v>0.35864950950006641</v>
      </c>
      <c r="AL114" s="6">
        <f t="shared" si="36"/>
        <v>0.69789999999999996</v>
      </c>
      <c r="AM114" s="6">
        <v>12.4</v>
      </c>
      <c r="AN114" s="6">
        <f t="shared" si="48"/>
        <v>24.588666666666668</v>
      </c>
    </row>
    <row r="115" spans="1:40" x14ac:dyDescent="0.2">
      <c r="A115" s="1">
        <f t="shared" si="49"/>
        <v>110</v>
      </c>
      <c r="B115" s="2">
        <v>20.32</v>
      </c>
      <c r="C115" s="2">
        <v>74.102812499999985</v>
      </c>
      <c r="D115" s="2">
        <v>1.7509999999999999</v>
      </c>
      <c r="E115" s="2">
        <v>27.97</v>
      </c>
      <c r="F115" s="2">
        <v>97</v>
      </c>
      <c r="G115" s="2">
        <v>5.2329999999999997</v>
      </c>
      <c r="H115" s="2">
        <v>14.1</v>
      </c>
      <c r="I115" s="2">
        <v>50.49</v>
      </c>
      <c r="J115" s="2">
        <v>0</v>
      </c>
      <c r="K115" s="1">
        <v>18.98</v>
      </c>
      <c r="L115" s="3">
        <v>8.3049140000000001</v>
      </c>
      <c r="N115" s="6">
        <f t="shared" si="37"/>
        <v>3.8969842034074094</v>
      </c>
      <c r="O115" s="6">
        <f t="shared" si="38"/>
        <v>21.228923352148151</v>
      </c>
      <c r="P115" s="6">
        <f t="shared" si="39"/>
        <v>3.0489946666666672</v>
      </c>
      <c r="Q115" s="6">
        <f t="shared" si="31"/>
        <v>4.0489334975970621</v>
      </c>
      <c r="R115" s="6">
        <f t="shared" si="40"/>
        <v>4.2232809261791333</v>
      </c>
      <c r="S115" s="6">
        <f t="shared" si="41"/>
        <v>6.3631914171428567</v>
      </c>
      <c r="T115" s="6">
        <f t="shared" si="42"/>
        <v>4.6095738353718829</v>
      </c>
      <c r="U115" s="6">
        <f t="shared" si="43"/>
        <v>14.049550010234015</v>
      </c>
      <c r="X115" s="6"/>
      <c r="Y115" s="6"/>
      <c r="Z115" s="25"/>
      <c r="AA115" s="25"/>
      <c r="AB115" s="25"/>
      <c r="AC115" s="25"/>
      <c r="AD115" s="6">
        <f t="shared" si="32"/>
        <v>6.9349999999999996</v>
      </c>
      <c r="AE115" s="6">
        <f t="shared" si="33"/>
        <v>23.254999999999999</v>
      </c>
      <c r="AF115" s="6">
        <f t="shared" si="34"/>
        <v>3.0362919658620307</v>
      </c>
      <c r="AG115" s="6">
        <f t="shared" si="35"/>
        <v>1.425592103912664</v>
      </c>
      <c r="AH115" s="6">
        <f t="shared" si="44"/>
        <v>0.80534993097468333</v>
      </c>
      <c r="AI115" s="6">
        <f t="shared" si="45"/>
        <v>5.5327465867529915E-2</v>
      </c>
      <c r="AJ115" s="6">
        <f t="shared" si="46"/>
        <v>0.18728412644816259</v>
      </c>
      <c r="AK115" s="6">
        <f t="shared" si="47"/>
        <v>0.61806580452652071</v>
      </c>
      <c r="AL115" s="6">
        <f t="shared" si="36"/>
        <v>0.68620000000000003</v>
      </c>
      <c r="AM115" s="6">
        <v>12.4</v>
      </c>
      <c r="AN115" s="6">
        <f t="shared" si="48"/>
        <v>24.588666666666668</v>
      </c>
    </row>
    <row r="116" spans="1:40" x14ac:dyDescent="0.2">
      <c r="A116" s="1">
        <f t="shared" si="49"/>
        <v>111</v>
      </c>
      <c r="B116" s="2">
        <v>21.19</v>
      </c>
      <c r="C116" s="2">
        <v>76.660309999999996</v>
      </c>
      <c r="D116" s="2">
        <v>0.84699999999999998</v>
      </c>
      <c r="E116" s="2">
        <v>30.7</v>
      </c>
      <c r="F116" s="2">
        <v>100</v>
      </c>
      <c r="G116" s="2">
        <v>4.9939999999999998</v>
      </c>
      <c r="H116" s="2">
        <v>13.05</v>
      </c>
      <c r="I116" s="2">
        <v>38.880000000000003</v>
      </c>
      <c r="J116" s="2">
        <v>0</v>
      </c>
      <c r="K116" s="1">
        <v>20.29</v>
      </c>
      <c r="L116" s="3">
        <v>9.8260579999999997</v>
      </c>
      <c r="N116" s="6">
        <f t="shared" si="37"/>
        <v>3.8969842034074094</v>
      </c>
      <c r="O116" s="6">
        <f t="shared" si="38"/>
        <v>21.228923352148151</v>
      </c>
      <c r="P116" s="6">
        <f t="shared" si="39"/>
        <v>3.0489946666666672</v>
      </c>
      <c r="Q116" s="6">
        <f t="shared" si="31"/>
        <v>4.6717017757726422</v>
      </c>
      <c r="R116" s="6">
        <f t="shared" si="40"/>
        <v>4.8728656605812315</v>
      </c>
      <c r="S116" s="6">
        <f t="shared" si="41"/>
        <v>6.8886231171428554</v>
      </c>
      <c r="T116" s="6">
        <f t="shared" si="42"/>
        <v>5.4516775415603549</v>
      </c>
      <c r="U116" s="6">
        <f t="shared" si="43"/>
        <v>15.7380559464849</v>
      </c>
      <c r="X116" s="6"/>
      <c r="Y116" s="6"/>
      <c r="Z116" s="25"/>
      <c r="AA116" s="25"/>
      <c r="AB116" s="25"/>
      <c r="AC116" s="25"/>
      <c r="AD116" s="6">
        <f t="shared" si="32"/>
        <v>8.8249999999999993</v>
      </c>
      <c r="AE116" s="6">
        <f t="shared" si="33"/>
        <v>30.56</v>
      </c>
      <c r="AF116" s="6">
        <f t="shared" si="34"/>
        <v>3.4949625465735186</v>
      </c>
      <c r="AG116" s="6">
        <f t="shared" si="35"/>
        <v>1.3422802521235493</v>
      </c>
      <c r="AH116" s="6">
        <f t="shared" si="44"/>
        <v>1.0763411472249846</v>
      </c>
      <c r="AI116" s="6">
        <f t="shared" si="45"/>
        <v>7.2813253825610103E-2</v>
      </c>
      <c r="AJ116" s="6">
        <f t="shared" si="46"/>
        <v>0.32892985459195528</v>
      </c>
      <c r="AK116" s="6">
        <f t="shared" si="47"/>
        <v>0.74741129263302941</v>
      </c>
      <c r="AL116" s="6">
        <f t="shared" si="36"/>
        <v>0.69489999999999996</v>
      </c>
      <c r="AM116" s="6">
        <v>12.4</v>
      </c>
      <c r="AN116" s="6">
        <f t="shared" si="48"/>
        <v>24.588666666666668</v>
      </c>
    </row>
    <row r="117" spans="1:40" x14ac:dyDescent="0.2">
      <c r="A117" s="1">
        <f t="shared" si="49"/>
        <v>112</v>
      </c>
      <c r="B117" s="2">
        <v>21.6</v>
      </c>
      <c r="C117" s="2">
        <v>77.657709999999994</v>
      </c>
      <c r="D117" s="2">
        <v>0.54</v>
      </c>
      <c r="E117" s="2">
        <v>30.07</v>
      </c>
      <c r="F117" s="2">
        <v>100</v>
      </c>
      <c r="G117" s="2">
        <v>3.7949999999999999</v>
      </c>
      <c r="H117" s="2">
        <v>15.15</v>
      </c>
      <c r="I117" s="2">
        <v>37.07</v>
      </c>
      <c r="J117" s="2">
        <v>0</v>
      </c>
      <c r="K117" s="1">
        <v>19.45</v>
      </c>
      <c r="L117" s="3">
        <v>9.6533829999999998</v>
      </c>
      <c r="N117" s="6">
        <f t="shared" si="37"/>
        <v>3.8969842034074094</v>
      </c>
      <c r="O117" s="6">
        <f t="shared" si="38"/>
        <v>21.228923352148151</v>
      </c>
      <c r="P117" s="6">
        <f t="shared" si="39"/>
        <v>3.0489946666666672</v>
      </c>
      <c r="Q117" s="6">
        <f t="shared" si="31"/>
        <v>4.3404039953041789</v>
      </c>
      <c r="R117" s="6">
        <f t="shared" si="40"/>
        <v>4.5273021688695723</v>
      </c>
      <c r="S117" s="6">
        <f t="shared" si="41"/>
        <v>6.642397285714285</v>
      </c>
      <c r="T117" s="6">
        <f t="shared" si="42"/>
        <v>4.6773924832608049</v>
      </c>
      <c r="U117" s="6">
        <f t="shared" si="43"/>
        <v>16.580910965516598</v>
      </c>
      <c r="X117" s="6"/>
      <c r="Y117" s="6"/>
      <c r="Z117" s="25"/>
      <c r="AA117" s="25"/>
      <c r="AB117" s="25"/>
      <c r="AC117" s="25"/>
      <c r="AD117" s="6">
        <f t="shared" si="32"/>
        <v>7.46</v>
      </c>
      <c r="AE117" s="6">
        <f t="shared" si="33"/>
        <v>31.465</v>
      </c>
      <c r="AF117" s="6">
        <f t="shared" si="34"/>
        <v>3.3840779626794641</v>
      </c>
      <c r="AG117" s="6">
        <f t="shared" si="35"/>
        <v>1.513411280961199</v>
      </c>
      <c r="AH117" s="6">
        <f t="shared" si="44"/>
        <v>0.93533334085913256</v>
      </c>
      <c r="AI117" s="6">
        <f t="shared" si="45"/>
        <v>6.3981951236079915E-2</v>
      </c>
      <c r="AJ117" s="6">
        <f t="shared" si="46"/>
        <v>0.29430263570132609</v>
      </c>
      <c r="AK117" s="6">
        <f t="shared" si="47"/>
        <v>0.64103070515780647</v>
      </c>
      <c r="AL117" s="6">
        <f t="shared" si="36"/>
        <v>0.69900000000000007</v>
      </c>
      <c r="AM117" s="6">
        <v>12.4</v>
      </c>
      <c r="AN117" s="6">
        <f t="shared" si="48"/>
        <v>24.588666666666668</v>
      </c>
    </row>
    <row r="118" spans="1:40" x14ac:dyDescent="0.2">
      <c r="A118" s="1">
        <f t="shared" si="49"/>
        <v>113</v>
      </c>
      <c r="B118" s="2">
        <v>22.28</v>
      </c>
      <c r="C118" s="2">
        <v>71.465833333333322</v>
      </c>
      <c r="D118" s="2">
        <v>0.77500000000000002</v>
      </c>
      <c r="E118" s="2">
        <v>31.08</v>
      </c>
      <c r="F118" s="2">
        <v>100</v>
      </c>
      <c r="G118" s="2">
        <v>4.1950000000000003</v>
      </c>
      <c r="H118" s="2">
        <v>14.05</v>
      </c>
      <c r="I118" s="2">
        <v>37.17</v>
      </c>
      <c r="J118" s="2">
        <v>0</v>
      </c>
      <c r="K118" s="3">
        <v>18.79</v>
      </c>
      <c r="L118" s="3">
        <v>9.1809980000000007</v>
      </c>
      <c r="N118" s="6">
        <f t="shared" si="37"/>
        <v>3.8969842034074094</v>
      </c>
      <c r="O118" s="6">
        <f t="shared" si="38"/>
        <v>21.228923352148151</v>
      </c>
      <c r="P118" s="6">
        <f t="shared" si="39"/>
        <v>3.0489946666666672</v>
      </c>
      <c r="Q118" s="6">
        <f t="shared" si="31"/>
        <v>4.7172029126086219</v>
      </c>
      <c r="R118" s="6">
        <f t="shared" si="40"/>
        <v>4.9203260803270501</v>
      </c>
      <c r="S118" s="6">
        <f t="shared" si="41"/>
        <v>6.4794254914285689</v>
      </c>
      <c r="T118" s="6">
        <f t="shared" si="42"/>
        <v>5.0980609784122413</v>
      </c>
      <c r="U118" s="6">
        <f t="shared" si="43"/>
        <v>18.052546967217893</v>
      </c>
      <c r="X118" s="6"/>
      <c r="Y118" s="6"/>
      <c r="Z118" s="25"/>
      <c r="AA118" s="25"/>
      <c r="AB118" s="25"/>
      <c r="AC118" s="25"/>
      <c r="AD118" s="6">
        <f t="shared" si="32"/>
        <v>8.5149999999999988</v>
      </c>
      <c r="AE118" s="6">
        <f t="shared" si="33"/>
        <v>31.414999999999999</v>
      </c>
      <c r="AF118" s="6">
        <f t="shared" si="34"/>
        <v>3.5633645262870828</v>
      </c>
      <c r="AG118" s="6">
        <f t="shared" si="35"/>
        <v>1.4215242668381416</v>
      </c>
      <c r="AH118" s="6">
        <f t="shared" si="44"/>
        <v>1.0709201297244706</v>
      </c>
      <c r="AI118" s="6">
        <f t="shared" si="45"/>
        <v>7.2629369606257307E-2</v>
      </c>
      <c r="AJ118" s="6">
        <f t="shared" si="46"/>
        <v>0.33642955875294239</v>
      </c>
      <c r="AK118" s="6">
        <f t="shared" si="47"/>
        <v>0.73449057097152814</v>
      </c>
      <c r="AL118" s="6">
        <f t="shared" si="36"/>
        <v>0.70579999999999998</v>
      </c>
      <c r="AM118" s="6">
        <v>12.4</v>
      </c>
      <c r="AN118" s="6">
        <f t="shared" si="48"/>
        <v>24.588666666666668</v>
      </c>
    </row>
    <row r="119" spans="1:40" x14ac:dyDescent="0.2">
      <c r="A119" s="1">
        <f t="shared" si="49"/>
        <v>114</v>
      </c>
      <c r="B119" s="2">
        <v>23.58</v>
      </c>
      <c r="C119" s="2">
        <v>67.344791666666694</v>
      </c>
      <c r="D119" s="2">
        <v>0.754</v>
      </c>
      <c r="E119" s="2">
        <v>31.95</v>
      </c>
      <c r="F119" s="2">
        <v>98.3</v>
      </c>
      <c r="G119" s="2">
        <v>3.875</v>
      </c>
      <c r="H119" s="2">
        <v>16.11</v>
      </c>
      <c r="I119" s="2">
        <v>33.340000000000003</v>
      </c>
      <c r="J119" s="2">
        <v>0</v>
      </c>
      <c r="K119" s="3">
        <v>18.510000000000002</v>
      </c>
      <c r="L119" s="3">
        <v>9.473865</v>
      </c>
      <c r="N119" s="6">
        <f t="shared" si="37"/>
        <v>3.8969842034074094</v>
      </c>
      <c r="O119" s="6">
        <f t="shared" si="38"/>
        <v>21.228923352148151</v>
      </c>
      <c r="P119" s="6">
        <f t="shared" si="39"/>
        <v>3.0489946666666672</v>
      </c>
      <c r="Q119" s="6">
        <f t="shared" si="31"/>
        <v>4.6969679432235978</v>
      </c>
      <c r="R119" s="6">
        <f t="shared" si="40"/>
        <v>4.899219791400272</v>
      </c>
      <c r="S119" s="6">
        <f t="shared" si="41"/>
        <v>6.5004369942857148</v>
      </c>
      <c r="T119" s="6">
        <f t="shared" si="42"/>
        <v>4.9498972811829924</v>
      </c>
      <c r="U119" s="6">
        <f t="shared" si="43"/>
        <v>21.117762598405669</v>
      </c>
      <c r="X119" s="6"/>
      <c r="Y119" s="6"/>
      <c r="Z119" s="25"/>
      <c r="AA119" s="25"/>
      <c r="AB119" s="25"/>
      <c r="AC119" s="25"/>
      <c r="AD119" s="6">
        <f t="shared" si="32"/>
        <v>7.92</v>
      </c>
      <c r="AE119" s="6">
        <f t="shared" si="33"/>
        <v>32.479999999999997</v>
      </c>
      <c r="AF119" s="6">
        <f t="shared" si="34"/>
        <v>3.7243757931311889</v>
      </c>
      <c r="AG119" s="6">
        <f t="shared" si="35"/>
        <v>1.597822424723923</v>
      </c>
      <c r="AH119" s="6">
        <f t="shared" si="44"/>
        <v>1.063276684203633</v>
      </c>
      <c r="AI119" s="6">
        <f t="shared" si="45"/>
        <v>7.2461357940038773E-2</v>
      </c>
      <c r="AJ119" s="6">
        <f t="shared" si="46"/>
        <v>0.34535226702933997</v>
      </c>
      <c r="AK119" s="6">
        <f t="shared" si="47"/>
        <v>0.71792441717429301</v>
      </c>
      <c r="AL119" s="6">
        <f t="shared" si="36"/>
        <v>0.71879999999999999</v>
      </c>
      <c r="AM119" s="6">
        <v>12.4</v>
      </c>
      <c r="AN119" s="6">
        <f t="shared" si="48"/>
        <v>24.588666666666668</v>
      </c>
    </row>
    <row r="120" spans="1:40" x14ac:dyDescent="0.2">
      <c r="A120" s="1">
        <f t="shared" si="49"/>
        <v>115</v>
      </c>
      <c r="B120" s="2">
        <v>23.45</v>
      </c>
      <c r="C120" s="2">
        <v>70.621458333333308</v>
      </c>
      <c r="D120" s="2">
        <v>0.72599999999999998</v>
      </c>
      <c r="E120" s="2">
        <v>31.85</v>
      </c>
      <c r="F120" s="2">
        <v>99.1</v>
      </c>
      <c r="G120" s="2">
        <v>3.5550000000000002</v>
      </c>
      <c r="H120" s="2">
        <v>16.11</v>
      </c>
      <c r="I120" s="2">
        <v>33.07</v>
      </c>
      <c r="J120" s="2">
        <v>0</v>
      </c>
      <c r="K120" s="3">
        <v>17.16</v>
      </c>
      <c r="L120" s="3">
        <v>8.4028720000000003</v>
      </c>
      <c r="N120" s="6">
        <f t="shared" si="37"/>
        <v>3.8969842034074094</v>
      </c>
      <c r="O120" s="6">
        <f t="shared" si="38"/>
        <v>21.228923352148151</v>
      </c>
      <c r="P120" s="6">
        <f t="shared" si="39"/>
        <v>3.0489946666666672</v>
      </c>
      <c r="Q120" s="6">
        <f t="shared" si="31"/>
        <v>4.6674087718293977</v>
      </c>
      <c r="R120" s="6">
        <f t="shared" si="40"/>
        <v>4.8683877995147862</v>
      </c>
      <c r="S120" s="6">
        <f t="shared" si="41"/>
        <v>6.0154379999999996</v>
      </c>
      <c r="T120" s="6">
        <f t="shared" si="42"/>
        <v>4.6659446331166761</v>
      </c>
      <c r="U120" s="6">
        <f t="shared" si="43"/>
        <v>20.793828795703423</v>
      </c>
      <c r="X120" s="6"/>
      <c r="Y120" s="6"/>
      <c r="Z120" s="25"/>
      <c r="AA120" s="25"/>
      <c r="AB120" s="25"/>
      <c r="AC120" s="25"/>
      <c r="AD120" s="6">
        <f t="shared" si="32"/>
        <v>7.870000000000001</v>
      </c>
      <c r="AE120" s="6">
        <f t="shared" si="33"/>
        <v>33.015000000000001</v>
      </c>
      <c r="AF120" s="6">
        <f t="shared" si="34"/>
        <v>3.7055522566442769</v>
      </c>
      <c r="AG120" s="6">
        <f t="shared" si="35"/>
        <v>1.597822424723923</v>
      </c>
      <c r="AH120" s="6">
        <f t="shared" si="44"/>
        <v>1.053864915960177</v>
      </c>
      <c r="AI120" s="6">
        <f t="shared" si="45"/>
        <v>7.1849251254176932E-2</v>
      </c>
      <c r="AJ120" s="6">
        <f t="shared" si="46"/>
        <v>0.34793350200425244</v>
      </c>
      <c r="AK120" s="6">
        <f t="shared" si="47"/>
        <v>0.70593141395592451</v>
      </c>
      <c r="AL120" s="6">
        <f t="shared" si="36"/>
        <v>0.71750000000000003</v>
      </c>
      <c r="AM120" s="6">
        <v>12.4</v>
      </c>
      <c r="AN120" s="6">
        <f t="shared" si="48"/>
        <v>24.588666666666668</v>
      </c>
    </row>
    <row r="121" spans="1:40" x14ac:dyDescent="0.2">
      <c r="A121" s="1">
        <f t="shared" si="49"/>
        <v>116</v>
      </c>
      <c r="B121" s="2">
        <v>24.79</v>
      </c>
      <c r="C121" s="2">
        <v>72.807604166666678</v>
      </c>
      <c r="D121" s="2">
        <v>1.355</v>
      </c>
      <c r="E121" s="2">
        <v>32.049999999999997</v>
      </c>
      <c r="F121" s="2">
        <v>99.1</v>
      </c>
      <c r="G121" s="2">
        <v>6.2720000000000002</v>
      </c>
      <c r="H121" s="2">
        <v>18.079999999999998</v>
      </c>
      <c r="I121" s="2">
        <v>35.979999999999997</v>
      </c>
      <c r="J121" s="2">
        <v>0</v>
      </c>
      <c r="K121" s="3">
        <v>17.75</v>
      </c>
      <c r="L121" s="3">
        <v>9.3638750000000002</v>
      </c>
      <c r="N121" s="6">
        <f t="shared" si="37"/>
        <v>3.8969842034074094</v>
      </c>
      <c r="O121" s="6">
        <f t="shared" si="38"/>
        <v>21.228923352148151</v>
      </c>
      <c r="P121" s="6">
        <f t="shared" si="39"/>
        <v>3.0489946666666672</v>
      </c>
      <c r="Q121" s="6">
        <f t="shared" si="31"/>
        <v>4.5399948928672487</v>
      </c>
      <c r="R121" s="6">
        <f t="shared" si="40"/>
        <v>4.7354874678420895</v>
      </c>
      <c r="S121" s="6">
        <f t="shared" si="41"/>
        <v>6.3384692142857144</v>
      </c>
      <c r="T121" s="6">
        <f t="shared" si="42"/>
        <v>4.9670896786112655</v>
      </c>
      <c r="U121" s="6">
        <f t="shared" si="43"/>
        <v>24.289642005277145</v>
      </c>
      <c r="X121" s="6"/>
      <c r="Y121" s="6"/>
      <c r="Z121" s="25"/>
      <c r="AA121" s="25"/>
      <c r="AB121" s="25"/>
      <c r="AC121" s="25"/>
      <c r="AD121" s="6">
        <f t="shared" si="32"/>
        <v>6.9849999999999994</v>
      </c>
      <c r="AE121" s="6">
        <f t="shared" si="33"/>
        <v>31.56</v>
      </c>
      <c r="AF121" s="6">
        <f t="shared" si="34"/>
        <v>3.7432825266006464</v>
      </c>
      <c r="AG121" s="6">
        <f t="shared" si="35"/>
        <v>1.784074105626523</v>
      </c>
      <c r="AH121" s="6">
        <f t="shared" si="44"/>
        <v>0.9796042104870617</v>
      </c>
      <c r="AI121" s="6">
        <f t="shared" si="45"/>
        <v>6.7271172329806769E-2</v>
      </c>
      <c r="AJ121" s="6">
        <f t="shared" si="46"/>
        <v>0.30916308882971666</v>
      </c>
      <c r="AK121" s="6">
        <f t="shared" si="47"/>
        <v>0.67044112165734504</v>
      </c>
      <c r="AL121" s="6">
        <f t="shared" si="36"/>
        <v>0.73089999999999999</v>
      </c>
      <c r="AM121" s="6">
        <v>12.4</v>
      </c>
      <c r="AN121" s="6">
        <f t="shared" si="48"/>
        <v>24.588666666666668</v>
      </c>
    </row>
    <row r="122" spans="1:40" x14ac:dyDescent="0.2">
      <c r="A122" s="1">
        <f t="shared" si="49"/>
        <v>117</v>
      </c>
      <c r="B122" s="2">
        <v>24.79</v>
      </c>
      <c r="C122" s="2">
        <v>76.251666666666708</v>
      </c>
      <c r="D122" s="2">
        <v>0.88900000000000001</v>
      </c>
      <c r="E122" s="2">
        <v>32.15</v>
      </c>
      <c r="F122" s="2">
        <v>100</v>
      </c>
      <c r="G122" s="2">
        <v>3.476</v>
      </c>
      <c r="H122" s="2">
        <v>18.22</v>
      </c>
      <c r="I122" s="2">
        <v>45.29</v>
      </c>
      <c r="J122" s="2">
        <v>0</v>
      </c>
      <c r="K122" s="3">
        <v>18.13</v>
      </c>
      <c r="L122" s="3">
        <v>9.7427580000000003</v>
      </c>
      <c r="N122" s="6">
        <f t="shared" si="37"/>
        <v>3.8969842034074094</v>
      </c>
      <c r="O122" s="6">
        <f t="shared" si="38"/>
        <v>21.228923352148151</v>
      </c>
      <c r="P122" s="6">
        <f t="shared" si="39"/>
        <v>3.0489946666666672</v>
      </c>
      <c r="Q122" s="6">
        <f t="shared" si="31"/>
        <v>4.5334905988498315</v>
      </c>
      <c r="R122" s="6">
        <f t="shared" si="40"/>
        <v>4.7287030983585403</v>
      </c>
      <c r="S122" s="6">
        <f t="shared" si="41"/>
        <v>6.4741660199999984</v>
      </c>
      <c r="T122" s="6">
        <f t="shared" si="42"/>
        <v>4.7644539576605647</v>
      </c>
      <c r="U122" s="6">
        <f t="shared" si="43"/>
        <v>24.287496244431367</v>
      </c>
      <c r="X122" s="6"/>
      <c r="Y122" s="6"/>
      <c r="Z122" s="25"/>
      <c r="AA122" s="25"/>
      <c r="AB122" s="25"/>
      <c r="AC122" s="25"/>
      <c r="AD122" s="6">
        <f t="shared" si="32"/>
        <v>6.9649999999999999</v>
      </c>
      <c r="AE122" s="6">
        <f t="shared" si="33"/>
        <v>27.355</v>
      </c>
      <c r="AF122" s="6">
        <f t="shared" si="34"/>
        <v>3.7622727658509616</v>
      </c>
      <c r="AG122" s="6">
        <f t="shared" si="35"/>
        <v>1.798006304663871</v>
      </c>
      <c r="AH122" s="6">
        <f t="shared" si="44"/>
        <v>0.98213323059354529</v>
      </c>
      <c r="AI122" s="6">
        <f t="shared" si="45"/>
        <v>6.7455889650512177E-2</v>
      </c>
      <c r="AJ122" s="6">
        <f t="shared" si="46"/>
        <v>0.26866254522886435</v>
      </c>
      <c r="AK122" s="6">
        <f t="shared" si="47"/>
        <v>0.71347068536468095</v>
      </c>
      <c r="AL122" s="6">
        <f t="shared" si="36"/>
        <v>0.73089999999999999</v>
      </c>
      <c r="AM122" s="6">
        <v>12.4</v>
      </c>
      <c r="AN122" s="6">
        <f t="shared" si="48"/>
        <v>24.588666666666668</v>
      </c>
    </row>
    <row r="123" spans="1:40" x14ac:dyDescent="0.2">
      <c r="A123" s="1">
        <f t="shared" si="49"/>
        <v>118</v>
      </c>
      <c r="B123" s="2">
        <v>25.6</v>
      </c>
      <c r="C123" s="2">
        <v>72.531149999999997</v>
      </c>
      <c r="D123" s="2">
        <v>0.88300000000000001</v>
      </c>
      <c r="E123" s="2">
        <v>32.82</v>
      </c>
      <c r="F123" s="2">
        <v>100</v>
      </c>
      <c r="G123" s="2">
        <v>5.0730000000000004</v>
      </c>
      <c r="H123" s="2">
        <v>18.510000000000002</v>
      </c>
      <c r="I123" s="2">
        <v>41.83</v>
      </c>
      <c r="J123" s="2">
        <v>0</v>
      </c>
      <c r="K123" s="3">
        <v>18.23</v>
      </c>
      <c r="L123" s="3">
        <v>10.01657</v>
      </c>
      <c r="N123" s="6">
        <f t="shared" si="37"/>
        <v>3.8969842034074094</v>
      </c>
      <c r="O123" s="6">
        <f t="shared" si="38"/>
        <v>21.228923352148151</v>
      </c>
      <c r="P123" s="6">
        <f t="shared" si="39"/>
        <v>3.0489946666666672</v>
      </c>
      <c r="Q123" s="6">
        <f t="shared" si="31"/>
        <v>4.6822981844711089</v>
      </c>
      <c r="R123" s="6">
        <f t="shared" si="40"/>
        <v>4.8839183515599283</v>
      </c>
      <c r="S123" s="6">
        <f t="shared" si="41"/>
        <v>6.5820196285714276</v>
      </c>
      <c r="T123" s="6">
        <f t="shared" si="42"/>
        <v>5.1629508027477709</v>
      </c>
      <c r="U123" s="6">
        <f t="shared" si="43"/>
        <v>26.603519194133739</v>
      </c>
      <c r="X123" s="6"/>
      <c r="Y123" s="6"/>
      <c r="Z123" s="25"/>
      <c r="AA123" s="25"/>
      <c r="AB123" s="25"/>
      <c r="AC123" s="25"/>
      <c r="AD123" s="6">
        <f t="shared" si="32"/>
        <v>7.1549999999999994</v>
      </c>
      <c r="AE123" s="6">
        <f t="shared" si="33"/>
        <v>29.085000000000001</v>
      </c>
      <c r="AF123" s="6">
        <f t="shared" si="34"/>
        <v>3.8916846646231242</v>
      </c>
      <c r="AG123" s="6">
        <f t="shared" si="35"/>
        <v>1.8271695444887601</v>
      </c>
      <c r="AH123" s="6">
        <f t="shared" si="44"/>
        <v>1.0322575600671819</v>
      </c>
      <c r="AI123" s="6">
        <f t="shared" si="45"/>
        <v>7.0788413177274107E-2</v>
      </c>
      <c r="AJ123" s="6">
        <f t="shared" si="46"/>
        <v>0.3002321113455399</v>
      </c>
      <c r="AK123" s="6">
        <f t="shared" si="47"/>
        <v>0.73202544872164199</v>
      </c>
      <c r="AL123" s="6">
        <f t="shared" si="36"/>
        <v>0.73899999999999999</v>
      </c>
      <c r="AM123" s="6">
        <v>12.4</v>
      </c>
      <c r="AN123" s="6">
        <f t="shared" si="48"/>
        <v>24.588666666666668</v>
      </c>
    </row>
    <row r="124" spans="1:40" x14ac:dyDescent="0.2">
      <c r="A124" s="1">
        <f t="shared" si="49"/>
        <v>119</v>
      </c>
      <c r="B124" s="2">
        <v>25.85</v>
      </c>
      <c r="C124" s="2">
        <v>70.182289999999995</v>
      </c>
      <c r="D124" s="2">
        <v>1.01</v>
      </c>
      <c r="E124" s="2">
        <v>33.479999999999997</v>
      </c>
      <c r="F124" s="2">
        <v>97.6</v>
      </c>
      <c r="G124" s="2">
        <v>5.2329999999999997</v>
      </c>
      <c r="H124" s="2">
        <v>19.28</v>
      </c>
      <c r="I124" s="2">
        <v>39.020000000000003</v>
      </c>
      <c r="J124" s="2">
        <v>0</v>
      </c>
      <c r="K124" s="3">
        <v>16.899999999999999</v>
      </c>
      <c r="L124" s="3">
        <v>9.0972480000000004</v>
      </c>
      <c r="N124" s="6">
        <f t="shared" si="37"/>
        <v>3.8969842034074094</v>
      </c>
      <c r="O124" s="6">
        <f t="shared" si="38"/>
        <v>21.228923352148151</v>
      </c>
      <c r="P124" s="6">
        <f t="shared" si="39"/>
        <v>3.0489946666666672</v>
      </c>
      <c r="Q124" s="6">
        <f t="shared" si="31"/>
        <v>4.6911351112216755</v>
      </c>
      <c r="R124" s="6">
        <f t="shared" si="40"/>
        <v>4.8931357971450087</v>
      </c>
      <c r="S124" s="6">
        <f t="shared" si="41"/>
        <v>6.1224595714285694</v>
      </c>
      <c r="T124" s="6">
        <f t="shared" si="42"/>
        <v>5.1199000940299477</v>
      </c>
      <c r="U124" s="6">
        <f t="shared" si="43"/>
        <v>27.351245948404102</v>
      </c>
      <c r="X124" s="6"/>
      <c r="Y124" s="6"/>
      <c r="Z124" s="25"/>
      <c r="AA124" s="25"/>
      <c r="AB124" s="25"/>
      <c r="AC124" s="25"/>
      <c r="AD124" s="6">
        <f t="shared" si="32"/>
        <v>7.0999999999999979</v>
      </c>
      <c r="AE124" s="6">
        <f t="shared" si="33"/>
        <v>29.289999999999996</v>
      </c>
      <c r="AF124" s="6">
        <f t="shared" si="34"/>
        <v>4.0229354879356727</v>
      </c>
      <c r="AG124" s="6">
        <f t="shared" si="35"/>
        <v>1.9066238103137489</v>
      </c>
      <c r="AH124" s="6">
        <f t="shared" si="44"/>
        <v>1.0581558388109618</v>
      </c>
      <c r="AI124" s="6">
        <f t="shared" si="45"/>
        <v>7.259708513998879E-2</v>
      </c>
      <c r="AJ124" s="6">
        <f t="shared" si="46"/>
        <v>0.30993384518773065</v>
      </c>
      <c r="AK124" s="6">
        <f t="shared" si="47"/>
        <v>0.74822199362323105</v>
      </c>
      <c r="AL124" s="6">
        <f t="shared" si="36"/>
        <v>0.74150000000000005</v>
      </c>
      <c r="AM124" s="6">
        <v>12.4</v>
      </c>
      <c r="AN124" s="6">
        <f t="shared" si="48"/>
        <v>24.588666666666668</v>
      </c>
    </row>
    <row r="125" spans="1:40" x14ac:dyDescent="0.2">
      <c r="A125" s="1">
        <f t="shared" si="49"/>
        <v>120</v>
      </c>
      <c r="B125" s="2">
        <v>25.5</v>
      </c>
      <c r="C125" s="2">
        <v>71.259583333333296</v>
      </c>
      <c r="D125" s="2">
        <v>0.874</v>
      </c>
      <c r="E125" s="2">
        <v>33.11</v>
      </c>
      <c r="F125" s="2">
        <v>98.8</v>
      </c>
      <c r="G125" s="2">
        <v>4.1950000000000003</v>
      </c>
      <c r="H125" s="2">
        <v>19.28</v>
      </c>
      <c r="I125" s="2">
        <v>39.880000000000003</v>
      </c>
      <c r="J125" s="2">
        <v>0</v>
      </c>
      <c r="K125" s="3">
        <v>17.3</v>
      </c>
      <c r="L125" s="3">
        <v>9.2262000000000004</v>
      </c>
      <c r="N125" s="6">
        <f t="shared" si="37"/>
        <v>3.8969842034074094</v>
      </c>
      <c r="O125" s="6">
        <f t="shared" si="38"/>
        <v>21.228923352148151</v>
      </c>
      <c r="P125" s="6">
        <f t="shared" si="39"/>
        <v>3.0489946666666672</v>
      </c>
      <c r="Q125" s="6">
        <f t="shared" si="31"/>
        <v>4.5924930483545072</v>
      </c>
      <c r="R125" s="6">
        <f t="shared" si="40"/>
        <v>4.7902461984709106</v>
      </c>
      <c r="S125" s="6">
        <f t="shared" si="41"/>
        <v>6.237786857142857</v>
      </c>
      <c r="T125" s="6">
        <f t="shared" si="42"/>
        <v>4.8540716459731508</v>
      </c>
      <c r="U125" s="6">
        <f t="shared" si="43"/>
        <v>26.310179622816332</v>
      </c>
      <c r="X125" s="6"/>
      <c r="Y125" s="6"/>
      <c r="Z125" s="25"/>
      <c r="AA125" s="25"/>
      <c r="AB125" s="25"/>
      <c r="AC125" s="25"/>
      <c r="AD125" s="6">
        <f t="shared" si="32"/>
        <v>6.9149999999999991</v>
      </c>
      <c r="AE125" s="6">
        <f t="shared" si="33"/>
        <v>29.459999999999997</v>
      </c>
      <c r="AF125" s="6">
        <f t="shared" si="34"/>
        <v>3.9488891506947885</v>
      </c>
      <c r="AG125" s="6">
        <f t="shared" si="35"/>
        <v>1.9066238103137489</v>
      </c>
      <c r="AH125" s="6">
        <f t="shared" si="44"/>
        <v>1.0211326701905197</v>
      </c>
      <c r="AI125" s="6">
        <f t="shared" si="45"/>
        <v>7.0163210747693577E-2</v>
      </c>
      <c r="AJ125" s="6">
        <f t="shared" si="46"/>
        <v>0.30082568463812703</v>
      </c>
      <c r="AK125" s="6">
        <f t="shared" si="47"/>
        <v>0.7203069855523927</v>
      </c>
      <c r="AL125" s="6">
        <f t="shared" si="36"/>
        <v>0.73799999999999999</v>
      </c>
      <c r="AM125" s="6">
        <v>12.4</v>
      </c>
      <c r="AN125" s="6">
        <f t="shared" si="48"/>
        <v>24.588666666666668</v>
      </c>
    </row>
    <row r="126" spans="1:40" x14ac:dyDescent="0.2">
      <c r="A126" s="1">
        <f t="shared" si="49"/>
        <v>121</v>
      </c>
      <c r="B126" s="2">
        <v>34.89</v>
      </c>
      <c r="C126" s="2">
        <v>68.941562499999961</v>
      </c>
      <c r="D126" s="2">
        <v>0.96</v>
      </c>
      <c r="E126" s="2">
        <v>33.06</v>
      </c>
      <c r="F126" s="2">
        <v>98.7</v>
      </c>
      <c r="G126" s="2">
        <v>4.1150000000000002</v>
      </c>
      <c r="H126" s="2">
        <v>17.55</v>
      </c>
      <c r="I126" s="2">
        <v>34.44</v>
      </c>
      <c r="J126" s="2">
        <v>0</v>
      </c>
      <c r="K126" s="3">
        <v>17.7</v>
      </c>
      <c r="L126" s="3">
        <v>9.1616949999999999</v>
      </c>
      <c r="N126" s="6">
        <f t="shared" si="37"/>
        <v>3.8969842034074094</v>
      </c>
      <c r="O126" s="6">
        <f t="shared" si="38"/>
        <v>21.228923352148151</v>
      </c>
      <c r="P126" s="6">
        <f t="shared" si="39"/>
        <v>3.0489946666666672</v>
      </c>
      <c r="Q126" s="6">
        <f t="shared" si="31"/>
        <v>5.9181179788812122</v>
      </c>
      <c r="R126" s="6">
        <f t="shared" si="40"/>
        <v>6.172952653808724</v>
      </c>
      <c r="S126" s="6">
        <f t="shared" si="41"/>
        <v>7.1940335142857137</v>
      </c>
      <c r="T126" s="6">
        <f t="shared" si="42"/>
        <v>5.0296941170494867</v>
      </c>
      <c r="U126" s="6">
        <f t="shared" si="43"/>
        <v>67.073651215393397</v>
      </c>
      <c r="X126" s="6"/>
      <c r="Y126" s="6"/>
      <c r="Z126" s="25"/>
      <c r="AA126" s="25"/>
      <c r="AB126" s="25"/>
      <c r="AC126" s="25"/>
      <c r="AD126" s="6">
        <f t="shared" si="32"/>
        <v>7.7550000000000008</v>
      </c>
      <c r="AE126" s="6">
        <f t="shared" si="33"/>
        <v>32.130000000000003</v>
      </c>
      <c r="AF126" s="6">
        <f t="shared" si="34"/>
        <v>3.9389744237368438</v>
      </c>
      <c r="AG126" s="6">
        <f t="shared" si="35"/>
        <v>1.7321841985951085</v>
      </c>
      <c r="AH126" s="6">
        <f t="shared" si="44"/>
        <v>1.1033951125708676</v>
      </c>
      <c r="AI126" s="6">
        <f t="shared" si="45"/>
        <v>7.5296688010013574E-2</v>
      </c>
      <c r="AJ126" s="6">
        <f t="shared" si="46"/>
        <v>0.35452084966901976</v>
      </c>
      <c r="AK126" s="6">
        <f t="shared" si="47"/>
        <v>0.74887426290184789</v>
      </c>
      <c r="AL126" s="6">
        <f t="shared" si="36"/>
        <v>0.83189999999999997</v>
      </c>
      <c r="AM126" s="6">
        <v>12.4</v>
      </c>
      <c r="AN126" s="6">
        <f t="shared" si="48"/>
        <v>24.588666666666668</v>
      </c>
    </row>
    <row r="127" spans="1:40" x14ac:dyDescent="0.2">
      <c r="A127" s="1">
        <f t="shared" si="49"/>
        <v>122</v>
      </c>
      <c r="B127" s="2">
        <v>25.19</v>
      </c>
      <c r="C127" s="2">
        <v>65.731770833333329</v>
      </c>
      <c r="D127" s="2">
        <v>1.165</v>
      </c>
      <c r="E127" s="2">
        <v>33.590000000000003</v>
      </c>
      <c r="F127" s="2">
        <v>97.2</v>
      </c>
      <c r="G127" s="2">
        <v>4.9939999999999998</v>
      </c>
      <c r="H127" s="2">
        <v>17.7</v>
      </c>
      <c r="I127" s="2">
        <v>30.16</v>
      </c>
      <c r="J127" s="2">
        <v>0</v>
      </c>
      <c r="K127" s="3">
        <v>17.73</v>
      </c>
      <c r="L127" s="3">
        <v>9.1453430000000004</v>
      </c>
      <c r="N127" s="6">
        <f t="shared" si="37"/>
        <v>2.9141979856052749</v>
      </c>
      <c r="O127" s="6">
        <f t="shared" si="38"/>
        <v>16.991002014394731</v>
      </c>
      <c r="P127" s="6">
        <f t="shared" si="39"/>
        <v>2.348925806451613</v>
      </c>
      <c r="Q127" s="6">
        <f t="shared" si="31"/>
        <v>4.1779486222763742</v>
      </c>
      <c r="R127" s="6">
        <f t="shared" si="40"/>
        <v>4.3578514533488502</v>
      </c>
      <c r="S127" s="6">
        <f t="shared" si="41"/>
        <v>6.3659767628571418</v>
      </c>
      <c r="T127" s="6">
        <f t="shared" si="42"/>
        <v>5.2689097592564176</v>
      </c>
      <c r="U127" s="6">
        <f t="shared" si="43"/>
        <v>25.417170240885515</v>
      </c>
      <c r="X127" s="6"/>
      <c r="Y127" s="6"/>
      <c r="Z127" s="25"/>
      <c r="AA127" s="25"/>
      <c r="AB127" s="25"/>
      <c r="AC127" s="25"/>
      <c r="AD127" s="6">
        <f t="shared" si="32"/>
        <v>7.9450000000000021</v>
      </c>
      <c r="AE127" s="6">
        <f t="shared" si="33"/>
        <v>33.520000000000003</v>
      </c>
      <c r="AF127" s="6">
        <f t="shared" si="34"/>
        <v>4.0451809047346661</v>
      </c>
      <c r="AG127" s="6">
        <f t="shared" si="35"/>
        <v>1.7467340137752485</v>
      </c>
      <c r="AH127" s="6">
        <f t="shared" si="44"/>
        <v>1.1492234454797088</v>
      </c>
      <c r="AI127" s="6">
        <f t="shared" si="45"/>
        <v>7.8302586488216266E-2</v>
      </c>
      <c r="AJ127" s="6">
        <f t="shared" si="46"/>
        <v>0.38521969892479846</v>
      </c>
      <c r="AK127" s="6">
        <f t="shared" si="47"/>
        <v>0.76400374655491032</v>
      </c>
      <c r="AL127" s="6">
        <f t="shared" si="36"/>
        <v>0.7349</v>
      </c>
      <c r="AM127" s="6">
        <v>10.6</v>
      </c>
      <c r="AN127" s="6">
        <f>$X$10</f>
        <v>22.159677419354839</v>
      </c>
    </row>
    <row r="128" spans="1:40" x14ac:dyDescent="0.2">
      <c r="A128" s="1">
        <f t="shared" si="49"/>
        <v>123</v>
      </c>
      <c r="B128" s="2">
        <v>25.27</v>
      </c>
      <c r="C128" s="2">
        <v>64.704791666666679</v>
      </c>
      <c r="D128" s="2">
        <v>1.34</v>
      </c>
      <c r="E128" s="2">
        <v>33.68</v>
      </c>
      <c r="F128" s="2">
        <v>95.3</v>
      </c>
      <c r="G128" s="2">
        <v>5.7130000000000001</v>
      </c>
      <c r="H128" s="2">
        <v>17.41</v>
      </c>
      <c r="I128" s="2">
        <v>31.22</v>
      </c>
      <c r="J128" s="2">
        <v>0</v>
      </c>
      <c r="K128" s="3">
        <v>17.84</v>
      </c>
      <c r="L128" s="3">
        <v>9.3177269999999996</v>
      </c>
      <c r="N128" s="6">
        <f t="shared" si="37"/>
        <v>2.9141979856052749</v>
      </c>
      <c r="O128" s="6">
        <f t="shared" si="38"/>
        <v>16.991002014394731</v>
      </c>
      <c r="P128" s="6">
        <f t="shared" si="39"/>
        <v>2.348925806451613</v>
      </c>
      <c r="Q128" s="6">
        <f t="shared" si="31"/>
        <v>4.2354772124910882</v>
      </c>
      <c r="R128" s="6">
        <f t="shared" si="40"/>
        <v>4.4178572296620366</v>
      </c>
      <c r="S128" s="6">
        <f t="shared" si="41"/>
        <v>6.41244528</v>
      </c>
      <c r="T128" s="6">
        <f t="shared" si="42"/>
        <v>5.5426758696567351</v>
      </c>
      <c r="U128" s="6">
        <f t="shared" si="43"/>
        <v>25.646997578081368</v>
      </c>
      <c r="X128" s="6"/>
      <c r="Y128" s="6"/>
      <c r="Z128" s="25"/>
      <c r="AA128" s="25"/>
      <c r="AB128" s="25"/>
      <c r="AC128" s="25"/>
      <c r="AD128" s="6">
        <f t="shared" si="32"/>
        <v>8.1349999999999998</v>
      </c>
      <c r="AE128" s="6">
        <f t="shared" si="33"/>
        <v>32.04</v>
      </c>
      <c r="AF128" s="6">
        <f t="shared" si="34"/>
        <v>4.0634612197769542</v>
      </c>
      <c r="AG128" s="6">
        <f t="shared" si="35"/>
        <v>1.7187003519504167</v>
      </c>
      <c r="AH128" s="6">
        <f t="shared" si="44"/>
        <v>1.1723804339132688</v>
      </c>
      <c r="AI128" s="6">
        <f t="shared" si="45"/>
        <v>7.9756764213423995E-2</v>
      </c>
      <c r="AJ128" s="6">
        <f t="shared" si="46"/>
        <v>0.37563069102581131</v>
      </c>
      <c r="AK128" s="6">
        <f t="shared" si="47"/>
        <v>0.79674974288745748</v>
      </c>
      <c r="AL128" s="6">
        <f t="shared" si="36"/>
        <v>0.73570000000000002</v>
      </c>
      <c r="AM128" s="6">
        <v>10.6</v>
      </c>
      <c r="AN128" s="6">
        <f t="shared" ref="AN128:AN157" si="50">$X$10</f>
        <v>22.159677419354839</v>
      </c>
    </row>
    <row r="129" spans="1:40" x14ac:dyDescent="0.2">
      <c r="A129" s="1">
        <f t="shared" si="49"/>
        <v>124</v>
      </c>
      <c r="B129" s="2">
        <v>25.15</v>
      </c>
      <c r="C129" s="2">
        <v>64.856250000000003</v>
      </c>
      <c r="D129" s="2">
        <v>0.96499999999999997</v>
      </c>
      <c r="E129" s="2">
        <v>33.729999999999997</v>
      </c>
      <c r="F129" s="2">
        <v>97.6</v>
      </c>
      <c r="G129" s="2">
        <v>4.0350000000000001</v>
      </c>
      <c r="H129" s="2">
        <v>17.75</v>
      </c>
      <c r="I129" s="2">
        <v>30.67</v>
      </c>
      <c r="J129" s="2">
        <v>0</v>
      </c>
      <c r="K129" s="3">
        <v>16.23</v>
      </c>
      <c r="L129" s="3">
        <v>8.1112559999999991</v>
      </c>
      <c r="N129" s="6">
        <f t="shared" si="37"/>
        <v>2.9141979856052749</v>
      </c>
      <c r="O129" s="6">
        <f t="shared" si="38"/>
        <v>16.991002014394731</v>
      </c>
      <c r="P129" s="6">
        <f t="shared" si="39"/>
        <v>2.348925806451613</v>
      </c>
      <c r="Q129" s="6">
        <f t="shared" si="31"/>
        <v>4.1858653789250289</v>
      </c>
      <c r="R129" s="6">
        <f t="shared" si="40"/>
        <v>4.3661091062273938</v>
      </c>
      <c r="S129" s="6">
        <f t="shared" si="41"/>
        <v>5.8242282428571412</v>
      </c>
      <c r="T129" s="6">
        <f t="shared" si="42"/>
        <v>4.9294735204072797</v>
      </c>
      <c r="U129" s="6">
        <f t="shared" si="43"/>
        <v>25.303715787646649</v>
      </c>
      <c r="X129" s="6"/>
      <c r="Y129" s="6"/>
      <c r="Z129" s="25"/>
      <c r="AA129" s="25"/>
      <c r="AB129" s="25"/>
      <c r="AC129" s="25"/>
      <c r="AD129" s="6">
        <f t="shared" si="32"/>
        <v>7.9899999999999984</v>
      </c>
      <c r="AE129" s="6">
        <f t="shared" si="33"/>
        <v>33.464999999999996</v>
      </c>
      <c r="AF129" s="6">
        <f t="shared" si="34"/>
        <v>4.0736479690008869</v>
      </c>
      <c r="AG129" s="6">
        <f t="shared" si="35"/>
        <v>1.7516077042954941</v>
      </c>
      <c r="AH129" s="6">
        <f t="shared" si="44"/>
        <v>1.1610201323526965</v>
      </c>
      <c r="AI129" s="6">
        <f t="shared" si="45"/>
        <v>7.9077333824923837E-2</v>
      </c>
      <c r="AJ129" s="6">
        <f t="shared" si="46"/>
        <v>0.38853538729182985</v>
      </c>
      <c r="AK129" s="6">
        <f t="shared" si="47"/>
        <v>0.77248474506086673</v>
      </c>
      <c r="AL129" s="6">
        <f t="shared" si="36"/>
        <v>0.73449999999999993</v>
      </c>
      <c r="AM129" s="6">
        <v>10.6</v>
      </c>
      <c r="AN129" s="6">
        <f t="shared" si="50"/>
        <v>22.159677419354839</v>
      </c>
    </row>
    <row r="130" spans="1:40" x14ac:dyDescent="0.2">
      <c r="A130" s="1">
        <f t="shared" si="49"/>
        <v>125</v>
      </c>
      <c r="B130" s="2">
        <v>25</v>
      </c>
      <c r="C130" s="2">
        <v>62.078229999999998</v>
      </c>
      <c r="D130" s="2">
        <v>1.099</v>
      </c>
      <c r="E130" s="2">
        <v>34.020000000000003</v>
      </c>
      <c r="F130" s="2">
        <v>94.5</v>
      </c>
      <c r="G130" s="2">
        <v>4.5140000000000002</v>
      </c>
      <c r="H130" s="2">
        <v>17.41</v>
      </c>
      <c r="I130" s="2">
        <v>30.09</v>
      </c>
      <c r="J130" s="2">
        <v>0</v>
      </c>
      <c r="K130" s="3">
        <v>17.5</v>
      </c>
      <c r="L130" s="3">
        <v>8.8640609999999995</v>
      </c>
      <c r="N130" s="6">
        <f t="shared" si="37"/>
        <v>2.9141979856052749</v>
      </c>
      <c r="O130" s="6">
        <f t="shared" si="38"/>
        <v>16.991002014394731</v>
      </c>
      <c r="P130" s="6">
        <f t="shared" si="39"/>
        <v>2.348925806451613</v>
      </c>
      <c r="Q130" s="6">
        <f t="shared" si="31"/>
        <v>4.2526759048282257</v>
      </c>
      <c r="R130" s="6">
        <f t="shared" si="40"/>
        <v>4.4357964991871501</v>
      </c>
      <c r="S130" s="6">
        <f t="shared" si="41"/>
        <v>6.26715</v>
      </c>
      <c r="T130" s="6">
        <f t="shared" si="42"/>
        <v>5.3824495869977094</v>
      </c>
      <c r="U130" s="6">
        <f t="shared" si="43"/>
        <v>24.881299184188748</v>
      </c>
      <c r="X130" s="6"/>
      <c r="Y130" s="6"/>
      <c r="Z130" s="25"/>
      <c r="AA130" s="25"/>
      <c r="AB130" s="25"/>
      <c r="AC130" s="25"/>
      <c r="AD130" s="6">
        <f t="shared" si="32"/>
        <v>8.3050000000000015</v>
      </c>
      <c r="AE130" s="6">
        <f t="shared" si="33"/>
        <v>32.204999999999998</v>
      </c>
      <c r="AF130" s="6">
        <f t="shared" si="34"/>
        <v>4.1331703303181024</v>
      </c>
      <c r="AG130" s="6">
        <f t="shared" si="35"/>
        <v>1.7187003519504167</v>
      </c>
      <c r="AH130" s="6">
        <f t="shared" si="44"/>
        <v>1.207234989183843</v>
      </c>
      <c r="AI130" s="6">
        <f t="shared" si="45"/>
        <v>8.2014258052592964E-2</v>
      </c>
      <c r="AJ130" s="6">
        <f t="shared" si="46"/>
        <v>0.3887900282666566</v>
      </c>
      <c r="AK130" s="6">
        <f t="shared" si="47"/>
        <v>0.81844496091718644</v>
      </c>
      <c r="AL130" s="6">
        <f t="shared" si="36"/>
        <v>0.73299999999999998</v>
      </c>
      <c r="AM130" s="6">
        <v>10.6</v>
      </c>
      <c r="AN130" s="6">
        <f t="shared" si="50"/>
        <v>22.159677419354839</v>
      </c>
    </row>
    <row r="131" spans="1:40" x14ac:dyDescent="0.2">
      <c r="A131" s="1">
        <f t="shared" si="49"/>
        <v>126</v>
      </c>
      <c r="B131" s="2">
        <v>23.79</v>
      </c>
      <c r="C131" s="2">
        <v>61.273539999999997</v>
      </c>
      <c r="D131" s="2">
        <v>0.999</v>
      </c>
      <c r="E131" s="2">
        <v>33.29</v>
      </c>
      <c r="F131" s="2">
        <v>94.4</v>
      </c>
      <c r="G131" s="2">
        <v>4.5140000000000002</v>
      </c>
      <c r="H131" s="2">
        <v>15.36</v>
      </c>
      <c r="I131" s="2">
        <v>25.68</v>
      </c>
      <c r="J131" s="2">
        <v>0</v>
      </c>
      <c r="K131" s="3">
        <v>17.36</v>
      </c>
      <c r="L131" s="3">
        <v>8.0062449999999998</v>
      </c>
      <c r="N131" s="6">
        <f t="shared" si="37"/>
        <v>2.9141979856052749</v>
      </c>
      <c r="O131" s="6">
        <f t="shared" si="38"/>
        <v>16.991002014394731</v>
      </c>
      <c r="P131" s="6">
        <f t="shared" si="39"/>
        <v>2.348925806451613</v>
      </c>
      <c r="Q131" s="6">
        <f t="shared" si="31"/>
        <v>4.2935128440413219</v>
      </c>
      <c r="R131" s="6">
        <f t="shared" si="40"/>
        <v>4.478391880554752</v>
      </c>
      <c r="S131" s="6">
        <f t="shared" si="41"/>
        <v>6.1143854399999977</v>
      </c>
      <c r="T131" s="6">
        <f t="shared" si="42"/>
        <v>5.3119968838112079</v>
      </c>
      <c r="U131" s="6">
        <f t="shared" si="43"/>
        <v>21.649210470659174</v>
      </c>
      <c r="X131" s="6"/>
      <c r="Y131" s="6"/>
      <c r="Z131" s="25"/>
      <c r="AA131" s="25"/>
      <c r="AB131" s="25"/>
      <c r="AC131" s="25"/>
      <c r="AD131" s="6">
        <f t="shared" si="32"/>
        <v>8.9649999999999999</v>
      </c>
      <c r="AE131" s="6">
        <f t="shared" si="33"/>
        <v>34.36</v>
      </c>
      <c r="AF131" s="6">
        <f t="shared" si="34"/>
        <v>3.9847622024867349</v>
      </c>
      <c r="AG131" s="6">
        <f t="shared" si="35"/>
        <v>1.5315339890526452</v>
      </c>
      <c r="AH131" s="6">
        <f t="shared" si="44"/>
        <v>1.2266141067170448</v>
      </c>
      <c r="AI131" s="6">
        <f t="shared" si="45"/>
        <v>8.2884729290459466E-2</v>
      </c>
      <c r="AJ131" s="6">
        <f t="shared" si="46"/>
        <v>0.42146460706797662</v>
      </c>
      <c r="AK131" s="6">
        <f t="shared" si="47"/>
        <v>0.80514949964906823</v>
      </c>
      <c r="AL131" s="6">
        <f t="shared" si="36"/>
        <v>0.72089999999999999</v>
      </c>
      <c r="AM131" s="6">
        <v>10.6</v>
      </c>
      <c r="AN131" s="6">
        <f t="shared" si="50"/>
        <v>22.159677419354839</v>
      </c>
    </row>
    <row r="132" spans="1:40" x14ac:dyDescent="0.2">
      <c r="A132" s="1">
        <f t="shared" si="49"/>
        <v>127</v>
      </c>
      <c r="B132" s="2">
        <v>22.91</v>
      </c>
      <c r="C132" s="2">
        <v>66.439687500000034</v>
      </c>
      <c r="D132" s="2">
        <v>1.1379999999999999</v>
      </c>
      <c r="E132" s="2">
        <v>31.71</v>
      </c>
      <c r="F132" s="2">
        <v>96.5</v>
      </c>
      <c r="G132" s="2">
        <v>5.4729999999999999</v>
      </c>
      <c r="H132" s="2">
        <v>14.64</v>
      </c>
      <c r="I132" s="2">
        <v>36.22</v>
      </c>
      <c r="J132" s="2">
        <v>0</v>
      </c>
      <c r="K132" s="3">
        <v>17.64</v>
      </c>
      <c r="L132" s="3">
        <v>10.862429863309353</v>
      </c>
      <c r="N132" s="6">
        <f t="shared" si="37"/>
        <v>2.9141979856052749</v>
      </c>
      <c r="O132" s="6">
        <f t="shared" si="38"/>
        <v>16.991002014394731</v>
      </c>
      <c r="P132" s="6">
        <f t="shared" si="39"/>
        <v>2.348925806451613</v>
      </c>
      <c r="Q132" s="6">
        <f t="shared" si="31"/>
        <v>4.1006392491719383</v>
      </c>
      <c r="R132" s="6">
        <f t="shared" si="40"/>
        <v>4.2772131319141806</v>
      </c>
      <c r="S132" s="6">
        <f t="shared" si="41"/>
        <v>6.1371626399999988</v>
      </c>
      <c r="T132" s="6">
        <f t="shared" si="42"/>
        <v>5.3410232704329106</v>
      </c>
      <c r="U132" s="6">
        <f t="shared" si="43"/>
        <v>19.496469040392579</v>
      </c>
      <c r="X132" s="6"/>
      <c r="Y132" s="6"/>
      <c r="Z132" s="25"/>
      <c r="AA132" s="25"/>
      <c r="AB132" s="25"/>
      <c r="AC132" s="25"/>
      <c r="AD132" s="6">
        <f t="shared" si="32"/>
        <v>8.5350000000000001</v>
      </c>
      <c r="AE132" s="6">
        <f t="shared" si="33"/>
        <v>30.14</v>
      </c>
      <c r="AF132" s="6">
        <f t="shared" si="34"/>
        <v>3.6793384904306015</v>
      </c>
      <c r="AG132" s="6">
        <f t="shared" si="35"/>
        <v>1.4701804856697149</v>
      </c>
      <c r="AH132" s="6">
        <f t="shared" si="44"/>
        <v>1.1045790023804432</v>
      </c>
      <c r="AI132" s="6">
        <f t="shared" si="45"/>
        <v>7.4899912212941899E-2</v>
      </c>
      <c r="AJ132" s="6">
        <f t="shared" si="46"/>
        <v>0.33292011131746557</v>
      </c>
      <c r="AK132" s="6">
        <f t="shared" si="47"/>
        <v>0.77165889106297758</v>
      </c>
      <c r="AL132" s="6">
        <f t="shared" si="36"/>
        <v>0.71209999999999996</v>
      </c>
      <c r="AM132" s="6">
        <v>10.6</v>
      </c>
      <c r="AN132" s="6">
        <f t="shared" si="50"/>
        <v>22.159677419354839</v>
      </c>
    </row>
    <row r="133" spans="1:40" x14ac:dyDescent="0.2">
      <c r="A133" s="1">
        <f t="shared" si="49"/>
        <v>128</v>
      </c>
      <c r="B133" s="2">
        <v>24.05</v>
      </c>
      <c r="C133" s="2">
        <v>67.706145833333309</v>
      </c>
      <c r="D133" s="2">
        <v>1</v>
      </c>
      <c r="E133" s="2">
        <v>32.630000000000003</v>
      </c>
      <c r="F133" s="2">
        <v>96.3</v>
      </c>
      <c r="G133" s="2">
        <v>4.5140000000000002</v>
      </c>
      <c r="H133" s="2">
        <v>16.02</v>
      </c>
      <c r="I133" s="2">
        <v>36.770000000000003</v>
      </c>
      <c r="J133" s="2">
        <v>0</v>
      </c>
      <c r="K133" s="3">
        <v>16.5</v>
      </c>
      <c r="L133" s="3">
        <v>10.541942892086331</v>
      </c>
      <c r="N133" s="6">
        <f t="shared" si="37"/>
        <v>2.9141979856052749</v>
      </c>
      <c r="O133" s="6">
        <f t="shared" si="38"/>
        <v>16.991002014394731</v>
      </c>
      <c r="P133" s="6">
        <f t="shared" si="39"/>
        <v>2.348925806451613</v>
      </c>
      <c r="Q133" s="6">
        <f t="shared" si="31"/>
        <v>4.1582823975948893</v>
      </c>
      <c r="R133" s="6">
        <f t="shared" si="40"/>
        <v>4.3373383993220154</v>
      </c>
      <c r="S133" s="6">
        <f t="shared" si="41"/>
        <v>5.8324435714285707</v>
      </c>
      <c r="T133" s="6">
        <f t="shared" si="42"/>
        <v>5.1375958706978402</v>
      </c>
      <c r="U133" s="6">
        <f t="shared" si="43"/>
        <v>22.312278644117907</v>
      </c>
      <c r="X133" s="6"/>
      <c r="Y133" s="6"/>
      <c r="Z133" s="25"/>
      <c r="AA133" s="25"/>
      <c r="AB133" s="25"/>
      <c r="AC133" s="25"/>
      <c r="AD133" s="6">
        <f t="shared" si="32"/>
        <v>8.3050000000000015</v>
      </c>
      <c r="AE133" s="6">
        <f t="shared" si="33"/>
        <v>29.764999999999997</v>
      </c>
      <c r="AF133" s="6">
        <f t="shared" si="34"/>
        <v>3.8545981136316638</v>
      </c>
      <c r="AG133" s="6">
        <f t="shared" si="35"/>
        <v>1.5897371554635724</v>
      </c>
      <c r="AH133" s="6">
        <f t="shared" si="44"/>
        <v>1.1324304790840456</v>
      </c>
      <c r="AI133" s="6">
        <f t="shared" si="45"/>
        <v>7.693236724443292E-2</v>
      </c>
      <c r="AJ133" s="6">
        <f t="shared" si="46"/>
        <v>0.33706793209936614</v>
      </c>
      <c r="AK133" s="6">
        <f t="shared" si="47"/>
        <v>0.79536254698467945</v>
      </c>
      <c r="AL133" s="6">
        <f t="shared" si="36"/>
        <v>0.72350000000000003</v>
      </c>
      <c r="AM133" s="6">
        <v>10.6</v>
      </c>
      <c r="AN133" s="6">
        <f t="shared" si="50"/>
        <v>22.159677419354839</v>
      </c>
    </row>
    <row r="134" spans="1:40" x14ac:dyDescent="0.2">
      <c r="A134" s="1">
        <f t="shared" si="49"/>
        <v>129</v>
      </c>
      <c r="B134" s="2">
        <v>24.76</v>
      </c>
      <c r="C134" s="2">
        <v>66.726562499999986</v>
      </c>
      <c r="D134" s="2">
        <v>1.3140000000000001</v>
      </c>
      <c r="E134" s="2">
        <v>32.19</v>
      </c>
      <c r="F134" s="2">
        <v>98.8</v>
      </c>
      <c r="G134" s="2">
        <v>5.8719999999999999</v>
      </c>
      <c r="H134" s="2">
        <v>17.649999999999999</v>
      </c>
      <c r="I134" s="2">
        <v>37.89</v>
      </c>
      <c r="J134" s="2">
        <v>0</v>
      </c>
      <c r="K134" s="3">
        <v>17.45</v>
      </c>
      <c r="L134" s="3">
        <v>10.22145592086331</v>
      </c>
      <c r="N134" s="6">
        <f t="shared" si="37"/>
        <v>2.9141979856052749</v>
      </c>
      <c r="O134" s="6">
        <f t="shared" si="38"/>
        <v>16.991002014394731</v>
      </c>
      <c r="P134" s="6">
        <f t="shared" si="39"/>
        <v>2.348925806451613</v>
      </c>
      <c r="Q134" s="6">
        <f t="shared" ref="Q134:Q197" si="51">0.0023*(SQRT(E134-H134))*(17.8+B134)*AM134</f>
        <v>3.9565578843743245</v>
      </c>
      <c r="R134" s="6">
        <f t="shared" si="40"/>
        <v>4.1269276110162094</v>
      </c>
      <c r="S134" s="6">
        <f t="shared" si="41"/>
        <v>6.2287824857142846</v>
      </c>
      <c r="T134" s="6">
        <f t="shared" si="42"/>
        <v>5.0633258150271203</v>
      </c>
      <c r="U134" s="6">
        <f t="shared" si="43"/>
        <v>24.210707403749392</v>
      </c>
      <c r="X134" s="6"/>
      <c r="Y134" s="6"/>
      <c r="Z134" s="25"/>
      <c r="AA134" s="25"/>
      <c r="AB134" s="25"/>
      <c r="AC134" s="25"/>
      <c r="AD134" s="6">
        <f t="shared" ref="AD134:AD197" si="52">(E134-H134)/2</f>
        <v>7.27</v>
      </c>
      <c r="AE134" s="6">
        <f t="shared" ref="AE134:AE197" si="53">(F134-I134)/2</f>
        <v>30.454999999999998</v>
      </c>
      <c r="AF134" s="6">
        <f t="shared" ref="AF134:AF197" si="54">0.611*10^((7.5*E134)/(273.3+E134))</f>
        <v>3.7698923125126278</v>
      </c>
      <c r="AG134" s="6">
        <f t="shared" ref="AG134:AG197" si="55">0.611*10^((7.5*H134)/(273.3+H134))</f>
        <v>1.741872215751606</v>
      </c>
      <c r="AH134" s="6">
        <f t="shared" si="44"/>
        <v>1.014010048380511</v>
      </c>
      <c r="AI134" s="6">
        <f t="shared" si="45"/>
        <v>6.9471687087341832E-2</v>
      </c>
      <c r="AJ134" s="6">
        <f t="shared" si="46"/>
        <v>0.30881676023428462</v>
      </c>
      <c r="AK134" s="6">
        <f t="shared" si="47"/>
        <v>0.70519328814622639</v>
      </c>
      <c r="AL134" s="6">
        <f t="shared" ref="AL134:AL197" si="56">IF(0&lt;B134&lt;16,0.407+0.0145*B134,0.483+0.01*B134)</f>
        <v>0.73060000000000003</v>
      </c>
      <c r="AM134" s="6">
        <v>10.6</v>
      </c>
      <c r="AN134" s="6">
        <f t="shared" si="50"/>
        <v>22.159677419354839</v>
      </c>
    </row>
    <row r="135" spans="1:40" x14ac:dyDescent="0.2">
      <c r="A135" s="1">
        <f t="shared" si="49"/>
        <v>130</v>
      </c>
      <c r="B135" s="2">
        <v>24.02</v>
      </c>
      <c r="C135" s="2">
        <v>68.725624999999994</v>
      </c>
      <c r="D135" s="2">
        <v>1.222</v>
      </c>
      <c r="E135" s="2">
        <v>31.91</v>
      </c>
      <c r="F135" s="2">
        <v>95.9</v>
      </c>
      <c r="G135" s="2">
        <v>5.7919999999999998</v>
      </c>
      <c r="H135" s="2">
        <v>16.93</v>
      </c>
      <c r="I135" s="2">
        <v>35.22</v>
      </c>
      <c r="J135" s="2">
        <v>0</v>
      </c>
      <c r="K135" s="3">
        <v>14.14</v>
      </c>
      <c r="L135" s="3">
        <v>9.9009689496402871</v>
      </c>
      <c r="N135" s="6">
        <f t="shared" ref="N135:N198" si="57">IF(0&lt;AN135&lt;26.5,16*(((10*AN135)/$Z$6)^$Z$6)/30,((-415.85)+(32.24*AN135)-(0.43*AN135^2))/30)</f>
        <v>2.9141979856052749</v>
      </c>
      <c r="O135" s="6">
        <f t="shared" ref="O135:O198" si="58">IF(0&lt;AN135&lt;26.5,(16*((10*AN135)/$Z$6)/30),(-415.85+32.24*AN135-(-0.43*(AN135^2)))/30)</f>
        <v>16.991002014394731</v>
      </c>
      <c r="P135" s="6">
        <f t="shared" ref="P135:P198" si="59">(0.01*AN135*AM135)</f>
        <v>2.348925806451613</v>
      </c>
      <c r="Q135" s="6">
        <f t="shared" si="51"/>
        <v>3.9461504264216622</v>
      </c>
      <c r="R135" s="6">
        <f t="shared" ref="R135:R198" si="60">Q135*$W$1</f>
        <v>4.1160720070188663</v>
      </c>
      <c r="S135" s="6">
        <f t="shared" ref="S135:S198" si="61">1.26*AL135*((K135*0.95)/2.45)</f>
        <v>4.9961548799999989</v>
      </c>
      <c r="T135" s="6">
        <f t="shared" ref="T135:T198" si="62">((0.408*AI135)*(K135*0.95) + ((0.063*900*G135*AK135)/((AD135+273))))/(AI135+0.063*(1+0.34*G135))</f>
        <v>4.734093646922612</v>
      </c>
      <c r="U135" s="6">
        <f t="shared" ref="U135:U198" si="63">1.21*(10^((7.45*B135)/(234.7+B135)))*((1-0.01*(C135/100))+(0.21*B135)-2.3)</f>
        <v>22.233971846850881</v>
      </c>
      <c r="X135" s="6"/>
      <c r="Y135" s="6"/>
      <c r="Z135" s="25"/>
      <c r="AA135" s="25"/>
      <c r="AB135" s="25"/>
      <c r="AC135" s="25"/>
      <c r="AD135" s="6">
        <f t="shared" si="52"/>
        <v>7.49</v>
      </c>
      <c r="AE135" s="6">
        <f t="shared" si="53"/>
        <v>30.340000000000003</v>
      </c>
      <c r="AF135" s="6">
        <f t="shared" si="54"/>
        <v>3.7168364121608883</v>
      </c>
      <c r="AG135" s="6">
        <f t="shared" si="55"/>
        <v>1.6731661000618836</v>
      </c>
      <c r="AH135" s="6">
        <f t="shared" ref="AH135:AH198" si="64">(AF135-AG135)/2</f>
        <v>1.0218351560495025</v>
      </c>
      <c r="AI135" s="6">
        <f t="shared" ref="AI135:AI198" si="65">(4098*AH135)/((237.3+AD135)^2)</f>
        <v>6.9882019950799124E-2</v>
      </c>
      <c r="AJ135" s="6">
        <f t="shared" ref="AJ135:AJ198" si="66">(AE135*AH135)/100</f>
        <v>0.31002478634541908</v>
      </c>
      <c r="AK135" s="6">
        <f t="shared" ref="AK135:AK198" si="67">AH135-AJ135</f>
        <v>0.7118103697040834</v>
      </c>
      <c r="AL135" s="6">
        <f t="shared" si="56"/>
        <v>0.72319999999999995</v>
      </c>
      <c r="AM135" s="6">
        <v>10.6</v>
      </c>
      <c r="AN135" s="6">
        <f t="shared" si="50"/>
        <v>22.159677419354839</v>
      </c>
    </row>
    <row r="136" spans="1:40" x14ac:dyDescent="0.2">
      <c r="A136" s="1">
        <f t="shared" si="49"/>
        <v>131</v>
      </c>
      <c r="B136" s="2">
        <v>24</v>
      </c>
      <c r="C136" s="2">
        <v>71.714166666666657</v>
      </c>
      <c r="D136" s="2">
        <v>0.93400000000000005</v>
      </c>
      <c r="E136" s="2">
        <v>31.18</v>
      </c>
      <c r="F136" s="2">
        <v>100</v>
      </c>
      <c r="G136" s="2">
        <v>5.1529999999999996</v>
      </c>
      <c r="H136" s="2">
        <v>17.79</v>
      </c>
      <c r="I136" s="2">
        <v>36.28</v>
      </c>
      <c r="J136" s="2">
        <v>0</v>
      </c>
      <c r="K136" s="3">
        <v>16.46</v>
      </c>
      <c r="L136" s="3">
        <v>9.5804819784172661</v>
      </c>
      <c r="N136" s="6">
        <f t="shared" si="57"/>
        <v>2.9141979856052749</v>
      </c>
      <c r="O136" s="6">
        <f t="shared" si="58"/>
        <v>16.991002014394731</v>
      </c>
      <c r="P136" s="6">
        <f t="shared" si="59"/>
        <v>2.348925806451613</v>
      </c>
      <c r="Q136" s="6">
        <f t="shared" si="51"/>
        <v>3.7290677313988057</v>
      </c>
      <c r="R136" s="6">
        <f t="shared" si="60"/>
        <v>3.8896417122665103</v>
      </c>
      <c r="S136" s="6">
        <f t="shared" si="61"/>
        <v>5.8142833714285711</v>
      </c>
      <c r="T136" s="6">
        <f t="shared" si="62"/>
        <v>4.4485337209042983</v>
      </c>
      <c r="U136" s="6">
        <f t="shared" si="63"/>
        <v>22.180506807836075</v>
      </c>
      <c r="X136" s="6"/>
      <c r="Y136" s="6"/>
      <c r="Z136" s="25"/>
      <c r="AA136" s="25"/>
      <c r="AB136" s="25"/>
      <c r="AC136" s="25"/>
      <c r="AD136" s="6">
        <f t="shared" si="52"/>
        <v>6.6950000000000003</v>
      </c>
      <c r="AE136" s="6">
        <f t="shared" si="53"/>
        <v>31.86</v>
      </c>
      <c r="AF136" s="6">
        <f t="shared" si="54"/>
        <v>3.5815576918254863</v>
      </c>
      <c r="AG136" s="6">
        <f t="shared" si="55"/>
        <v>1.7555152359071173</v>
      </c>
      <c r="AH136" s="6">
        <f t="shared" si="64"/>
        <v>0.9130212279591845</v>
      </c>
      <c r="AI136" s="6">
        <f t="shared" si="65"/>
        <v>6.2847929648513212E-2</v>
      </c>
      <c r="AJ136" s="6">
        <f t="shared" si="66"/>
        <v>0.29088856322779616</v>
      </c>
      <c r="AK136" s="6">
        <f t="shared" si="67"/>
        <v>0.62213266473138829</v>
      </c>
      <c r="AL136" s="6">
        <f t="shared" si="56"/>
        <v>0.72299999999999998</v>
      </c>
      <c r="AM136" s="6">
        <v>10.6</v>
      </c>
      <c r="AN136" s="6">
        <f t="shared" si="50"/>
        <v>22.159677419354839</v>
      </c>
    </row>
    <row r="137" spans="1:40" x14ac:dyDescent="0.2">
      <c r="A137" s="1">
        <f t="shared" si="49"/>
        <v>132</v>
      </c>
      <c r="B137" s="2">
        <v>24.25</v>
      </c>
      <c r="C137" s="2">
        <v>65.548649999999995</v>
      </c>
      <c r="D137" s="2">
        <v>1.137</v>
      </c>
      <c r="E137" s="2">
        <v>32.479999999999997</v>
      </c>
      <c r="F137" s="2">
        <v>98.1</v>
      </c>
      <c r="G137" s="2">
        <v>5.3129999999999997</v>
      </c>
      <c r="H137" s="2">
        <v>16.93</v>
      </c>
      <c r="I137" s="2">
        <v>33.450000000000003</v>
      </c>
      <c r="J137" s="2">
        <v>0</v>
      </c>
      <c r="K137" s="3">
        <v>15.71</v>
      </c>
      <c r="L137" s="3">
        <v>9.2599950071942452</v>
      </c>
      <c r="N137" s="6">
        <f t="shared" si="57"/>
        <v>2.9141979856052749</v>
      </c>
      <c r="O137" s="6">
        <f t="shared" si="58"/>
        <v>16.991002014394731</v>
      </c>
      <c r="P137" s="6">
        <f t="shared" si="59"/>
        <v>2.348925806451613</v>
      </c>
      <c r="Q137" s="6">
        <f t="shared" si="51"/>
        <v>4.0426384108324038</v>
      </c>
      <c r="R137" s="6">
        <f t="shared" si="60"/>
        <v>4.2167147724308434</v>
      </c>
      <c r="S137" s="6">
        <f t="shared" si="61"/>
        <v>5.5685441571428571</v>
      </c>
      <c r="T137" s="6">
        <f t="shared" si="62"/>
        <v>4.9095503371082474</v>
      </c>
      <c r="U137" s="6">
        <f t="shared" si="63"/>
        <v>22.836680838033253</v>
      </c>
      <c r="X137" s="6"/>
      <c r="Y137" s="6"/>
      <c r="Z137" s="25"/>
      <c r="AA137" s="25"/>
      <c r="AB137" s="25"/>
      <c r="AC137" s="25"/>
      <c r="AD137" s="6">
        <f t="shared" si="52"/>
        <v>7.7749999999999986</v>
      </c>
      <c r="AE137" s="6">
        <f t="shared" si="53"/>
        <v>32.324999999999996</v>
      </c>
      <c r="AF137" s="6">
        <f t="shared" si="54"/>
        <v>3.8255369173878986</v>
      </c>
      <c r="AG137" s="6">
        <f t="shared" si="55"/>
        <v>1.6731661000618836</v>
      </c>
      <c r="AH137" s="6">
        <f t="shared" si="64"/>
        <v>1.0761854086630076</v>
      </c>
      <c r="AI137" s="6">
        <f t="shared" si="65"/>
        <v>7.3427886994120894E-2</v>
      </c>
      <c r="AJ137" s="6">
        <f t="shared" si="66"/>
        <v>0.34787693335031716</v>
      </c>
      <c r="AK137" s="6">
        <f t="shared" si="67"/>
        <v>0.7283084753126905</v>
      </c>
      <c r="AL137" s="6">
        <f t="shared" si="56"/>
        <v>0.72550000000000003</v>
      </c>
      <c r="AM137" s="6">
        <v>10.6</v>
      </c>
      <c r="AN137" s="6">
        <f t="shared" si="50"/>
        <v>22.159677419354839</v>
      </c>
    </row>
    <row r="138" spans="1:40" x14ac:dyDescent="0.2">
      <c r="A138" s="1">
        <f t="shared" si="49"/>
        <v>133</v>
      </c>
      <c r="B138" s="2">
        <v>24.17</v>
      </c>
      <c r="C138" s="2">
        <v>61.334789999999998</v>
      </c>
      <c r="D138" s="2">
        <v>1.292</v>
      </c>
      <c r="E138" s="2">
        <v>32.28</v>
      </c>
      <c r="F138" s="2">
        <v>97.8</v>
      </c>
      <c r="G138" s="2">
        <v>5.7130000000000001</v>
      </c>
      <c r="H138" s="2">
        <v>15.69</v>
      </c>
      <c r="I138" s="2">
        <v>31.36</v>
      </c>
      <c r="J138" s="2">
        <v>0</v>
      </c>
      <c r="K138" s="3">
        <v>16.170000000000002</v>
      </c>
      <c r="L138" s="3">
        <v>8.9395080359712225</v>
      </c>
      <c r="N138" s="6">
        <f t="shared" si="57"/>
        <v>2.9141979856052749</v>
      </c>
      <c r="O138" s="6">
        <f t="shared" si="58"/>
        <v>16.991002014394731</v>
      </c>
      <c r="P138" s="6">
        <f t="shared" si="59"/>
        <v>2.348925806451613</v>
      </c>
      <c r="Q138" s="6">
        <f t="shared" si="51"/>
        <v>4.1676943720435595</v>
      </c>
      <c r="R138" s="6">
        <f t="shared" si="60"/>
        <v>4.3471556542090974</v>
      </c>
      <c r="S138" s="6">
        <f t="shared" si="61"/>
        <v>5.7252749400000003</v>
      </c>
      <c r="T138" s="6">
        <f t="shared" si="62"/>
        <v>5.0964898613906477</v>
      </c>
      <c r="U138" s="6">
        <f t="shared" si="63"/>
        <v>22.628896174994317</v>
      </c>
      <c r="X138" s="6"/>
      <c r="Y138" s="6"/>
      <c r="Z138" s="25"/>
      <c r="AA138" s="25"/>
      <c r="AB138" s="25"/>
      <c r="AC138" s="25"/>
      <c r="AD138" s="6">
        <f t="shared" si="52"/>
        <v>8.2950000000000017</v>
      </c>
      <c r="AE138" s="6">
        <f t="shared" si="53"/>
        <v>33.22</v>
      </c>
      <c r="AF138" s="6">
        <f t="shared" si="54"/>
        <v>3.787085427435902</v>
      </c>
      <c r="AG138" s="6">
        <f t="shared" si="55"/>
        <v>1.5603974459765675</v>
      </c>
      <c r="AH138" s="6">
        <f t="shared" si="64"/>
        <v>1.1133439907296672</v>
      </c>
      <c r="AI138" s="6">
        <f t="shared" si="65"/>
        <v>7.5641874326293809E-2</v>
      </c>
      <c r="AJ138" s="6">
        <f t="shared" si="66"/>
        <v>0.36985287372039544</v>
      </c>
      <c r="AK138" s="6">
        <f t="shared" si="67"/>
        <v>0.74349111700927173</v>
      </c>
      <c r="AL138" s="6">
        <f t="shared" si="56"/>
        <v>0.72470000000000001</v>
      </c>
      <c r="AM138" s="6">
        <v>10.6</v>
      </c>
      <c r="AN138" s="6">
        <f t="shared" si="50"/>
        <v>22.159677419354839</v>
      </c>
    </row>
    <row r="139" spans="1:40" x14ac:dyDescent="0.2">
      <c r="A139" s="1">
        <f t="shared" si="49"/>
        <v>134</v>
      </c>
      <c r="B139" s="2">
        <v>24.45</v>
      </c>
      <c r="C139" s="2">
        <v>54.940416666666643</v>
      </c>
      <c r="D139" s="2">
        <v>1.2789999999999999</v>
      </c>
      <c r="E139" s="2">
        <v>32.43</v>
      </c>
      <c r="F139" s="2">
        <v>88.2</v>
      </c>
      <c r="G139" s="2">
        <v>6.2720000000000002</v>
      </c>
      <c r="H139" s="2">
        <v>16.739999999999998</v>
      </c>
      <c r="I139" s="2">
        <v>27.25</v>
      </c>
      <c r="J139" s="2">
        <v>0</v>
      </c>
      <c r="K139" s="6">
        <v>16.829999999999998</v>
      </c>
      <c r="L139" s="3">
        <v>8.6190210647482015</v>
      </c>
      <c r="N139" s="6">
        <f t="shared" si="57"/>
        <v>2.9141979856052749</v>
      </c>
      <c r="O139" s="6">
        <f t="shared" si="58"/>
        <v>16.991002014394731</v>
      </c>
      <c r="P139" s="6">
        <f t="shared" si="59"/>
        <v>2.348925806451613</v>
      </c>
      <c r="Q139" s="6">
        <f t="shared" si="51"/>
        <v>4.0801101363152252</v>
      </c>
      <c r="R139" s="6">
        <f t="shared" si="60"/>
        <v>4.255800033672239</v>
      </c>
      <c r="S139" s="6">
        <f t="shared" si="61"/>
        <v>5.9819830714285711</v>
      </c>
      <c r="T139" s="6">
        <f t="shared" si="62"/>
        <v>5.2821850461063473</v>
      </c>
      <c r="U139" s="6">
        <f t="shared" si="63"/>
        <v>23.375227284266984</v>
      </c>
      <c r="X139" s="6"/>
      <c r="Y139" s="6"/>
      <c r="Z139" s="25"/>
      <c r="AA139" s="25"/>
      <c r="AB139" s="25"/>
      <c r="AC139" s="25"/>
      <c r="AD139" s="6">
        <f t="shared" si="52"/>
        <v>7.8450000000000006</v>
      </c>
      <c r="AE139" s="6">
        <f t="shared" si="53"/>
        <v>30.475000000000001</v>
      </c>
      <c r="AF139" s="6">
        <f t="shared" si="54"/>
        <v>3.8158923261629312</v>
      </c>
      <c r="AG139" s="6">
        <f t="shared" si="55"/>
        <v>1.6554365449658279</v>
      </c>
      <c r="AH139" s="6">
        <f t="shared" si="64"/>
        <v>1.0802278905985516</v>
      </c>
      <c r="AI139" s="6">
        <f t="shared" si="65"/>
        <v>7.366161914031491E-2</v>
      </c>
      <c r="AJ139" s="6">
        <f t="shared" si="66"/>
        <v>0.32919944965990866</v>
      </c>
      <c r="AK139" s="6">
        <f t="shared" si="67"/>
        <v>0.75102844093864296</v>
      </c>
      <c r="AL139" s="6">
        <f t="shared" si="56"/>
        <v>0.72750000000000004</v>
      </c>
      <c r="AM139" s="6">
        <v>10.6</v>
      </c>
      <c r="AN139" s="6">
        <f t="shared" si="50"/>
        <v>22.159677419354839</v>
      </c>
    </row>
    <row r="140" spans="1:40" x14ac:dyDescent="0.2">
      <c r="A140" s="1">
        <f t="shared" si="49"/>
        <v>135</v>
      </c>
      <c r="B140" s="2">
        <v>23.89</v>
      </c>
      <c r="C140" s="2">
        <v>73.14802083333332</v>
      </c>
      <c r="D140" s="2">
        <v>1.6859999999999999</v>
      </c>
      <c r="E140" s="2">
        <v>28.54</v>
      </c>
      <c r="F140" s="2">
        <v>91.9</v>
      </c>
      <c r="G140" s="2">
        <v>5.1529999999999996</v>
      </c>
      <c r="H140" s="2">
        <v>18.04</v>
      </c>
      <c r="I140" s="2">
        <v>54.87</v>
      </c>
      <c r="J140" s="2">
        <v>0</v>
      </c>
      <c r="K140" s="3">
        <v>10.08</v>
      </c>
      <c r="L140" s="3">
        <v>8.2985340935251806</v>
      </c>
      <c r="N140" s="6">
        <f t="shared" si="57"/>
        <v>2.9141979856052749</v>
      </c>
      <c r="O140" s="6">
        <f t="shared" si="58"/>
        <v>16.991002014394731</v>
      </c>
      <c r="P140" s="6">
        <f t="shared" si="59"/>
        <v>2.348925806451613</v>
      </c>
      <c r="Q140" s="6">
        <f t="shared" si="51"/>
        <v>3.2935195517456424</v>
      </c>
      <c r="R140" s="6">
        <f t="shared" si="60"/>
        <v>3.4353387901135757</v>
      </c>
      <c r="S140" s="6">
        <f t="shared" si="61"/>
        <v>3.5552131199999994</v>
      </c>
      <c r="T140" s="6">
        <f t="shared" si="62"/>
        <v>3.448683750171945</v>
      </c>
      <c r="U140" s="6">
        <f t="shared" si="63"/>
        <v>21.896951779997408</v>
      </c>
      <c r="X140" s="6"/>
      <c r="Y140" s="6"/>
      <c r="Z140" s="25"/>
      <c r="AA140" s="25"/>
      <c r="AB140" s="25"/>
      <c r="AC140" s="25"/>
      <c r="AD140" s="6">
        <f t="shared" si="52"/>
        <v>5.25</v>
      </c>
      <c r="AE140" s="6">
        <f t="shared" si="53"/>
        <v>18.515000000000004</v>
      </c>
      <c r="AF140" s="6">
        <f t="shared" si="54"/>
        <v>3.1274599263498808</v>
      </c>
      <c r="AG140" s="6">
        <f t="shared" si="55"/>
        <v>1.7801108983719434</v>
      </c>
      <c r="AH140" s="6">
        <f t="shared" si="64"/>
        <v>0.67367451398896872</v>
      </c>
      <c r="AI140" s="6">
        <f t="shared" si="65"/>
        <v>4.6926645889635119E-2</v>
      </c>
      <c r="AJ140" s="6">
        <f t="shared" si="66"/>
        <v>0.12473083626505758</v>
      </c>
      <c r="AK140" s="6">
        <f t="shared" si="67"/>
        <v>0.54894367772391117</v>
      </c>
      <c r="AL140" s="6">
        <f t="shared" si="56"/>
        <v>0.72189999999999999</v>
      </c>
      <c r="AM140" s="6">
        <v>10.6</v>
      </c>
      <c r="AN140" s="6">
        <f t="shared" si="50"/>
        <v>22.159677419354839</v>
      </c>
    </row>
    <row r="141" spans="1:40" x14ac:dyDescent="0.2">
      <c r="A141" s="1">
        <f t="shared" si="49"/>
        <v>136</v>
      </c>
      <c r="B141" s="2">
        <v>20.32</v>
      </c>
      <c r="C141" s="2">
        <v>79.373130000000003</v>
      </c>
      <c r="D141" s="2">
        <v>1.214</v>
      </c>
      <c r="E141" s="2">
        <v>28.16</v>
      </c>
      <c r="F141" s="2">
        <v>98.4</v>
      </c>
      <c r="G141" s="2">
        <v>5.4729999999999999</v>
      </c>
      <c r="H141" s="2">
        <v>15.16</v>
      </c>
      <c r="I141" s="2">
        <v>52.3</v>
      </c>
      <c r="J141" s="2">
        <v>0</v>
      </c>
      <c r="K141" s="3">
        <v>13.08</v>
      </c>
      <c r="L141" s="3">
        <v>5.8611630000000003</v>
      </c>
      <c r="N141" s="6">
        <f t="shared" si="57"/>
        <v>2.9141979856052749</v>
      </c>
      <c r="O141" s="6">
        <f t="shared" si="58"/>
        <v>16.991002014394731</v>
      </c>
      <c r="P141" s="6">
        <f t="shared" si="59"/>
        <v>2.348925806451613</v>
      </c>
      <c r="Q141" s="6">
        <f t="shared" si="51"/>
        <v>3.3508753244523559</v>
      </c>
      <c r="R141" s="6">
        <f t="shared" si="60"/>
        <v>3.4951643073818355</v>
      </c>
      <c r="S141" s="6">
        <f t="shared" si="61"/>
        <v>4.3851709028571433</v>
      </c>
      <c r="T141" s="6">
        <f t="shared" si="62"/>
        <v>3.9972374385301954</v>
      </c>
      <c r="U141" s="6">
        <f t="shared" si="63"/>
        <v>14.047048292330985</v>
      </c>
      <c r="X141" s="6"/>
      <c r="Y141" s="6"/>
      <c r="Z141" s="25"/>
      <c r="AA141" s="25"/>
      <c r="AB141" s="25"/>
      <c r="AC141" s="25"/>
      <c r="AD141" s="6">
        <f t="shared" si="52"/>
        <v>6.5</v>
      </c>
      <c r="AE141" s="6">
        <f t="shared" si="53"/>
        <v>23.050000000000004</v>
      </c>
      <c r="AF141" s="6">
        <f t="shared" si="54"/>
        <v>3.0664202200560737</v>
      </c>
      <c r="AG141" s="6">
        <f t="shared" si="55"/>
        <v>1.5142699792289345</v>
      </c>
      <c r="AH141" s="6">
        <f t="shared" si="64"/>
        <v>0.77607512041356963</v>
      </c>
      <c r="AI141" s="6">
        <f t="shared" si="65"/>
        <v>5.3506717932953966E-2</v>
      </c>
      <c r="AJ141" s="6">
        <f t="shared" si="66"/>
        <v>0.17888531525532783</v>
      </c>
      <c r="AK141" s="6">
        <f t="shared" si="67"/>
        <v>0.59718980515824183</v>
      </c>
      <c r="AL141" s="6">
        <f t="shared" si="56"/>
        <v>0.68620000000000003</v>
      </c>
      <c r="AM141" s="6">
        <v>10.6</v>
      </c>
      <c r="AN141" s="6">
        <f t="shared" si="50"/>
        <v>22.159677419354839</v>
      </c>
    </row>
    <row r="142" spans="1:40" x14ac:dyDescent="0.2">
      <c r="A142" s="1">
        <f t="shared" si="49"/>
        <v>137</v>
      </c>
      <c r="B142" s="2">
        <v>23</v>
      </c>
      <c r="C142" s="2">
        <v>71.23948</v>
      </c>
      <c r="D142" s="2">
        <v>0.90200000000000002</v>
      </c>
      <c r="E142" s="2">
        <v>32.28</v>
      </c>
      <c r="F142" s="2">
        <v>100</v>
      </c>
      <c r="G142" s="2">
        <v>5.633</v>
      </c>
      <c r="H142" s="2">
        <v>15.59</v>
      </c>
      <c r="I142" s="2">
        <v>36.97</v>
      </c>
      <c r="J142" s="2">
        <v>0</v>
      </c>
      <c r="K142" s="3">
        <v>14.7</v>
      </c>
      <c r="L142" s="3">
        <v>6.825691</v>
      </c>
      <c r="N142" s="6">
        <f t="shared" si="57"/>
        <v>2.9141979856052749</v>
      </c>
      <c r="O142" s="6">
        <f t="shared" si="58"/>
        <v>16.991002014394731</v>
      </c>
      <c r="P142" s="6">
        <f t="shared" si="59"/>
        <v>2.348925806451613</v>
      </c>
      <c r="Q142" s="6">
        <f t="shared" si="51"/>
        <v>4.063703684412908</v>
      </c>
      <c r="R142" s="6">
        <f t="shared" si="60"/>
        <v>4.2386871185239778</v>
      </c>
      <c r="S142" s="6">
        <f t="shared" si="61"/>
        <v>5.1207659999999979</v>
      </c>
      <c r="T142" s="6">
        <f t="shared" si="62"/>
        <v>5.0141441759821586</v>
      </c>
      <c r="U142" s="6">
        <f t="shared" si="63"/>
        <v>19.706213504695654</v>
      </c>
      <c r="X142" s="6"/>
      <c r="Y142" s="6"/>
      <c r="Z142" s="25"/>
      <c r="AA142" s="25"/>
      <c r="AB142" s="25"/>
      <c r="AC142" s="25"/>
      <c r="AD142" s="6">
        <f t="shared" si="52"/>
        <v>8.3450000000000006</v>
      </c>
      <c r="AE142" s="6">
        <f t="shared" si="53"/>
        <v>31.515000000000001</v>
      </c>
      <c r="AF142" s="6">
        <f t="shared" si="54"/>
        <v>3.787085427435902</v>
      </c>
      <c r="AG142" s="6">
        <f t="shared" si="55"/>
        <v>1.5516009547738201</v>
      </c>
      <c r="AH142" s="6">
        <f t="shared" si="64"/>
        <v>1.117742236331041</v>
      </c>
      <c r="AI142" s="6">
        <f t="shared" si="65"/>
        <v>7.5909784535013805E-2</v>
      </c>
      <c r="AJ142" s="6">
        <f t="shared" si="66"/>
        <v>0.35225646577972752</v>
      </c>
      <c r="AK142" s="6">
        <f t="shared" si="67"/>
        <v>0.76548577055131339</v>
      </c>
      <c r="AL142" s="6">
        <f t="shared" si="56"/>
        <v>0.71299999999999997</v>
      </c>
      <c r="AM142" s="6">
        <v>10.6</v>
      </c>
      <c r="AN142" s="6">
        <f t="shared" si="50"/>
        <v>22.159677419354839</v>
      </c>
    </row>
    <row r="143" spans="1:40" x14ac:dyDescent="0.2">
      <c r="A143" s="1">
        <f t="shared" si="49"/>
        <v>138</v>
      </c>
      <c r="B143" s="2">
        <v>24.93</v>
      </c>
      <c r="C143" s="2">
        <v>60.633850000000002</v>
      </c>
      <c r="D143" s="2">
        <v>1.4470000000000001</v>
      </c>
      <c r="E143" s="2">
        <v>33.39</v>
      </c>
      <c r="F143" s="2">
        <v>97.1</v>
      </c>
      <c r="G143" s="2">
        <v>6.3520000000000003</v>
      </c>
      <c r="H143" s="2">
        <v>16.93</v>
      </c>
      <c r="I143" s="2">
        <v>29.92</v>
      </c>
      <c r="J143" s="2">
        <v>0</v>
      </c>
      <c r="K143" s="3">
        <v>15.69</v>
      </c>
      <c r="L143" s="3">
        <v>7.0953999999999997</v>
      </c>
      <c r="N143" s="6">
        <f t="shared" si="57"/>
        <v>2.9141979856052749</v>
      </c>
      <c r="O143" s="6">
        <f t="shared" si="58"/>
        <v>16.991002014394731</v>
      </c>
      <c r="P143" s="6">
        <f t="shared" si="59"/>
        <v>2.348925806451613</v>
      </c>
      <c r="Q143" s="6">
        <f t="shared" si="51"/>
        <v>4.2265061916771574</v>
      </c>
      <c r="R143" s="6">
        <f t="shared" si="60"/>
        <v>4.4084999159115599</v>
      </c>
      <c r="S143" s="6">
        <f t="shared" si="61"/>
        <v>5.6135816485714276</v>
      </c>
      <c r="T143" s="6">
        <f t="shared" si="62"/>
        <v>5.2943394835035047</v>
      </c>
      <c r="U143" s="6">
        <f t="shared" si="63"/>
        <v>24.686069500956489</v>
      </c>
      <c r="X143" s="6"/>
      <c r="Y143" s="6"/>
      <c r="Z143" s="25"/>
      <c r="AA143" s="25"/>
      <c r="AB143" s="25"/>
      <c r="AC143" s="25"/>
      <c r="AD143" s="6">
        <f t="shared" si="52"/>
        <v>8.23</v>
      </c>
      <c r="AE143" s="6">
        <f t="shared" si="53"/>
        <v>33.589999999999996</v>
      </c>
      <c r="AF143" s="6">
        <f t="shared" si="54"/>
        <v>4.0048139309511148</v>
      </c>
      <c r="AG143" s="6">
        <f t="shared" si="55"/>
        <v>1.6731661000618836</v>
      </c>
      <c r="AH143" s="6">
        <f t="shared" si="64"/>
        <v>1.1658239154446157</v>
      </c>
      <c r="AI143" s="6">
        <f t="shared" si="65"/>
        <v>7.9249364172760892E-2</v>
      </c>
      <c r="AJ143" s="6">
        <f t="shared" si="66"/>
        <v>0.39160025319784636</v>
      </c>
      <c r="AK143" s="6">
        <f t="shared" si="67"/>
        <v>0.77422366224676931</v>
      </c>
      <c r="AL143" s="6">
        <f t="shared" si="56"/>
        <v>0.73229999999999995</v>
      </c>
      <c r="AM143" s="6">
        <v>10.6</v>
      </c>
      <c r="AN143" s="6">
        <f t="shared" si="50"/>
        <v>22.159677419354839</v>
      </c>
    </row>
    <row r="144" spans="1:40" x14ac:dyDescent="0.2">
      <c r="A144" s="1">
        <f t="shared" si="49"/>
        <v>139</v>
      </c>
      <c r="B144" s="2">
        <v>24.05</v>
      </c>
      <c r="C144" s="2">
        <v>61.848959999999998</v>
      </c>
      <c r="D144" s="2">
        <v>1.02</v>
      </c>
      <c r="E144" s="2">
        <v>32.78</v>
      </c>
      <c r="F144" s="2">
        <v>94</v>
      </c>
      <c r="G144" s="2">
        <v>4.0350000000000001</v>
      </c>
      <c r="H144" s="2">
        <v>15.83</v>
      </c>
      <c r="I144" s="2">
        <v>32.729999999999997</v>
      </c>
      <c r="J144" s="2">
        <v>0</v>
      </c>
      <c r="K144" s="3">
        <v>15.49</v>
      </c>
      <c r="L144" s="3">
        <v>7.0058769999999999</v>
      </c>
      <c r="N144" s="6">
        <f t="shared" si="57"/>
        <v>2.9141979856052749</v>
      </c>
      <c r="O144" s="6">
        <f t="shared" si="58"/>
        <v>16.991002014394731</v>
      </c>
      <c r="P144" s="6">
        <f t="shared" si="59"/>
        <v>2.348925806451613</v>
      </c>
      <c r="Q144" s="6">
        <f t="shared" si="51"/>
        <v>4.2006259878930612</v>
      </c>
      <c r="R144" s="6">
        <f t="shared" si="60"/>
        <v>4.381505308301465</v>
      </c>
      <c r="S144" s="6">
        <f t="shared" si="61"/>
        <v>5.4754273285714277</v>
      </c>
      <c r="T144" s="6">
        <f t="shared" si="62"/>
        <v>4.9255773014267419</v>
      </c>
      <c r="U144" s="6">
        <f t="shared" si="63"/>
        <v>22.315769472351722</v>
      </c>
      <c r="X144" s="6"/>
      <c r="Y144" s="6"/>
      <c r="Z144" s="25"/>
      <c r="AA144" s="25"/>
      <c r="AB144" s="25"/>
      <c r="AC144" s="25"/>
      <c r="AD144" s="6">
        <f t="shared" si="52"/>
        <v>8.4750000000000014</v>
      </c>
      <c r="AE144" s="6">
        <f t="shared" si="53"/>
        <v>30.635000000000002</v>
      </c>
      <c r="AF144" s="6">
        <f t="shared" si="54"/>
        <v>3.8838512681544355</v>
      </c>
      <c r="AG144" s="6">
        <f t="shared" si="55"/>
        <v>1.5727860456384577</v>
      </c>
      <c r="AH144" s="6">
        <f t="shared" si="64"/>
        <v>1.1555326112579889</v>
      </c>
      <c r="AI144" s="6">
        <f t="shared" si="65"/>
        <v>7.8393264701544604E-2</v>
      </c>
      <c r="AJ144" s="6">
        <f t="shared" si="66"/>
        <v>0.35399741545888491</v>
      </c>
      <c r="AK144" s="6">
        <f t="shared" si="67"/>
        <v>0.80153519579910393</v>
      </c>
      <c r="AL144" s="6">
        <f t="shared" si="56"/>
        <v>0.72350000000000003</v>
      </c>
      <c r="AM144" s="6">
        <v>10.6</v>
      </c>
      <c r="AN144" s="6">
        <f t="shared" si="50"/>
        <v>22.159677419354839</v>
      </c>
    </row>
    <row r="145" spans="1:40" x14ac:dyDescent="0.2">
      <c r="A145" s="1">
        <f t="shared" si="49"/>
        <v>140</v>
      </c>
      <c r="B145" s="2">
        <v>23.06</v>
      </c>
      <c r="C145" s="2">
        <v>73.546250000000001</v>
      </c>
      <c r="D145" s="2">
        <v>0.99299999999999999</v>
      </c>
      <c r="E145" s="2">
        <v>30.08</v>
      </c>
      <c r="F145" s="2">
        <v>100</v>
      </c>
      <c r="G145" s="2">
        <v>4.9939999999999998</v>
      </c>
      <c r="H145" s="2">
        <v>16.36</v>
      </c>
      <c r="I145" s="2">
        <v>45.01</v>
      </c>
      <c r="J145" s="2">
        <v>0</v>
      </c>
      <c r="K145" s="3">
        <v>14.59</v>
      </c>
      <c r="L145" s="3">
        <v>6.7420299999999997</v>
      </c>
      <c r="N145" s="6">
        <f t="shared" si="57"/>
        <v>2.9141979856052749</v>
      </c>
      <c r="O145" s="6">
        <f t="shared" si="58"/>
        <v>16.991002014394731</v>
      </c>
      <c r="P145" s="6">
        <f t="shared" si="59"/>
        <v>2.348925806451613</v>
      </c>
      <c r="Q145" s="6">
        <f t="shared" si="51"/>
        <v>3.6898534639946243</v>
      </c>
      <c r="R145" s="6">
        <f t="shared" si="60"/>
        <v>3.8487388750970544</v>
      </c>
      <c r="S145" s="6">
        <f t="shared" si="61"/>
        <v>5.0867242971428572</v>
      </c>
      <c r="T145" s="6">
        <f t="shared" si="62"/>
        <v>4.2951071183879508</v>
      </c>
      <c r="U145" s="6">
        <f t="shared" si="63"/>
        <v>19.847452804725844</v>
      </c>
      <c r="X145" s="6"/>
      <c r="Y145" s="6"/>
      <c r="Z145" s="25"/>
      <c r="AA145" s="25"/>
      <c r="AB145" s="25"/>
      <c r="AC145" s="25"/>
      <c r="AD145" s="6">
        <f t="shared" si="52"/>
        <v>6.8599999999999994</v>
      </c>
      <c r="AE145" s="6">
        <f t="shared" si="53"/>
        <v>27.495000000000001</v>
      </c>
      <c r="AF145" s="6">
        <f t="shared" si="54"/>
        <v>3.3858137988157733</v>
      </c>
      <c r="AG145" s="6">
        <f t="shared" si="55"/>
        <v>1.6204711112227217</v>
      </c>
      <c r="AH145" s="6">
        <f t="shared" si="64"/>
        <v>0.88267134379652579</v>
      </c>
      <c r="AI145" s="6">
        <f t="shared" si="65"/>
        <v>6.0676699423268074E-2</v>
      </c>
      <c r="AJ145" s="6">
        <f t="shared" si="66"/>
        <v>0.24269048597685475</v>
      </c>
      <c r="AK145" s="6">
        <f t="shared" si="67"/>
        <v>0.63998085781967107</v>
      </c>
      <c r="AL145" s="6">
        <f t="shared" si="56"/>
        <v>0.71360000000000001</v>
      </c>
      <c r="AM145" s="6">
        <v>10.6</v>
      </c>
      <c r="AN145" s="6">
        <f t="shared" si="50"/>
        <v>22.159677419354839</v>
      </c>
    </row>
    <row r="146" spans="1:40" x14ac:dyDescent="0.2">
      <c r="A146" s="1">
        <f t="shared" si="49"/>
        <v>141</v>
      </c>
      <c r="B146" s="2">
        <v>23.53</v>
      </c>
      <c r="C146" s="2">
        <v>75.681669999999997</v>
      </c>
      <c r="D146" s="2">
        <v>1.284</v>
      </c>
      <c r="E146" s="2">
        <v>30.99</v>
      </c>
      <c r="F146" s="2">
        <v>99</v>
      </c>
      <c r="G146" s="2">
        <v>5.3129999999999997</v>
      </c>
      <c r="H146" s="2">
        <v>18.27</v>
      </c>
      <c r="I146" s="2">
        <v>43.1</v>
      </c>
      <c r="J146" s="2">
        <v>0</v>
      </c>
      <c r="K146" s="3">
        <v>14.91</v>
      </c>
      <c r="L146" s="3">
        <v>6.7471019999999999</v>
      </c>
      <c r="N146" s="6">
        <f t="shared" si="57"/>
        <v>2.9141979856052749</v>
      </c>
      <c r="O146" s="6">
        <f t="shared" si="58"/>
        <v>16.991002014394731</v>
      </c>
      <c r="P146" s="6">
        <f t="shared" si="59"/>
        <v>2.348925806451613</v>
      </c>
      <c r="Q146" s="6">
        <f t="shared" si="51"/>
        <v>3.5937069722424555</v>
      </c>
      <c r="R146" s="6">
        <f t="shared" si="60"/>
        <v>3.748452307047232</v>
      </c>
      <c r="S146" s="6">
        <f t="shared" si="61"/>
        <v>5.2325281799999992</v>
      </c>
      <c r="T146" s="6">
        <f t="shared" si="62"/>
        <v>4.3265471118258274</v>
      </c>
      <c r="U146" s="6">
        <f t="shared" si="63"/>
        <v>20.988655588415241</v>
      </c>
      <c r="X146" s="6"/>
      <c r="Y146" s="6"/>
      <c r="Z146" s="25"/>
      <c r="AA146" s="25"/>
      <c r="AB146" s="25"/>
      <c r="AC146" s="25"/>
      <c r="AD146" s="6">
        <f t="shared" si="52"/>
        <v>6.3599999999999994</v>
      </c>
      <c r="AE146" s="6">
        <f t="shared" si="53"/>
        <v>27.95</v>
      </c>
      <c r="AF146" s="6">
        <f t="shared" si="54"/>
        <v>3.547059554668432</v>
      </c>
      <c r="AG146" s="6">
        <f t="shared" si="55"/>
        <v>1.8030051491271362</v>
      </c>
      <c r="AH146" s="6">
        <f t="shared" si="64"/>
        <v>0.87202720277064794</v>
      </c>
      <c r="AI146" s="6">
        <f t="shared" si="65"/>
        <v>6.0191270061338897E-2</v>
      </c>
      <c r="AJ146" s="6">
        <f t="shared" si="66"/>
        <v>0.2437316031743961</v>
      </c>
      <c r="AK146" s="6">
        <f t="shared" si="67"/>
        <v>0.62829559959625181</v>
      </c>
      <c r="AL146" s="6">
        <f t="shared" si="56"/>
        <v>0.71829999999999994</v>
      </c>
      <c r="AM146" s="6">
        <v>10.6</v>
      </c>
      <c r="AN146" s="6">
        <f t="shared" si="50"/>
        <v>22.159677419354839</v>
      </c>
    </row>
    <row r="147" spans="1:40" x14ac:dyDescent="0.2">
      <c r="A147" s="1">
        <f t="shared" si="49"/>
        <v>142</v>
      </c>
      <c r="B147" s="2">
        <v>22.99</v>
      </c>
      <c r="C147" s="2">
        <v>73.877399999999994</v>
      </c>
      <c r="D147" s="2">
        <v>1.097</v>
      </c>
      <c r="E147" s="2">
        <v>30.32</v>
      </c>
      <c r="F147" s="2">
        <v>98.1</v>
      </c>
      <c r="G147" s="2">
        <v>4.9139999999999997</v>
      </c>
      <c r="H147" s="2">
        <v>16.45</v>
      </c>
      <c r="I147" s="2">
        <v>44.7</v>
      </c>
      <c r="J147" s="2">
        <v>0</v>
      </c>
      <c r="K147" s="3">
        <v>14.72</v>
      </c>
      <c r="L147" s="3">
        <v>6.2738849999999999</v>
      </c>
      <c r="N147" s="6">
        <f t="shared" si="57"/>
        <v>2.9141979856052749</v>
      </c>
      <c r="O147" s="6">
        <f t="shared" si="58"/>
        <v>16.991002014394731</v>
      </c>
      <c r="P147" s="6">
        <f t="shared" si="59"/>
        <v>2.348925806451613</v>
      </c>
      <c r="Q147" s="6">
        <f t="shared" si="51"/>
        <v>3.7036133180661062</v>
      </c>
      <c r="R147" s="6">
        <f t="shared" si="60"/>
        <v>3.8630912296816842</v>
      </c>
      <c r="S147" s="6">
        <f t="shared" si="61"/>
        <v>5.127013851428571</v>
      </c>
      <c r="T147" s="6">
        <f t="shared" si="62"/>
        <v>4.3851715611668114</v>
      </c>
      <c r="U147" s="6">
        <f t="shared" si="63"/>
        <v>19.681055115774409</v>
      </c>
      <c r="X147" s="6"/>
      <c r="Y147" s="6"/>
      <c r="Z147" s="25"/>
      <c r="AA147" s="25"/>
      <c r="AB147" s="25"/>
      <c r="AC147" s="25"/>
      <c r="AD147" s="6">
        <f t="shared" si="52"/>
        <v>6.9350000000000005</v>
      </c>
      <c r="AE147" s="6">
        <f t="shared" si="53"/>
        <v>26.699999999999996</v>
      </c>
      <c r="AF147" s="6">
        <f t="shared" si="54"/>
        <v>3.4277072982239711</v>
      </c>
      <c r="AG147" s="6">
        <f t="shared" si="55"/>
        <v>1.6286933084172832</v>
      </c>
      <c r="AH147" s="6">
        <f t="shared" si="64"/>
        <v>0.89950699490334396</v>
      </c>
      <c r="AI147" s="6">
        <f t="shared" si="65"/>
        <v>6.179604746211078E-2</v>
      </c>
      <c r="AJ147" s="6">
        <f t="shared" si="66"/>
        <v>0.2401683676391928</v>
      </c>
      <c r="AK147" s="6">
        <f t="shared" si="67"/>
        <v>0.65933862726415116</v>
      </c>
      <c r="AL147" s="6">
        <f t="shared" si="56"/>
        <v>0.71289999999999998</v>
      </c>
      <c r="AM147" s="6">
        <v>10.6</v>
      </c>
      <c r="AN147" s="6">
        <f t="shared" si="50"/>
        <v>22.159677419354839</v>
      </c>
    </row>
    <row r="148" spans="1:40" x14ac:dyDescent="0.2">
      <c r="A148" s="1">
        <f t="shared" si="49"/>
        <v>143</v>
      </c>
      <c r="B148" s="2">
        <v>23.13</v>
      </c>
      <c r="C148" s="2">
        <v>72.092083333333335</v>
      </c>
      <c r="D148" s="2">
        <v>0.91700000000000004</v>
      </c>
      <c r="E148" s="2">
        <v>30.22</v>
      </c>
      <c r="F148" s="2">
        <v>100</v>
      </c>
      <c r="G148" s="2">
        <v>4.9139999999999997</v>
      </c>
      <c r="H148" s="2">
        <v>16.98</v>
      </c>
      <c r="I148" s="2">
        <v>42.58</v>
      </c>
      <c r="J148" s="2">
        <v>0</v>
      </c>
      <c r="K148" s="3">
        <v>15.51</v>
      </c>
      <c r="L148" s="3">
        <v>6.7048220000000001</v>
      </c>
      <c r="N148" s="6">
        <f t="shared" si="57"/>
        <v>2.9141979856052749</v>
      </c>
      <c r="O148" s="6">
        <f t="shared" si="58"/>
        <v>16.991002014394731</v>
      </c>
      <c r="P148" s="6">
        <f t="shared" si="59"/>
        <v>2.348925806451613</v>
      </c>
      <c r="Q148" s="6">
        <f t="shared" si="51"/>
        <v>3.6309430605478914</v>
      </c>
      <c r="R148" s="6">
        <f t="shared" si="60"/>
        <v>3.7872917845538883</v>
      </c>
      <c r="S148" s="6">
        <f t="shared" si="61"/>
        <v>5.412781722857142</v>
      </c>
      <c r="T148" s="6">
        <f t="shared" si="62"/>
        <v>4.2732391108457675</v>
      </c>
      <c r="U148" s="6">
        <f t="shared" si="63"/>
        <v>20.015496760434985</v>
      </c>
      <c r="X148" s="6"/>
      <c r="Y148" s="6"/>
      <c r="Z148" s="25"/>
      <c r="AA148" s="25"/>
      <c r="AB148" s="25"/>
      <c r="AC148" s="25"/>
      <c r="AD148" s="6">
        <f t="shared" si="52"/>
        <v>6.6199999999999992</v>
      </c>
      <c r="AE148" s="6">
        <f t="shared" si="53"/>
        <v>28.71</v>
      </c>
      <c r="AF148" s="6">
        <f t="shared" si="54"/>
        <v>3.4101971035638572</v>
      </c>
      <c r="AG148" s="6">
        <f t="shared" si="55"/>
        <v>1.6778593601220768</v>
      </c>
      <c r="AH148" s="6">
        <f t="shared" si="64"/>
        <v>0.86616887172089019</v>
      </c>
      <c r="AI148" s="6">
        <f t="shared" si="65"/>
        <v>5.9659512931271197E-2</v>
      </c>
      <c r="AJ148" s="6">
        <f t="shared" si="66"/>
        <v>0.24867708307106756</v>
      </c>
      <c r="AK148" s="6">
        <f t="shared" si="67"/>
        <v>0.61749178864982257</v>
      </c>
      <c r="AL148" s="6">
        <f t="shared" si="56"/>
        <v>0.71429999999999993</v>
      </c>
      <c r="AM148" s="6">
        <v>10.6</v>
      </c>
      <c r="AN148" s="6">
        <f t="shared" si="50"/>
        <v>22.159677419354839</v>
      </c>
    </row>
    <row r="149" spans="1:40" x14ac:dyDescent="0.2">
      <c r="A149" s="1">
        <f t="shared" si="49"/>
        <v>144</v>
      </c>
      <c r="B149" s="2">
        <v>22.89</v>
      </c>
      <c r="C149" s="2">
        <v>60.502499999999998</v>
      </c>
      <c r="D149" s="2">
        <v>1.266</v>
      </c>
      <c r="E149" s="2">
        <v>31.18</v>
      </c>
      <c r="F149" s="2">
        <v>99.3</v>
      </c>
      <c r="G149" s="2">
        <v>5.952</v>
      </c>
      <c r="H149" s="2">
        <v>14.4</v>
      </c>
      <c r="I149" s="2">
        <v>27.73</v>
      </c>
      <c r="J149" s="2">
        <v>0</v>
      </c>
      <c r="K149" s="3">
        <v>15.9</v>
      </c>
      <c r="L149" s="3">
        <v>6.4982920000000002</v>
      </c>
      <c r="N149" s="6">
        <f t="shared" si="57"/>
        <v>2.9141979856052749</v>
      </c>
      <c r="O149" s="6">
        <f t="shared" si="58"/>
        <v>16.991002014394731</v>
      </c>
      <c r="P149" s="6">
        <f t="shared" si="59"/>
        <v>2.348925806451613</v>
      </c>
      <c r="Q149" s="6">
        <f t="shared" si="51"/>
        <v>4.063660049759803</v>
      </c>
      <c r="R149" s="6">
        <f t="shared" si="60"/>
        <v>4.2386416049589144</v>
      </c>
      <c r="S149" s="6">
        <f t="shared" si="61"/>
        <v>5.5302425999999993</v>
      </c>
      <c r="T149" s="6">
        <f t="shared" si="62"/>
        <v>4.8188733388833827</v>
      </c>
      <c r="U149" s="6">
        <f t="shared" si="63"/>
        <v>19.452786693249291</v>
      </c>
      <c r="X149" s="6"/>
      <c r="Y149" s="6"/>
      <c r="Z149" s="25"/>
      <c r="AA149" s="25"/>
      <c r="AB149" s="25"/>
      <c r="AC149" s="25"/>
      <c r="AD149" s="6">
        <f t="shared" si="52"/>
        <v>8.39</v>
      </c>
      <c r="AE149" s="6">
        <f t="shared" si="53"/>
        <v>35.784999999999997</v>
      </c>
      <c r="AF149" s="6">
        <f t="shared" si="54"/>
        <v>3.5815576918254863</v>
      </c>
      <c r="AG149" s="6">
        <f t="shared" si="55"/>
        <v>1.4502144981715412</v>
      </c>
      <c r="AH149" s="6">
        <f t="shared" si="64"/>
        <v>1.0656715968269725</v>
      </c>
      <c r="AI149" s="6">
        <f t="shared" si="65"/>
        <v>7.2346976205687946E-2</v>
      </c>
      <c r="AJ149" s="6">
        <f t="shared" si="66"/>
        <v>0.38135058092453206</v>
      </c>
      <c r="AK149" s="6">
        <f t="shared" si="67"/>
        <v>0.68432101590244043</v>
      </c>
      <c r="AL149" s="6">
        <f t="shared" si="56"/>
        <v>0.71189999999999998</v>
      </c>
      <c r="AM149" s="6">
        <v>10.6</v>
      </c>
      <c r="AN149" s="6">
        <f t="shared" si="50"/>
        <v>22.159677419354839</v>
      </c>
    </row>
    <row r="150" spans="1:40" x14ac:dyDescent="0.2">
      <c r="A150" s="1">
        <f t="shared" si="49"/>
        <v>145</v>
      </c>
      <c r="B150" s="2">
        <v>19.04</v>
      </c>
      <c r="C150" s="2">
        <v>81.453854166666702</v>
      </c>
      <c r="D150" s="2">
        <v>1.371</v>
      </c>
      <c r="E150" s="2">
        <v>29.64</v>
      </c>
      <c r="F150" s="2">
        <v>100</v>
      </c>
      <c r="G150" s="2">
        <v>9.9499999999999993</v>
      </c>
      <c r="H150" s="2">
        <v>13.73</v>
      </c>
      <c r="I150" s="2">
        <v>43.68</v>
      </c>
      <c r="J150" s="2">
        <v>1.778</v>
      </c>
      <c r="K150" s="3">
        <v>7.8090000000000002</v>
      </c>
      <c r="L150" s="3">
        <v>1.631548</v>
      </c>
      <c r="N150" s="6">
        <f t="shared" si="57"/>
        <v>2.9141979856052749</v>
      </c>
      <c r="O150" s="6">
        <f t="shared" si="58"/>
        <v>16.991002014394731</v>
      </c>
      <c r="P150" s="6">
        <f t="shared" si="59"/>
        <v>2.348925806451613</v>
      </c>
      <c r="Q150" s="6">
        <f t="shared" si="51"/>
        <v>3.5825182597364695</v>
      </c>
      <c r="R150" s="6">
        <f t="shared" si="60"/>
        <v>3.7367818076075459</v>
      </c>
      <c r="S150" s="6">
        <f t="shared" si="61"/>
        <v>2.5691922359999997</v>
      </c>
      <c r="T150" s="6">
        <f t="shared" si="62"/>
        <v>4.6236087106372921</v>
      </c>
      <c r="U150" s="6">
        <f t="shared" si="63"/>
        <v>11.79254881235847</v>
      </c>
      <c r="X150" s="6"/>
      <c r="Y150" s="6"/>
      <c r="Z150" s="25"/>
      <c r="AA150" s="25"/>
      <c r="AB150" s="25"/>
      <c r="AC150" s="25"/>
      <c r="AD150" s="6">
        <f t="shared" si="52"/>
        <v>7.9550000000000001</v>
      </c>
      <c r="AE150" s="6">
        <f t="shared" si="53"/>
        <v>28.16</v>
      </c>
      <c r="AF150" s="6">
        <f t="shared" si="54"/>
        <v>3.3101668511467879</v>
      </c>
      <c r="AG150" s="6">
        <f t="shared" si="55"/>
        <v>1.3957306594139727</v>
      </c>
      <c r="AH150" s="6">
        <f t="shared" si="64"/>
        <v>0.9572180958664076</v>
      </c>
      <c r="AI150" s="6">
        <f t="shared" si="65"/>
        <v>6.5214942261114378E-2</v>
      </c>
      <c r="AJ150" s="6">
        <f t="shared" si="66"/>
        <v>0.26955261579598039</v>
      </c>
      <c r="AK150" s="6">
        <f t="shared" si="67"/>
        <v>0.68766548007042716</v>
      </c>
      <c r="AL150" s="6">
        <f t="shared" si="56"/>
        <v>0.6734</v>
      </c>
      <c r="AM150" s="6">
        <v>10.6</v>
      </c>
      <c r="AN150" s="6">
        <f t="shared" si="50"/>
        <v>22.159677419354839</v>
      </c>
    </row>
    <row r="151" spans="1:40" x14ac:dyDescent="0.2">
      <c r="A151" s="1">
        <f t="shared" si="49"/>
        <v>146</v>
      </c>
      <c r="B151" s="2">
        <v>18.32</v>
      </c>
      <c r="C151" s="2">
        <v>86.750519999999995</v>
      </c>
      <c r="D151" s="2">
        <v>1.3280000000000001</v>
      </c>
      <c r="E151" s="2">
        <v>24.47</v>
      </c>
      <c r="F151" s="2">
        <v>100</v>
      </c>
      <c r="G151" s="2">
        <v>4.8339999999999996</v>
      </c>
      <c r="H151" s="2">
        <v>13.72</v>
      </c>
      <c r="I151" s="2">
        <v>63.46</v>
      </c>
      <c r="J151" s="2">
        <v>0.254</v>
      </c>
      <c r="K151" s="3">
        <v>7.65</v>
      </c>
      <c r="L151" s="3">
        <v>3.4837899999999999</v>
      </c>
      <c r="N151" s="6">
        <f t="shared" si="57"/>
        <v>2.9141979856052749</v>
      </c>
      <c r="O151" s="6">
        <f t="shared" si="58"/>
        <v>16.991002014394731</v>
      </c>
      <c r="P151" s="6">
        <f t="shared" si="59"/>
        <v>2.348925806451613</v>
      </c>
      <c r="Q151" s="6">
        <f t="shared" si="51"/>
        <v>2.8872585430780391</v>
      </c>
      <c r="R151" s="6">
        <f t="shared" si="60"/>
        <v>3.0115841470762326</v>
      </c>
      <c r="S151" s="6">
        <f t="shared" si="61"/>
        <v>2.4899700857142859</v>
      </c>
      <c r="T151" s="6">
        <f t="shared" si="62"/>
        <v>2.7763142764337911</v>
      </c>
      <c r="U151" s="6">
        <f t="shared" si="63"/>
        <v>10.636202935104816</v>
      </c>
      <c r="X151" s="6"/>
      <c r="Y151" s="6"/>
      <c r="Z151" s="25"/>
      <c r="AA151" s="25"/>
      <c r="AB151" s="25"/>
      <c r="AC151" s="25"/>
      <c r="AD151" s="6">
        <f t="shared" si="52"/>
        <v>5.3749999999999991</v>
      </c>
      <c r="AE151" s="6">
        <f t="shared" si="53"/>
        <v>18.27</v>
      </c>
      <c r="AF151" s="6">
        <f t="shared" si="54"/>
        <v>2.5256467451196301</v>
      </c>
      <c r="AG151" s="6">
        <f t="shared" si="55"/>
        <v>1.3949312774339244</v>
      </c>
      <c r="AH151" s="6">
        <f t="shared" si="64"/>
        <v>0.56535773384285282</v>
      </c>
      <c r="AI151" s="6">
        <f t="shared" si="65"/>
        <v>3.9340983696106752E-2</v>
      </c>
      <c r="AJ151" s="6">
        <f t="shared" si="66"/>
        <v>0.10329085797308921</v>
      </c>
      <c r="AK151" s="6">
        <f t="shared" si="67"/>
        <v>0.46206687586976358</v>
      </c>
      <c r="AL151" s="6">
        <f t="shared" si="56"/>
        <v>0.66620000000000001</v>
      </c>
      <c r="AM151" s="6">
        <v>10.6</v>
      </c>
      <c r="AN151" s="6">
        <f t="shared" si="50"/>
        <v>22.159677419354839</v>
      </c>
    </row>
    <row r="152" spans="1:40" x14ac:dyDescent="0.2">
      <c r="A152" s="1">
        <f t="shared" si="49"/>
        <v>147</v>
      </c>
      <c r="B152" s="2">
        <v>16.940000000000001</v>
      </c>
      <c r="C152" s="2">
        <v>91.736459999999994</v>
      </c>
      <c r="D152" s="2">
        <v>1.583</v>
      </c>
      <c r="E152" s="2">
        <v>19.66</v>
      </c>
      <c r="F152" s="2">
        <v>100</v>
      </c>
      <c r="G152" s="2">
        <v>5.0730000000000004</v>
      </c>
      <c r="H152" s="2">
        <v>14.82</v>
      </c>
      <c r="I152" s="2">
        <v>81.2</v>
      </c>
      <c r="J152" s="2">
        <v>21.84</v>
      </c>
      <c r="K152" s="3">
        <v>3.9430000000000001</v>
      </c>
      <c r="L152" s="3">
        <v>0.60597990000000002</v>
      </c>
      <c r="N152" s="6">
        <f t="shared" si="57"/>
        <v>2.9141979856052749</v>
      </c>
      <c r="O152" s="6">
        <f t="shared" si="58"/>
        <v>16.991002014394731</v>
      </c>
      <c r="P152" s="6">
        <f t="shared" si="59"/>
        <v>2.348925806451613</v>
      </c>
      <c r="Q152" s="6">
        <f t="shared" si="51"/>
        <v>1.86331464</v>
      </c>
      <c r="R152" s="6">
        <f t="shared" si="60"/>
        <v>1.9435491304691879</v>
      </c>
      <c r="S152" s="6">
        <f t="shared" si="61"/>
        <v>1.2568075919999999</v>
      </c>
      <c r="T152" s="6">
        <f t="shared" si="62"/>
        <v>1.2946259895179377</v>
      </c>
      <c r="U152" s="6">
        <f t="shared" si="63"/>
        <v>8.6327153356329642</v>
      </c>
      <c r="X152" s="6"/>
      <c r="Y152" s="6"/>
      <c r="Z152" s="25"/>
      <c r="AA152" s="25"/>
      <c r="AB152" s="25"/>
      <c r="AC152" s="25"/>
      <c r="AD152" s="6">
        <f t="shared" si="52"/>
        <v>2.42</v>
      </c>
      <c r="AE152" s="6">
        <f t="shared" si="53"/>
        <v>9.3999999999999986</v>
      </c>
      <c r="AF152" s="6">
        <f t="shared" si="54"/>
        <v>1.9469385414523064</v>
      </c>
      <c r="AG152" s="6">
        <f t="shared" si="55"/>
        <v>1.4853129581208873</v>
      </c>
      <c r="AH152" s="6">
        <f t="shared" si="64"/>
        <v>0.23081279166570956</v>
      </c>
      <c r="AI152" s="6">
        <f t="shared" si="65"/>
        <v>1.64597520917125E-2</v>
      </c>
      <c r="AJ152" s="6">
        <f t="shared" si="66"/>
        <v>2.1696402416576697E-2</v>
      </c>
      <c r="AK152" s="6">
        <f t="shared" si="67"/>
        <v>0.20911638924913287</v>
      </c>
      <c r="AL152" s="6">
        <f t="shared" si="56"/>
        <v>0.65239999999999998</v>
      </c>
      <c r="AM152" s="6">
        <v>10.6</v>
      </c>
      <c r="AN152" s="6">
        <f t="shared" si="50"/>
        <v>22.159677419354839</v>
      </c>
    </row>
    <row r="153" spans="1:40" x14ac:dyDescent="0.2">
      <c r="A153" s="1">
        <f t="shared" si="49"/>
        <v>148</v>
      </c>
      <c r="B153" s="2">
        <v>19.350000000000001</v>
      </c>
      <c r="C153" s="2">
        <v>93.453645833333326</v>
      </c>
      <c r="D153" s="2">
        <v>0.92900000000000005</v>
      </c>
      <c r="E153" s="2">
        <v>25.52</v>
      </c>
      <c r="F153" s="2">
        <v>100</v>
      </c>
      <c r="G153" s="2">
        <v>5.952</v>
      </c>
      <c r="H153" s="2">
        <v>15.82</v>
      </c>
      <c r="I153" s="2">
        <v>69.38</v>
      </c>
      <c r="J153" s="2">
        <v>16.260000000000002</v>
      </c>
      <c r="K153" s="3">
        <v>8.02</v>
      </c>
      <c r="L153" s="3">
        <v>3.3863439999999998</v>
      </c>
      <c r="N153" s="6">
        <f t="shared" si="57"/>
        <v>2.9141979856052749</v>
      </c>
      <c r="O153" s="6">
        <f t="shared" si="58"/>
        <v>16.991002014394731</v>
      </c>
      <c r="P153" s="6">
        <f t="shared" si="59"/>
        <v>2.348925806451613</v>
      </c>
      <c r="Q153" s="6">
        <f t="shared" si="51"/>
        <v>2.8208395657433796</v>
      </c>
      <c r="R153" s="6">
        <f t="shared" si="60"/>
        <v>2.9423051628004311</v>
      </c>
      <c r="S153" s="6">
        <f t="shared" si="61"/>
        <v>2.6507589428571423</v>
      </c>
      <c r="T153" s="6">
        <f t="shared" si="62"/>
        <v>2.9896373047795164</v>
      </c>
      <c r="U153" s="6">
        <f t="shared" si="63"/>
        <v>12.30867212496339</v>
      </c>
      <c r="X153" s="6"/>
      <c r="Y153" s="6"/>
      <c r="Z153" s="25"/>
      <c r="AA153" s="25"/>
      <c r="AB153" s="25"/>
      <c r="AC153" s="25"/>
      <c r="AD153" s="6">
        <f t="shared" si="52"/>
        <v>4.8499999999999996</v>
      </c>
      <c r="AE153" s="6">
        <f t="shared" si="53"/>
        <v>15.310000000000002</v>
      </c>
      <c r="AF153" s="6">
        <f t="shared" si="54"/>
        <v>2.6703032630571646</v>
      </c>
      <c r="AG153" s="6">
        <f t="shared" si="55"/>
        <v>1.571898292241432</v>
      </c>
      <c r="AH153" s="6">
        <f t="shared" si="64"/>
        <v>0.54920248540786631</v>
      </c>
      <c r="AI153" s="6">
        <f t="shared" si="65"/>
        <v>3.8382698205399468E-2</v>
      </c>
      <c r="AJ153" s="6">
        <f t="shared" si="66"/>
        <v>8.4082900515944345E-2</v>
      </c>
      <c r="AK153" s="6">
        <f t="shared" si="67"/>
        <v>0.46511958489192196</v>
      </c>
      <c r="AL153" s="6">
        <f t="shared" si="56"/>
        <v>0.67649999999999999</v>
      </c>
      <c r="AM153" s="6">
        <v>10.6</v>
      </c>
      <c r="AN153" s="6">
        <f t="shared" si="50"/>
        <v>22.159677419354839</v>
      </c>
    </row>
    <row r="154" spans="1:40" x14ac:dyDescent="0.2">
      <c r="A154" s="1">
        <f t="shared" si="49"/>
        <v>149</v>
      </c>
      <c r="B154" s="2">
        <v>18.45</v>
      </c>
      <c r="C154" s="2">
        <v>87.618125000000006</v>
      </c>
      <c r="D154" s="8">
        <v>2</v>
      </c>
      <c r="E154" s="2">
        <v>22.54</v>
      </c>
      <c r="F154" s="2">
        <v>100</v>
      </c>
      <c r="G154" s="8">
        <v>6.1920000000000002</v>
      </c>
      <c r="H154" s="2">
        <v>13.38</v>
      </c>
      <c r="I154" s="2">
        <v>65.23</v>
      </c>
      <c r="J154" s="2">
        <v>0</v>
      </c>
      <c r="K154" s="3">
        <v>9.77</v>
      </c>
      <c r="L154" s="3">
        <v>3.6615730000000002</v>
      </c>
      <c r="N154" s="6">
        <f t="shared" si="57"/>
        <v>2.9141979856052749</v>
      </c>
      <c r="O154" s="6">
        <f t="shared" si="58"/>
        <v>16.991002014394731</v>
      </c>
      <c r="P154" s="6">
        <f t="shared" si="59"/>
        <v>2.348925806451613</v>
      </c>
      <c r="Q154" s="6">
        <f t="shared" si="51"/>
        <v>2.6747885104667621</v>
      </c>
      <c r="R154" s="6">
        <f t="shared" si="60"/>
        <v>2.7899651363801068</v>
      </c>
      <c r="S154" s="6">
        <f t="shared" si="61"/>
        <v>3.1862063571428565</v>
      </c>
      <c r="T154" s="6">
        <f t="shared" si="62"/>
        <v>2.6191812541791135</v>
      </c>
      <c r="U154" s="6">
        <f t="shared" si="63"/>
        <v>10.838428179800074</v>
      </c>
      <c r="X154" s="6"/>
      <c r="Y154" s="6"/>
      <c r="Z154" s="25"/>
      <c r="AA154" s="25"/>
      <c r="AB154" s="25"/>
      <c r="AC154" s="25"/>
      <c r="AD154" s="6">
        <f t="shared" si="52"/>
        <v>4.5799999999999992</v>
      </c>
      <c r="AE154" s="6">
        <f t="shared" si="53"/>
        <v>17.384999999999998</v>
      </c>
      <c r="AF154" s="6">
        <f t="shared" si="54"/>
        <v>2.2775344393563253</v>
      </c>
      <c r="AG154" s="6">
        <f t="shared" si="55"/>
        <v>1.3679904600623585</v>
      </c>
      <c r="AH154" s="6">
        <f t="shared" si="64"/>
        <v>0.4547719896469834</v>
      </c>
      <c r="AI154" s="6">
        <f t="shared" si="65"/>
        <v>3.1854129545760015E-2</v>
      </c>
      <c r="AJ154" s="6">
        <f t="shared" si="66"/>
        <v>7.9062110400128061E-2</v>
      </c>
      <c r="AK154" s="6">
        <f t="shared" si="67"/>
        <v>0.37570987924685534</v>
      </c>
      <c r="AL154" s="6">
        <f t="shared" si="56"/>
        <v>0.66749999999999998</v>
      </c>
      <c r="AM154" s="6">
        <v>10.6</v>
      </c>
      <c r="AN154" s="6">
        <f t="shared" si="50"/>
        <v>22.159677419354839</v>
      </c>
    </row>
    <row r="155" spans="1:40" x14ac:dyDescent="0.2">
      <c r="A155" s="1">
        <f t="shared" si="49"/>
        <v>150</v>
      </c>
      <c r="B155" s="2">
        <v>14.92</v>
      </c>
      <c r="C155" s="2">
        <v>73.732812500000023</v>
      </c>
      <c r="D155" s="8">
        <v>0.92700000000000005</v>
      </c>
      <c r="E155" s="2">
        <v>21.78</v>
      </c>
      <c r="F155" s="2">
        <v>99.9</v>
      </c>
      <c r="G155" s="8">
        <v>5.3929999999999998</v>
      </c>
      <c r="H155" s="2">
        <v>9.56</v>
      </c>
      <c r="I155" s="2">
        <v>36.729999999999997</v>
      </c>
      <c r="J155" s="2">
        <v>0</v>
      </c>
      <c r="K155" s="3">
        <v>16.47</v>
      </c>
      <c r="L155" s="3">
        <v>5.3122369999999997</v>
      </c>
      <c r="N155" s="6">
        <f t="shared" si="57"/>
        <v>2.9141979856052749</v>
      </c>
      <c r="O155" s="6">
        <f t="shared" si="58"/>
        <v>16.991002014394731</v>
      </c>
      <c r="P155" s="6">
        <f t="shared" si="59"/>
        <v>2.348925806451613</v>
      </c>
      <c r="Q155" s="6">
        <f t="shared" si="51"/>
        <v>2.7885767317355663</v>
      </c>
      <c r="R155" s="6">
        <f t="shared" si="60"/>
        <v>2.908653088354026</v>
      </c>
      <c r="S155" s="6">
        <f t="shared" si="61"/>
        <v>5.0871688971428553</v>
      </c>
      <c r="T155" s="6">
        <f t="shared" si="62"/>
        <v>3.0035835726911424</v>
      </c>
      <c r="U155" s="6">
        <f t="shared" si="63"/>
        <v>6.1593909927659567</v>
      </c>
      <c r="X155" s="6"/>
      <c r="Y155" s="6"/>
      <c r="Z155" s="25"/>
      <c r="AA155" s="25"/>
      <c r="AB155" s="25"/>
      <c r="AC155" s="25"/>
      <c r="AD155" s="6">
        <f t="shared" si="52"/>
        <v>6.11</v>
      </c>
      <c r="AE155" s="6">
        <f t="shared" si="53"/>
        <v>31.585000000000004</v>
      </c>
      <c r="AF155" s="6">
        <f t="shared" si="54"/>
        <v>2.1858477089502357</v>
      </c>
      <c r="AG155" s="6">
        <f t="shared" si="55"/>
        <v>1.0952758156723164</v>
      </c>
      <c r="AH155" s="6">
        <f t="shared" si="64"/>
        <v>0.54528594663895968</v>
      </c>
      <c r="AI155" s="6">
        <f t="shared" si="65"/>
        <v>3.7715461506504622E-2</v>
      </c>
      <c r="AJ155" s="6">
        <f t="shared" si="66"/>
        <v>0.17222856624591543</v>
      </c>
      <c r="AK155" s="6">
        <f t="shared" si="67"/>
        <v>0.37305738039304426</v>
      </c>
      <c r="AL155" s="6">
        <f t="shared" si="56"/>
        <v>0.63219999999999998</v>
      </c>
      <c r="AM155" s="6">
        <v>10.6</v>
      </c>
      <c r="AN155" s="6">
        <f t="shared" si="50"/>
        <v>22.159677419354839</v>
      </c>
    </row>
    <row r="156" spans="1:40" x14ac:dyDescent="0.2">
      <c r="A156" s="1">
        <f t="shared" si="49"/>
        <v>151</v>
      </c>
      <c r="B156" s="2">
        <v>15.14</v>
      </c>
      <c r="C156" s="2">
        <v>73.833129999999997</v>
      </c>
      <c r="D156" s="8">
        <v>1.6240000000000001</v>
      </c>
      <c r="E156" s="2">
        <v>21.97</v>
      </c>
      <c r="F156" s="2">
        <v>99.3</v>
      </c>
      <c r="G156" s="8">
        <v>6.8310000000000004</v>
      </c>
      <c r="H156" s="2">
        <v>8.51</v>
      </c>
      <c r="I156" s="2">
        <v>41.28</v>
      </c>
      <c r="J156" s="2">
        <v>0</v>
      </c>
      <c r="K156" s="3">
        <v>15.35</v>
      </c>
      <c r="L156" s="3">
        <v>4.4286950000000003</v>
      </c>
      <c r="N156" s="6">
        <f t="shared" si="57"/>
        <v>2.9141979856052749</v>
      </c>
      <c r="O156" s="6">
        <f t="shared" si="58"/>
        <v>16.991002014394731</v>
      </c>
      <c r="P156" s="6">
        <f t="shared" si="59"/>
        <v>2.348925806451613</v>
      </c>
      <c r="Q156" s="6">
        <f t="shared" si="51"/>
        <v>2.9463194046286705</v>
      </c>
      <c r="R156" s="6">
        <f t="shared" si="60"/>
        <v>3.0731881744623375</v>
      </c>
      <c r="S156" s="6">
        <f t="shared" si="61"/>
        <v>4.7577281142857135</v>
      </c>
      <c r="T156" s="6">
        <f t="shared" si="62"/>
        <v>3.2851624966821582</v>
      </c>
      <c r="U156" s="6">
        <f t="shared" si="63"/>
        <v>6.4055440334938583</v>
      </c>
      <c r="X156" s="6"/>
      <c r="Y156" s="6"/>
      <c r="Z156" s="25"/>
      <c r="AA156" s="25"/>
      <c r="AB156" s="25"/>
      <c r="AC156" s="25"/>
      <c r="AD156" s="6">
        <f t="shared" si="52"/>
        <v>6.7299999999999995</v>
      </c>
      <c r="AE156" s="6">
        <f t="shared" si="53"/>
        <v>29.009999999999998</v>
      </c>
      <c r="AF156" s="6">
        <f t="shared" si="54"/>
        <v>2.2084612118532378</v>
      </c>
      <c r="AG156" s="6">
        <f t="shared" si="55"/>
        <v>1.0292564375229374</v>
      </c>
      <c r="AH156" s="6">
        <f t="shared" si="64"/>
        <v>0.58960238716515023</v>
      </c>
      <c r="AI156" s="6">
        <f t="shared" si="65"/>
        <v>4.0573712492198981E-2</v>
      </c>
      <c r="AJ156" s="6">
        <f t="shared" si="66"/>
        <v>0.17104365251661008</v>
      </c>
      <c r="AK156" s="6">
        <f t="shared" si="67"/>
        <v>0.41855873464854015</v>
      </c>
      <c r="AL156" s="6">
        <f t="shared" si="56"/>
        <v>0.63439999999999996</v>
      </c>
      <c r="AM156" s="6">
        <v>10.6</v>
      </c>
      <c r="AN156" s="6">
        <f t="shared" si="50"/>
        <v>22.159677419354839</v>
      </c>
    </row>
    <row r="157" spans="1:40" x14ac:dyDescent="0.2">
      <c r="A157" s="1">
        <f t="shared" si="49"/>
        <v>152</v>
      </c>
      <c r="B157" s="2">
        <v>15.99</v>
      </c>
      <c r="C157" s="2">
        <v>73.136250000000004</v>
      </c>
      <c r="D157" s="2">
        <v>1.4610000000000001</v>
      </c>
      <c r="E157" s="2">
        <v>24.56</v>
      </c>
      <c r="F157" s="2">
        <v>100</v>
      </c>
      <c r="G157" s="8">
        <v>6.4320000000000004</v>
      </c>
      <c r="H157" s="2">
        <v>7.5990000000000002</v>
      </c>
      <c r="I157" s="2">
        <v>33.68</v>
      </c>
      <c r="J157" s="2">
        <v>0.254</v>
      </c>
      <c r="K157" s="3">
        <v>16.02</v>
      </c>
      <c r="L157" s="3">
        <v>5.0589589999999998</v>
      </c>
      <c r="N157" s="6">
        <f t="shared" si="57"/>
        <v>2.9141979856052749</v>
      </c>
      <c r="O157" s="6">
        <f t="shared" si="58"/>
        <v>16.991002014394731</v>
      </c>
      <c r="P157" s="6">
        <f t="shared" si="59"/>
        <v>2.348925806451613</v>
      </c>
      <c r="Q157" s="6">
        <f t="shared" si="51"/>
        <v>3.3927168844201239</v>
      </c>
      <c r="R157" s="6">
        <f t="shared" si="60"/>
        <v>3.5388075685611873</v>
      </c>
      <c r="S157" s="6">
        <f t="shared" si="61"/>
        <v>5.0319231942857146</v>
      </c>
      <c r="T157" s="6">
        <f t="shared" si="62"/>
        <v>3.9636664798688348</v>
      </c>
      <c r="U157" s="6">
        <f t="shared" si="63"/>
        <v>7.4106092127814538</v>
      </c>
      <c r="X157" s="6"/>
      <c r="Y157" s="6"/>
      <c r="Z157" s="25"/>
      <c r="AA157" s="25"/>
      <c r="AB157" s="25"/>
      <c r="AC157" s="25"/>
      <c r="AD157" s="6">
        <f t="shared" si="52"/>
        <v>8.4804999999999993</v>
      </c>
      <c r="AE157" s="6">
        <f t="shared" si="53"/>
        <v>33.159999999999997</v>
      </c>
      <c r="AF157" s="6">
        <f t="shared" si="54"/>
        <v>2.5377716672429678</v>
      </c>
      <c r="AG157" s="6">
        <f t="shared" si="55"/>
        <v>0.97484242413160804</v>
      </c>
      <c r="AH157" s="6">
        <f t="shared" si="64"/>
        <v>0.78146462155567986</v>
      </c>
      <c r="AI157" s="6">
        <f t="shared" si="65"/>
        <v>5.3013494021500733E-2</v>
      </c>
      <c r="AJ157" s="6">
        <f t="shared" si="66"/>
        <v>0.2591336685078634</v>
      </c>
      <c r="AK157" s="6">
        <f t="shared" si="67"/>
        <v>0.5223309530478164</v>
      </c>
      <c r="AL157" s="6">
        <f t="shared" si="56"/>
        <v>0.64290000000000003</v>
      </c>
      <c r="AM157" s="6">
        <v>10.6</v>
      </c>
      <c r="AN157" s="6">
        <f t="shared" si="50"/>
        <v>22.159677419354839</v>
      </c>
    </row>
    <row r="158" spans="1:40" x14ac:dyDescent="0.2">
      <c r="A158" s="1">
        <f t="shared" si="49"/>
        <v>153</v>
      </c>
      <c r="B158" s="2">
        <v>16.84</v>
      </c>
      <c r="C158" s="2">
        <v>72.520799999999994</v>
      </c>
      <c r="D158" s="2">
        <v>0.83599999999999997</v>
      </c>
      <c r="E158" s="2">
        <v>27.2</v>
      </c>
      <c r="F158" s="2">
        <v>100</v>
      </c>
      <c r="G158" s="8">
        <v>3.476</v>
      </c>
      <c r="H158" s="2">
        <v>8.41</v>
      </c>
      <c r="I158" s="2">
        <v>29.44</v>
      </c>
      <c r="J158" s="2">
        <v>0</v>
      </c>
      <c r="K158" s="3">
        <v>15.82</v>
      </c>
      <c r="L158" s="3">
        <v>5.6953170000000002</v>
      </c>
      <c r="N158" s="6">
        <f t="shared" si="57"/>
        <v>1.9705595811851879</v>
      </c>
      <c r="O158" s="6">
        <f t="shared" si="58"/>
        <v>13.603710641037043</v>
      </c>
      <c r="P158" s="6">
        <f t="shared" si="59"/>
        <v>1.9338880000000001</v>
      </c>
      <c r="Q158" s="6">
        <f t="shared" si="51"/>
        <v>3.3154336608470474</v>
      </c>
      <c r="R158" s="6">
        <f t="shared" si="60"/>
        <v>3.4581965226589726</v>
      </c>
      <c r="S158" s="6">
        <f t="shared" si="61"/>
        <v>5.0348008799999988</v>
      </c>
      <c r="T158" s="6">
        <f t="shared" si="62"/>
        <v>4.0684506236771618</v>
      </c>
      <c r="U158" s="6">
        <f t="shared" si="63"/>
        <v>8.5051876310813199</v>
      </c>
      <c r="X158" s="6"/>
      <c r="Y158" s="6"/>
      <c r="Z158" s="25"/>
      <c r="AA158" s="25"/>
      <c r="AB158" s="25"/>
      <c r="AC158" s="25"/>
      <c r="AD158" s="6">
        <f t="shared" si="52"/>
        <v>9.3949999999999996</v>
      </c>
      <c r="AE158" s="6">
        <f t="shared" si="53"/>
        <v>35.28</v>
      </c>
      <c r="AF158" s="6">
        <f t="shared" si="54"/>
        <v>2.9168208964238245</v>
      </c>
      <c r="AG158" s="6">
        <f t="shared" si="55"/>
        <v>1.0231555756361606</v>
      </c>
      <c r="AH158" s="6">
        <f t="shared" si="64"/>
        <v>0.94683266039383196</v>
      </c>
      <c r="AI158" s="6">
        <f t="shared" si="65"/>
        <v>6.3756503199236855E-2</v>
      </c>
      <c r="AJ158" s="6">
        <f t="shared" si="66"/>
        <v>0.33404256258694398</v>
      </c>
      <c r="AK158" s="6">
        <f t="shared" si="67"/>
        <v>0.61279009780688798</v>
      </c>
      <c r="AL158" s="6">
        <f t="shared" si="56"/>
        <v>0.65139999999999998</v>
      </c>
      <c r="AM158" s="6">
        <v>9.6</v>
      </c>
      <c r="AN158" s="6">
        <f>$X$11</f>
        <v>20.144666666666669</v>
      </c>
    </row>
    <row r="159" spans="1:40" x14ac:dyDescent="0.2">
      <c r="A159" s="1">
        <f t="shared" si="49"/>
        <v>154</v>
      </c>
      <c r="B159" s="2">
        <v>18.579999999999998</v>
      </c>
      <c r="C159" s="2">
        <v>68.579170000000005</v>
      </c>
      <c r="D159" s="2">
        <v>0.98</v>
      </c>
      <c r="E159" s="2">
        <v>28.4</v>
      </c>
      <c r="F159" s="2">
        <v>97</v>
      </c>
      <c r="G159" s="8">
        <v>4.1950000000000003</v>
      </c>
      <c r="H159" s="2">
        <v>10.42</v>
      </c>
      <c r="I159" s="2">
        <v>31.76</v>
      </c>
      <c r="J159" s="2">
        <v>0</v>
      </c>
      <c r="K159" s="3">
        <v>15.12</v>
      </c>
      <c r="L159" s="3">
        <v>5.8539510000000003</v>
      </c>
      <c r="N159" s="6">
        <f t="shared" si="57"/>
        <v>1.9705595811851879</v>
      </c>
      <c r="O159" s="6">
        <f t="shared" si="58"/>
        <v>13.603710641037043</v>
      </c>
      <c r="P159" s="6">
        <f t="shared" si="59"/>
        <v>1.9338880000000001</v>
      </c>
      <c r="Q159" s="6">
        <f t="shared" si="51"/>
        <v>3.4060938290922862</v>
      </c>
      <c r="R159" s="6">
        <f t="shared" si="60"/>
        <v>3.5527605256344574</v>
      </c>
      <c r="S159" s="6">
        <f t="shared" si="61"/>
        <v>4.9405593599999991</v>
      </c>
      <c r="T159" s="6">
        <f t="shared" si="62"/>
        <v>4.3026018593247697</v>
      </c>
      <c r="U159" s="6">
        <f t="shared" si="63"/>
        <v>11.051641262941768</v>
      </c>
      <c r="X159" s="6"/>
      <c r="Y159" s="6"/>
      <c r="Z159" s="25"/>
      <c r="AA159" s="25"/>
      <c r="AB159" s="25"/>
      <c r="AC159" s="25"/>
      <c r="AD159" s="6">
        <f t="shared" si="52"/>
        <v>8.9899999999999984</v>
      </c>
      <c r="AE159" s="6">
        <f t="shared" si="53"/>
        <v>32.619999999999997</v>
      </c>
      <c r="AF159" s="6">
        <f t="shared" si="54"/>
        <v>3.1048494547771921</v>
      </c>
      <c r="AG159" s="6">
        <f t="shared" si="55"/>
        <v>1.1520964400327582</v>
      </c>
      <c r="AH159" s="6">
        <f t="shared" si="64"/>
        <v>0.97637650737221693</v>
      </c>
      <c r="AI159" s="6">
        <f t="shared" si="65"/>
        <v>6.596228898787182E-2</v>
      </c>
      <c r="AJ159" s="6">
        <f t="shared" si="66"/>
        <v>0.31849401670481714</v>
      </c>
      <c r="AK159" s="6">
        <f t="shared" si="67"/>
        <v>0.65788249066739979</v>
      </c>
      <c r="AL159" s="6">
        <f t="shared" si="56"/>
        <v>0.66879999999999995</v>
      </c>
      <c r="AM159" s="6">
        <v>9.6</v>
      </c>
      <c r="AN159" s="6">
        <f t="shared" ref="AN159:AN187" si="68">$X$11</f>
        <v>20.144666666666669</v>
      </c>
    </row>
    <row r="160" spans="1:40" x14ac:dyDescent="0.2">
      <c r="A160" s="1">
        <f t="shared" si="49"/>
        <v>155</v>
      </c>
      <c r="B160" s="2">
        <v>19.11</v>
      </c>
      <c r="C160" s="2">
        <v>77.88239583333332</v>
      </c>
      <c r="D160" s="8">
        <v>0.876</v>
      </c>
      <c r="E160" s="2">
        <v>27.73</v>
      </c>
      <c r="F160" s="2">
        <v>96.8</v>
      </c>
      <c r="G160" s="8">
        <v>4.2750000000000004</v>
      </c>
      <c r="H160" s="2">
        <v>13.19</v>
      </c>
      <c r="I160" s="2">
        <v>45.11</v>
      </c>
      <c r="J160" s="2">
        <v>0</v>
      </c>
      <c r="K160" s="3">
        <v>11.43</v>
      </c>
      <c r="L160" s="3">
        <v>4.6710700000000003</v>
      </c>
      <c r="N160" s="6">
        <f t="shared" si="57"/>
        <v>1.9705595811851879</v>
      </c>
      <c r="O160" s="6">
        <f t="shared" si="58"/>
        <v>13.603710641037043</v>
      </c>
      <c r="P160" s="6">
        <f t="shared" si="59"/>
        <v>1.9338880000000001</v>
      </c>
      <c r="Q160" s="6">
        <f t="shared" si="51"/>
        <v>3.1076014650075821</v>
      </c>
      <c r="R160" s="6">
        <f t="shared" si="60"/>
        <v>3.2414150543894511</v>
      </c>
      <c r="S160" s="6">
        <f t="shared" si="61"/>
        <v>3.7644247799999988</v>
      </c>
      <c r="T160" s="6">
        <f t="shared" si="62"/>
        <v>3.6852959718266023</v>
      </c>
      <c r="U160" s="6">
        <f t="shared" si="63"/>
        <v>11.910558490517683</v>
      </c>
      <c r="X160" s="6"/>
      <c r="Y160" s="6"/>
      <c r="Z160" s="25"/>
      <c r="AA160" s="25"/>
      <c r="AB160" s="25"/>
      <c r="AC160" s="25"/>
      <c r="AD160" s="6">
        <f t="shared" si="52"/>
        <v>7.2700000000000005</v>
      </c>
      <c r="AE160" s="6">
        <f t="shared" si="53"/>
        <v>25.844999999999999</v>
      </c>
      <c r="AF160" s="6">
        <f t="shared" si="54"/>
        <v>2.998604551253278</v>
      </c>
      <c r="AG160" s="6">
        <f t="shared" si="55"/>
        <v>1.3531352901532321</v>
      </c>
      <c r="AH160" s="6">
        <f t="shared" si="64"/>
        <v>0.82273463055002294</v>
      </c>
      <c r="AI160" s="6">
        <f t="shared" si="65"/>
        <v>5.6367057605372667E-2</v>
      </c>
      <c r="AJ160" s="6">
        <f t="shared" si="66"/>
        <v>0.21263576526565342</v>
      </c>
      <c r="AK160" s="6">
        <f t="shared" si="67"/>
        <v>0.61009886528436952</v>
      </c>
      <c r="AL160" s="6">
        <f t="shared" si="56"/>
        <v>0.67409999999999992</v>
      </c>
      <c r="AM160" s="6">
        <v>9.6</v>
      </c>
      <c r="AN160" s="6">
        <f t="shared" si="68"/>
        <v>20.144666666666669</v>
      </c>
    </row>
    <row r="161" spans="1:40" x14ac:dyDescent="0.2">
      <c r="A161" s="1">
        <f t="shared" si="49"/>
        <v>156</v>
      </c>
      <c r="B161" s="2">
        <v>18.940000000000001</v>
      </c>
      <c r="C161" s="2">
        <v>79.588229166666679</v>
      </c>
      <c r="D161" s="8">
        <v>1.827</v>
      </c>
      <c r="E161" s="2">
        <v>25.23</v>
      </c>
      <c r="F161" s="2">
        <v>100</v>
      </c>
      <c r="G161" s="8">
        <v>6.1120000000000001</v>
      </c>
      <c r="H161" s="2">
        <v>13.96</v>
      </c>
      <c r="I161" s="2">
        <v>52.3</v>
      </c>
      <c r="J161" s="2">
        <v>0</v>
      </c>
      <c r="K161" s="3">
        <v>14.15</v>
      </c>
      <c r="L161" s="3">
        <v>5.2941789999999997</v>
      </c>
      <c r="N161" s="6">
        <f t="shared" si="57"/>
        <v>1.9705595811851879</v>
      </c>
      <c r="O161" s="6">
        <f t="shared" si="58"/>
        <v>13.603710641037043</v>
      </c>
      <c r="P161" s="6">
        <f t="shared" si="59"/>
        <v>1.9338880000000001</v>
      </c>
      <c r="Q161" s="6">
        <f t="shared" si="51"/>
        <v>2.7233294281735678</v>
      </c>
      <c r="R161" s="6">
        <f t="shared" si="60"/>
        <v>2.8405962302254486</v>
      </c>
      <c r="S161" s="6">
        <f t="shared" si="61"/>
        <v>4.6484933142857132</v>
      </c>
      <c r="T161" s="6">
        <f t="shared" si="62"/>
        <v>3.4178082758658532</v>
      </c>
      <c r="U161" s="6">
        <f t="shared" si="63"/>
        <v>11.628342676169495</v>
      </c>
      <c r="X161" s="6"/>
      <c r="Y161" s="6"/>
      <c r="Z161" s="25"/>
      <c r="AA161" s="25"/>
      <c r="AB161" s="25"/>
      <c r="AC161" s="25"/>
      <c r="AD161" s="6">
        <f t="shared" si="52"/>
        <v>5.6349999999999998</v>
      </c>
      <c r="AE161" s="6">
        <f t="shared" si="53"/>
        <v>23.85</v>
      </c>
      <c r="AF161" s="6">
        <f t="shared" si="54"/>
        <v>2.6296448854885957</v>
      </c>
      <c r="AG161" s="6">
        <f t="shared" si="55"/>
        <v>1.4142278431363131</v>
      </c>
      <c r="AH161" s="6">
        <f t="shared" si="64"/>
        <v>0.60770852117614127</v>
      </c>
      <c r="AI161" s="6">
        <f t="shared" si="65"/>
        <v>4.2197536989427922E-2</v>
      </c>
      <c r="AJ161" s="6">
        <f t="shared" si="66"/>
        <v>0.14493848230050971</v>
      </c>
      <c r="AK161" s="6">
        <f t="shared" si="67"/>
        <v>0.46277003887563156</v>
      </c>
      <c r="AL161" s="6">
        <f t="shared" si="56"/>
        <v>0.6724</v>
      </c>
      <c r="AM161" s="6">
        <v>9.6</v>
      </c>
      <c r="AN161" s="6">
        <f t="shared" si="68"/>
        <v>20.144666666666669</v>
      </c>
    </row>
    <row r="162" spans="1:40" x14ac:dyDescent="0.2">
      <c r="A162" s="1">
        <f t="shared" si="49"/>
        <v>157</v>
      </c>
      <c r="B162" s="2">
        <v>19.12</v>
      </c>
      <c r="C162" s="2">
        <v>76.733749999999986</v>
      </c>
      <c r="D162" s="8">
        <v>0.85799999999999998</v>
      </c>
      <c r="E162" s="2">
        <v>27.2</v>
      </c>
      <c r="F162" s="2">
        <v>100</v>
      </c>
      <c r="G162" s="8">
        <v>3.1560000000000001</v>
      </c>
      <c r="H162" s="2">
        <v>11.9</v>
      </c>
      <c r="I162" s="2">
        <v>44.29</v>
      </c>
      <c r="J162" s="2">
        <v>0</v>
      </c>
      <c r="K162" s="3">
        <v>14.85</v>
      </c>
      <c r="L162" s="3">
        <v>5.8601089999999996</v>
      </c>
      <c r="N162" s="6">
        <f t="shared" si="57"/>
        <v>1.9705595811851879</v>
      </c>
      <c r="O162" s="6">
        <f t="shared" si="58"/>
        <v>13.603710641037043</v>
      </c>
      <c r="P162" s="6">
        <f t="shared" si="59"/>
        <v>1.9338880000000001</v>
      </c>
      <c r="Q162" s="6">
        <f t="shared" si="51"/>
        <v>3.1886472466954836</v>
      </c>
      <c r="R162" s="6">
        <f t="shared" si="60"/>
        <v>3.3259506744861818</v>
      </c>
      <c r="S162" s="6">
        <f t="shared" si="61"/>
        <v>4.8915136285714285</v>
      </c>
      <c r="T162" s="6">
        <f t="shared" si="62"/>
        <v>3.7820860966155054</v>
      </c>
      <c r="U162" s="6">
        <f t="shared" si="63"/>
        <v>11.927761793856375</v>
      </c>
      <c r="X162" s="6"/>
      <c r="Y162" s="6"/>
      <c r="Z162" s="25"/>
      <c r="AA162" s="25"/>
      <c r="AB162" s="25"/>
      <c r="AC162" s="25"/>
      <c r="AD162" s="6">
        <f t="shared" si="52"/>
        <v>7.6499999999999995</v>
      </c>
      <c r="AE162" s="6">
        <f t="shared" si="53"/>
        <v>27.855</v>
      </c>
      <c r="AF162" s="6">
        <f t="shared" si="54"/>
        <v>2.9168208964238245</v>
      </c>
      <c r="AG162" s="6">
        <f t="shared" si="55"/>
        <v>1.2559706742970831</v>
      </c>
      <c r="AH162" s="6">
        <f t="shared" si="64"/>
        <v>0.83042511106337069</v>
      </c>
      <c r="AI162" s="6">
        <f t="shared" si="65"/>
        <v>5.6717560076062566E-2</v>
      </c>
      <c r="AJ162" s="6">
        <f t="shared" si="66"/>
        <v>0.2313149146867019</v>
      </c>
      <c r="AK162" s="6">
        <f t="shared" si="67"/>
        <v>0.59911019637666874</v>
      </c>
      <c r="AL162" s="6">
        <f t="shared" si="56"/>
        <v>0.67420000000000002</v>
      </c>
      <c r="AM162" s="6">
        <v>9.6</v>
      </c>
      <c r="AN162" s="6">
        <f t="shared" si="68"/>
        <v>20.144666666666669</v>
      </c>
    </row>
    <row r="163" spans="1:40" x14ac:dyDescent="0.2">
      <c r="A163" s="1">
        <f t="shared" si="49"/>
        <v>158</v>
      </c>
      <c r="B163" s="2">
        <v>19.89</v>
      </c>
      <c r="C163" s="2">
        <v>71.580104166666615</v>
      </c>
      <c r="D163" s="8">
        <v>0.95199999999999996</v>
      </c>
      <c r="E163" s="2">
        <v>29.26</v>
      </c>
      <c r="F163" s="2">
        <v>100</v>
      </c>
      <c r="G163" s="8">
        <v>3.2360000000000002</v>
      </c>
      <c r="H163" s="2">
        <v>11.76</v>
      </c>
      <c r="I163" s="2">
        <v>32.479999999999997</v>
      </c>
      <c r="J163" s="2">
        <v>0</v>
      </c>
      <c r="K163" s="3">
        <v>14.85</v>
      </c>
      <c r="L163" s="3">
        <v>5.8519519999999998</v>
      </c>
      <c r="N163" s="6">
        <f t="shared" si="57"/>
        <v>1.9705595811851879</v>
      </c>
      <c r="O163" s="6">
        <f t="shared" si="58"/>
        <v>13.603710641037043</v>
      </c>
      <c r="P163" s="6">
        <f t="shared" si="59"/>
        <v>1.9338880000000001</v>
      </c>
      <c r="Q163" s="6">
        <f t="shared" si="51"/>
        <v>3.4813222905676513</v>
      </c>
      <c r="R163" s="6">
        <f t="shared" si="60"/>
        <v>3.6312283312043103</v>
      </c>
      <c r="S163" s="6">
        <f t="shared" si="61"/>
        <v>4.9473793285714276</v>
      </c>
      <c r="T163" s="6">
        <f t="shared" si="62"/>
        <v>4.1051071139569189</v>
      </c>
      <c r="U163" s="6">
        <f t="shared" si="63"/>
        <v>13.263680286653232</v>
      </c>
      <c r="X163" s="6"/>
      <c r="Y163" s="6"/>
      <c r="Z163" s="25"/>
      <c r="AA163" s="25"/>
      <c r="AB163" s="25"/>
      <c r="AC163" s="25"/>
      <c r="AD163" s="6">
        <f t="shared" si="52"/>
        <v>8.75</v>
      </c>
      <c r="AE163" s="6">
        <f t="shared" si="53"/>
        <v>33.760000000000005</v>
      </c>
      <c r="AF163" s="6">
        <f t="shared" si="54"/>
        <v>3.24602523992675</v>
      </c>
      <c r="AG163" s="6">
        <f t="shared" si="55"/>
        <v>1.245804099965085</v>
      </c>
      <c r="AH163" s="6">
        <f t="shared" si="64"/>
        <v>1.0001105699808326</v>
      </c>
      <c r="AI163" s="6">
        <f t="shared" si="65"/>
        <v>6.7697593788919611E-2</v>
      </c>
      <c r="AJ163" s="6">
        <f t="shared" si="66"/>
        <v>0.33763732842552913</v>
      </c>
      <c r="AK163" s="6">
        <f t="shared" si="67"/>
        <v>0.6624732415553034</v>
      </c>
      <c r="AL163" s="6">
        <f t="shared" si="56"/>
        <v>0.68189999999999995</v>
      </c>
      <c r="AM163" s="6">
        <v>9.6</v>
      </c>
      <c r="AN163" s="6">
        <f t="shared" si="68"/>
        <v>20.144666666666669</v>
      </c>
    </row>
    <row r="164" spans="1:40" x14ac:dyDescent="0.2">
      <c r="A164" s="1">
        <f t="shared" si="49"/>
        <v>159</v>
      </c>
      <c r="B164" s="2">
        <v>19.91</v>
      </c>
      <c r="C164" s="2">
        <v>69.69093749999999</v>
      </c>
      <c r="D164" s="8">
        <v>0.81299999999999994</v>
      </c>
      <c r="E164" s="2">
        <v>28.68</v>
      </c>
      <c r="F164" s="2">
        <v>99.6</v>
      </c>
      <c r="G164" s="8">
        <v>3.3959999999999999</v>
      </c>
      <c r="H164" s="2">
        <v>11.56</v>
      </c>
      <c r="I164" s="2">
        <v>35.799999999999997</v>
      </c>
      <c r="J164" s="2">
        <v>0</v>
      </c>
      <c r="K164" s="3">
        <v>13.82</v>
      </c>
      <c r="L164" s="3">
        <v>5.2270760000000003</v>
      </c>
      <c r="N164" s="6">
        <f t="shared" si="57"/>
        <v>1.9705595811851879</v>
      </c>
      <c r="O164" s="6">
        <f t="shared" si="58"/>
        <v>13.603710641037043</v>
      </c>
      <c r="P164" s="6">
        <f t="shared" si="59"/>
        <v>1.9338880000000001</v>
      </c>
      <c r="Q164" s="6">
        <f t="shared" si="51"/>
        <v>3.445144812199886</v>
      </c>
      <c r="R164" s="6">
        <f t="shared" si="60"/>
        <v>3.593493047471318</v>
      </c>
      <c r="S164" s="6">
        <f t="shared" si="61"/>
        <v>4.6055781771428563</v>
      </c>
      <c r="T164" s="6">
        <f t="shared" si="62"/>
        <v>3.9605808475060016</v>
      </c>
      <c r="U164" s="6">
        <f t="shared" si="63"/>
        <v>13.300477301761855</v>
      </c>
      <c r="X164" s="6"/>
      <c r="Y164" s="6"/>
      <c r="Z164" s="25"/>
      <c r="AA164" s="25"/>
      <c r="AB164" s="25"/>
      <c r="AC164" s="25"/>
      <c r="AD164" s="6">
        <f t="shared" si="52"/>
        <v>8.5599999999999987</v>
      </c>
      <c r="AE164" s="6">
        <f t="shared" si="53"/>
        <v>31.9</v>
      </c>
      <c r="AF164" s="6">
        <f t="shared" si="54"/>
        <v>3.1502138603061676</v>
      </c>
      <c r="AG164" s="6">
        <f t="shared" si="55"/>
        <v>1.2314059472621266</v>
      </c>
      <c r="AH164" s="6">
        <f t="shared" si="64"/>
        <v>0.95940395652202048</v>
      </c>
      <c r="AI164" s="6">
        <f t="shared" si="65"/>
        <v>6.5042571738617702E-2</v>
      </c>
      <c r="AJ164" s="6">
        <f t="shared" si="66"/>
        <v>0.30604986213052454</v>
      </c>
      <c r="AK164" s="6">
        <f t="shared" si="67"/>
        <v>0.65335409439149594</v>
      </c>
      <c r="AL164" s="6">
        <f t="shared" si="56"/>
        <v>0.68209999999999993</v>
      </c>
      <c r="AM164" s="6">
        <v>9.6</v>
      </c>
      <c r="AN164" s="6">
        <f t="shared" si="68"/>
        <v>20.144666666666669</v>
      </c>
    </row>
    <row r="165" spans="1:40" x14ac:dyDescent="0.2">
      <c r="A165" s="1">
        <f t="shared" si="49"/>
        <v>160</v>
      </c>
      <c r="B165" s="2">
        <v>19.66</v>
      </c>
      <c r="C165" s="2">
        <v>71.397710000000004</v>
      </c>
      <c r="D165" s="8">
        <v>0.77900000000000003</v>
      </c>
      <c r="E165" s="2">
        <v>29.26</v>
      </c>
      <c r="F165" s="2">
        <v>99.2</v>
      </c>
      <c r="G165" s="8">
        <v>3.9550000000000001</v>
      </c>
      <c r="H165" s="2">
        <v>11.47</v>
      </c>
      <c r="I165" s="2">
        <v>34.880000000000003</v>
      </c>
      <c r="J165" s="2">
        <v>0</v>
      </c>
      <c r="K165" s="3">
        <v>14.53</v>
      </c>
      <c r="L165" s="3">
        <v>5.7910329999999997</v>
      </c>
      <c r="N165" s="6">
        <f t="shared" si="57"/>
        <v>1.9705595811851879</v>
      </c>
      <c r="O165" s="6">
        <f t="shared" si="58"/>
        <v>13.603710641037043</v>
      </c>
      <c r="P165" s="6">
        <f t="shared" si="59"/>
        <v>1.9338880000000001</v>
      </c>
      <c r="Q165" s="6">
        <f t="shared" si="51"/>
        <v>3.4886292369616254</v>
      </c>
      <c r="R165" s="6">
        <f t="shared" si="60"/>
        <v>3.638849915345566</v>
      </c>
      <c r="S165" s="6">
        <f t="shared" si="61"/>
        <v>4.8244415657142845</v>
      </c>
      <c r="T165" s="6">
        <f t="shared" si="62"/>
        <v>4.305387009981863</v>
      </c>
      <c r="U165" s="6">
        <f t="shared" si="63"/>
        <v>12.855379584511919</v>
      </c>
      <c r="X165" s="6"/>
      <c r="Y165" s="6"/>
      <c r="Z165" s="25"/>
      <c r="AA165" s="25"/>
      <c r="AB165" s="25"/>
      <c r="AC165" s="25"/>
      <c r="AD165" s="6">
        <f t="shared" si="52"/>
        <v>8.8949999999999996</v>
      </c>
      <c r="AE165" s="6">
        <f t="shared" si="53"/>
        <v>32.159999999999997</v>
      </c>
      <c r="AF165" s="6">
        <f t="shared" si="54"/>
        <v>3.24602523992675</v>
      </c>
      <c r="AG165" s="6">
        <f t="shared" si="55"/>
        <v>1.2249746577597622</v>
      </c>
      <c r="AH165" s="6">
        <f t="shared" si="64"/>
        <v>1.0105252910834939</v>
      </c>
      <c r="AI165" s="6">
        <f t="shared" si="65"/>
        <v>6.8322017822155662E-2</v>
      </c>
      <c r="AJ165" s="6">
        <f t="shared" si="66"/>
        <v>0.32498493361245162</v>
      </c>
      <c r="AK165" s="6">
        <f t="shared" si="67"/>
        <v>0.68554035747104225</v>
      </c>
      <c r="AL165" s="6">
        <f t="shared" si="56"/>
        <v>0.67959999999999998</v>
      </c>
      <c r="AM165" s="6">
        <v>9.6</v>
      </c>
      <c r="AN165" s="6">
        <f t="shared" si="68"/>
        <v>20.144666666666669</v>
      </c>
    </row>
    <row r="166" spans="1:40" x14ac:dyDescent="0.2">
      <c r="A166" s="1">
        <f t="shared" ref="A166:A229" si="69">A165+1</f>
        <v>161</v>
      </c>
      <c r="B166" s="2">
        <v>20.45</v>
      </c>
      <c r="C166" s="2">
        <v>69.55198</v>
      </c>
      <c r="D166" s="8">
        <v>1.089</v>
      </c>
      <c r="E166" s="2">
        <v>30.22</v>
      </c>
      <c r="F166" s="2">
        <v>99.8</v>
      </c>
      <c r="G166" s="8">
        <v>5.633</v>
      </c>
      <c r="H166" s="2">
        <v>12</v>
      </c>
      <c r="I166" s="2">
        <v>34.43</v>
      </c>
      <c r="J166" s="2">
        <v>0</v>
      </c>
      <c r="K166" s="3">
        <v>15.05</v>
      </c>
      <c r="L166" s="3">
        <v>5.9856350000000003</v>
      </c>
      <c r="N166" s="6">
        <f t="shared" si="57"/>
        <v>1.9705595811851879</v>
      </c>
      <c r="O166" s="6">
        <f t="shared" si="58"/>
        <v>13.603710641037043</v>
      </c>
      <c r="P166" s="6">
        <f t="shared" si="59"/>
        <v>1.9338880000000001</v>
      </c>
      <c r="Q166" s="6">
        <f t="shared" si="51"/>
        <v>3.6049952337544076</v>
      </c>
      <c r="R166" s="6">
        <f t="shared" si="60"/>
        <v>3.7602266420817396</v>
      </c>
      <c r="S166" s="6">
        <f t="shared" si="61"/>
        <v>5.0551874999999997</v>
      </c>
      <c r="T166" s="6">
        <f t="shared" si="62"/>
        <v>4.8445049926569341</v>
      </c>
      <c r="U166" s="6">
        <f t="shared" si="63"/>
        <v>14.295828862362155</v>
      </c>
      <c r="X166" s="6"/>
      <c r="Y166" s="6"/>
      <c r="Z166" s="25"/>
      <c r="AA166" s="25"/>
      <c r="AB166" s="25"/>
      <c r="AC166" s="25"/>
      <c r="AD166" s="6">
        <f t="shared" si="52"/>
        <v>9.11</v>
      </c>
      <c r="AE166" s="6">
        <f t="shared" si="53"/>
        <v>32.685000000000002</v>
      </c>
      <c r="AF166" s="6">
        <f t="shared" si="54"/>
        <v>3.4101971035638572</v>
      </c>
      <c r="AG166" s="6">
        <f t="shared" si="55"/>
        <v>1.263277099809704</v>
      </c>
      <c r="AH166" s="6">
        <f t="shared" si="64"/>
        <v>1.0734600018770766</v>
      </c>
      <c r="AI166" s="6">
        <f t="shared" si="65"/>
        <v>7.2450462711206504E-2</v>
      </c>
      <c r="AJ166" s="6">
        <f t="shared" si="66"/>
        <v>0.3508604016135225</v>
      </c>
      <c r="AK166" s="6">
        <f t="shared" si="67"/>
        <v>0.72259960026355408</v>
      </c>
      <c r="AL166" s="6">
        <f t="shared" si="56"/>
        <v>0.6875</v>
      </c>
      <c r="AM166" s="6">
        <v>9.6</v>
      </c>
      <c r="AN166" s="6">
        <f t="shared" si="68"/>
        <v>20.144666666666669</v>
      </c>
    </row>
    <row r="167" spans="1:40" x14ac:dyDescent="0.2">
      <c r="A167" s="1">
        <f t="shared" si="69"/>
        <v>162</v>
      </c>
      <c r="B167" s="2">
        <v>21.53</v>
      </c>
      <c r="C167" s="2">
        <v>64.948645833333345</v>
      </c>
      <c r="D167" s="8">
        <v>1.0980000000000001</v>
      </c>
      <c r="E167" s="2">
        <v>31.03</v>
      </c>
      <c r="F167" s="2">
        <v>97.1</v>
      </c>
      <c r="G167" s="8">
        <v>4.1950000000000003</v>
      </c>
      <c r="H167" s="2">
        <v>12.81</v>
      </c>
      <c r="I167" s="2">
        <v>32.380000000000003</v>
      </c>
      <c r="J167" s="2">
        <v>0</v>
      </c>
      <c r="K167" s="3">
        <v>14.85</v>
      </c>
      <c r="L167" s="3">
        <v>5.9157120000000001</v>
      </c>
      <c r="N167" s="6">
        <f t="shared" si="57"/>
        <v>1.9705595811851879</v>
      </c>
      <c r="O167" s="6">
        <f t="shared" si="58"/>
        <v>13.603710641037043</v>
      </c>
      <c r="P167" s="6">
        <f t="shared" si="59"/>
        <v>1.9338880000000001</v>
      </c>
      <c r="Q167" s="6">
        <f t="shared" si="51"/>
        <v>3.706783334472179</v>
      </c>
      <c r="R167" s="6">
        <f t="shared" si="60"/>
        <v>3.86639774726993</v>
      </c>
      <c r="S167" s="6">
        <f t="shared" si="61"/>
        <v>5.0663660142857134</v>
      </c>
      <c r="T167" s="6">
        <f t="shared" si="62"/>
        <v>4.6870862830423521</v>
      </c>
      <c r="U167" s="6">
        <f t="shared" si="63"/>
        <v>16.441227836155267</v>
      </c>
      <c r="X167" s="6"/>
      <c r="Y167" s="6"/>
      <c r="Z167" s="25"/>
      <c r="AA167" s="25"/>
      <c r="AB167" s="25"/>
      <c r="AC167" s="25"/>
      <c r="AD167" s="6">
        <f t="shared" si="52"/>
        <v>9.11</v>
      </c>
      <c r="AE167" s="6">
        <f t="shared" si="53"/>
        <v>32.36</v>
      </c>
      <c r="AF167" s="6">
        <f t="shared" si="54"/>
        <v>3.554298167912759</v>
      </c>
      <c r="AG167" s="6">
        <f t="shared" si="55"/>
        <v>1.3238495459463366</v>
      </c>
      <c r="AH167" s="6">
        <f t="shared" si="64"/>
        <v>1.1152243109832112</v>
      </c>
      <c r="AI167" s="6">
        <f t="shared" si="65"/>
        <v>7.5269238924816934E-2</v>
      </c>
      <c r="AJ167" s="6">
        <f t="shared" si="66"/>
        <v>0.36088658703416709</v>
      </c>
      <c r="AK167" s="6">
        <f t="shared" si="67"/>
        <v>0.75433772394904408</v>
      </c>
      <c r="AL167" s="6">
        <f t="shared" si="56"/>
        <v>0.69830000000000003</v>
      </c>
      <c r="AM167" s="6">
        <v>9.6</v>
      </c>
      <c r="AN167" s="6">
        <f t="shared" si="68"/>
        <v>20.144666666666669</v>
      </c>
    </row>
    <row r="168" spans="1:40" x14ac:dyDescent="0.2">
      <c r="A168" s="1">
        <f t="shared" si="69"/>
        <v>163</v>
      </c>
      <c r="B168" s="2">
        <v>20.37</v>
      </c>
      <c r="C168" s="2">
        <v>69.163541666666688</v>
      </c>
      <c r="D168" s="8">
        <v>1.3260000000000001</v>
      </c>
      <c r="E168" s="2">
        <v>29.4</v>
      </c>
      <c r="F168" s="2">
        <v>99.8</v>
      </c>
      <c r="G168" s="8">
        <v>4.1150000000000002</v>
      </c>
      <c r="H168" s="2">
        <v>11.76</v>
      </c>
      <c r="I168" s="2">
        <v>34.090000000000003</v>
      </c>
      <c r="J168" s="2">
        <v>0</v>
      </c>
      <c r="K168" s="3">
        <v>14.7</v>
      </c>
      <c r="L168" s="3">
        <v>5.4233549999999999</v>
      </c>
      <c r="N168" s="6">
        <f t="shared" si="57"/>
        <v>1.9705595811851879</v>
      </c>
      <c r="O168" s="6">
        <f t="shared" si="58"/>
        <v>13.603710641037043</v>
      </c>
      <c r="P168" s="6">
        <f t="shared" si="59"/>
        <v>1.9338880000000001</v>
      </c>
      <c r="Q168" s="6">
        <f t="shared" si="51"/>
        <v>3.5397331199999997</v>
      </c>
      <c r="R168" s="6">
        <f t="shared" si="60"/>
        <v>3.6921543360325795</v>
      </c>
      <c r="S168" s="6">
        <f t="shared" si="61"/>
        <v>4.9318793999999988</v>
      </c>
      <c r="T168" s="6">
        <f t="shared" si="62"/>
        <v>4.3375934440195696</v>
      </c>
      <c r="U168" s="6">
        <f t="shared" si="63"/>
        <v>14.145444587870482</v>
      </c>
      <c r="X168" s="6"/>
      <c r="Y168" s="6"/>
      <c r="Z168" s="25"/>
      <c r="AA168" s="25"/>
      <c r="AB168" s="25"/>
      <c r="AC168" s="25"/>
      <c r="AD168" s="6">
        <f t="shared" si="52"/>
        <v>8.82</v>
      </c>
      <c r="AE168" s="6">
        <f t="shared" si="53"/>
        <v>32.854999999999997</v>
      </c>
      <c r="AF168" s="6">
        <f t="shared" si="54"/>
        <v>3.2695291535402466</v>
      </c>
      <c r="AG168" s="6">
        <f t="shared" si="55"/>
        <v>1.245804099965085</v>
      </c>
      <c r="AH168" s="6">
        <f t="shared" si="64"/>
        <v>1.0118625267875809</v>
      </c>
      <c r="AI168" s="6">
        <f t="shared" si="65"/>
        <v>6.8454129770876546E-2</v>
      </c>
      <c r="AJ168" s="6">
        <f t="shared" si="66"/>
        <v>0.33244743317605968</v>
      </c>
      <c r="AK168" s="6">
        <f t="shared" si="67"/>
        <v>0.6794150936115213</v>
      </c>
      <c r="AL168" s="6">
        <f t="shared" si="56"/>
        <v>0.68669999999999998</v>
      </c>
      <c r="AM168" s="6">
        <v>9.6</v>
      </c>
      <c r="AN168" s="6">
        <f t="shared" si="68"/>
        <v>20.144666666666669</v>
      </c>
    </row>
    <row r="169" spans="1:40" x14ac:dyDescent="0.2">
      <c r="A169" s="1">
        <f t="shared" si="69"/>
        <v>164</v>
      </c>
      <c r="B169" s="2">
        <v>20.63</v>
      </c>
      <c r="C169" s="2">
        <v>65.602916666666673</v>
      </c>
      <c r="D169" s="8">
        <v>0.86599999999999999</v>
      </c>
      <c r="E169" s="2">
        <v>30.03</v>
      </c>
      <c r="F169" s="2">
        <v>99.4</v>
      </c>
      <c r="G169" s="8">
        <v>4.2750000000000004</v>
      </c>
      <c r="H169" s="2">
        <v>11.76</v>
      </c>
      <c r="I169" s="2">
        <v>25.74</v>
      </c>
      <c r="J169" s="2">
        <v>0</v>
      </c>
      <c r="K169" s="3">
        <v>14.92</v>
      </c>
      <c r="L169" s="3">
        <v>5.685975</v>
      </c>
      <c r="N169" s="6">
        <f t="shared" si="57"/>
        <v>1.9705595811851879</v>
      </c>
      <c r="O169" s="6">
        <f t="shared" si="58"/>
        <v>13.603710641037043</v>
      </c>
      <c r="P169" s="6">
        <f t="shared" si="59"/>
        <v>1.9338880000000001</v>
      </c>
      <c r="Q169" s="6">
        <f t="shared" si="51"/>
        <v>3.6269262707223575</v>
      </c>
      <c r="R169" s="6">
        <f t="shared" si="60"/>
        <v>3.7831020314090873</v>
      </c>
      <c r="S169" s="6">
        <f t="shared" si="61"/>
        <v>5.0246425028571426</v>
      </c>
      <c r="T169" s="6">
        <f t="shared" si="62"/>
        <v>4.389831913804807</v>
      </c>
      <c r="U169" s="6">
        <f t="shared" si="63"/>
        <v>14.640555690938303</v>
      </c>
      <c r="X169" s="6"/>
      <c r="Y169" s="6"/>
      <c r="Z169" s="25"/>
      <c r="AA169" s="25"/>
      <c r="AB169" s="25"/>
      <c r="AC169" s="25"/>
      <c r="AD169" s="6">
        <f t="shared" si="52"/>
        <v>9.1350000000000016</v>
      </c>
      <c r="AE169" s="6">
        <f t="shared" si="53"/>
        <v>36.830000000000005</v>
      </c>
      <c r="AF169" s="6">
        <f t="shared" si="54"/>
        <v>3.3771423709612436</v>
      </c>
      <c r="AG169" s="6">
        <f t="shared" si="55"/>
        <v>1.245804099965085</v>
      </c>
      <c r="AH169" s="6">
        <f t="shared" si="64"/>
        <v>1.0656691354980792</v>
      </c>
      <c r="AI169" s="6">
        <f t="shared" si="65"/>
        <v>7.1910045642875495E-2</v>
      </c>
      <c r="AJ169" s="6">
        <f t="shared" si="66"/>
        <v>0.39248594260394265</v>
      </c>
      <c r="AK169" s="6">
        <f t="shared" si="67"/>
        <v>0.67318319289413653</v>
      </c>
      <c r="AL169" s="6">
        <f t="shared" si="56"/>
        <v>0.68930000000000002</v>
      </c>
      <c r="AM169" s="6">
        <v>9.6</v>
      </c>
      <c r="AN169" s="6">
        <f t="shared" si="68"/>
        <v>20.144666666666669</v>
      </c>
    </row>
    <row r="170" spans="1:40" x14ac:dyDescent="0.2">
      <c r="A170" s="1">
        <f t="shared" si="69"/>
        <v>165</v>
      </c>
      <c r="B170" s="2">
        <v>19.21</v>
      </c>
      <c r="C170" s="2">
        <v>64.077079999999995</v>
      </c>
      <c r="D170" s="8">
        <v>1.4930000000000001</v>
      </c>
      <c r="E170" s="2">
        <v>29.12</v>
      </c>
      <c r="F170" s="2">
        <v>97.9</v>
      </c>
      <c r="G170" s="8">
        <v>6.3520000000000003</v>
      </c>
      <c r="H170" s="2">
        <v>10.09</v>
      </c>
      <c r="I170" s="2">
        <v>26.05</v>
      </c>
      <c r="J170" s="2">
        <v>0</v>
      </c>
      <c r="K170" s="3">
        <v>15.21</v>
      </c>
      <c r="L170" s="3">
        <v>5.4348789999999996</v>
      </c>
      <c r="N170" s="6">
        <f t="shared" si="57"/>
        <v>1.9705595811851879</v>
      </c>
      <c r="O170" s="6">
        <f t="shared" si="58"/>
        <v>13.603710641037043</v>
      </c>
      <c r="P170" s="6">
        <f t="shared" si="59"/>
        <v>1.9338880000000001</v>
      </c>
      <c r="Q170" s="6">
        <f t="shared" si="51"/>
        <v>3.5648195286270554</v>
      </c>
      <c r="R170" s="6">
        <f t="shared" si="60"/>
        <v>3.718320967597128</v>
      </c>
      <c r="S170" s="6">
        <f t="shared" si="61"/>
        <v>5.0167838314285707</v>
      </c>
      <c r="T170" s="6">
        <f t="shared" si="62"/>
        <v>4.7120921324932166</v>
      </c>
      <c r="U170" s="6">
        <f t="shared" si="63"/>
        <v>12.084352247299025</v>
      </c>
      <c r="X170" s="6"/>
      <c r="Y170" s="6"/>
      <c r="Z170" s="25"/>
      <c r="AA170" s="25"/>
      <c r="AB170" s="25"/>
      <c r="AC170" s="25"/>
      <c r="AD170" s="6">
        <f t="shared" si="52"/>
        <v>9.5150000000000006</v>
      </c>
      <c r="AE170" s="6">
        <f t="shared" si="53"/>
        <v>35.925000000000004</v>
      </c>
      <c r="AF170" s="6">
        <f t="shared" si="54"/>
        <v>3.2226687635996925</v>
      </c>
      <c r="AG170" s="6">
        <f t="shared" si="55"/>
        <v>1.1299937426248403</v>
      </c>
      <c r="AH170" s="6">
        <f t="shared" si="64"/>
        <v>1.046337510487426</v>
      </c>
      <c r="AI170" s="6">
        <f t="shared" si="65"/>
        <v>7.0388327922532551E-2</v>
      </c>
      <c r="AJ170" s="6">
        <f t="shared" si="66"/>
        <v>0.3758967506426078</v>
      </c>
      <c r="AK170" s="6">
        <f t="shared" si="67"/>
        <v>0.6704407598448181</v>
      </c>
      <c r="AL170" s="6">
        <f t="shared" si="56"/>
        <v>0.67510000000000003</v>
      </c>
      <c r="AM170" s="6">
        <v>9.6</v>
      </c>
      <c r="AN170" s="6">
        <f t="shared" si="68"/>
        <v>20.144666666666669</v>
      </c>
    </row>
    <row r="171" spans="1:40" x14ac:dyDescent="0.2">
      <c r="A171" s="1">
        <f t="shared" si="69"/>
        <v>166</v>
      </c>
      <c r="B171" s="2">
        <v>20.75</v>
      </c>
      <c r="C171" s="2">
        <v>57.270209999999999</v>
      </c>
      <c r="D171" s="8">
        <v>0.99299999999999999</v>
      </c>
      <c r="E171" s="2">
        <v>30.07</v>
      </c>
      <c r="F171" s="2">
        <v>83.3</v>
      </c>
      <c r="G171" s="8">
        <v>6.5910000000000002</v>
      </c>
      <c r="H171" s="2">
        <v>12.77</v>
      </c>
      <c r="I171" s="2">
        <v>30.81</v>
      </c>
      <c r="J171" s="2">
        <v>0</v>
      </c>
      <c r="K171" s="3">
        <v>15.05</v>
      </c>
      <c r="L171" s="3">
        <v>5.8616950000000001</v>
      </c>
      <c r="N171" s="6">
        <f t="shared" si="57"/>
        <v>1.9705595811851879</v>
      </c>
      <c r="O171" s="6">
        <f t="shared" si="58"/>
        <v>13.603710641037043</v>
      </c>
      <c r="P171" s="6">
        <f t="shared" si="59"/>
        <v>1.9338880000000001</v>
      </c>
      <c r="Q171" s="6">
        <f t="shared" si="51"/>
        <v>3.5403524813369636</v>
      </c>
      <c r="R171" s="6">
        <f t="shared" si="60"/>
        <v>3.6928003671225849</v>
      </c>
      <c r="S171" s="6">
        <f t="shared" si="61"/>
        <v>5.0772464999999993</v>
      </c>
      <c r="T171" s="6">
        <f t="shared" si="62"/>
        <v>5.171253499815692</v>
      </c>
      <c r="U171" s="6">
        <f t="shared" si="63"/>
        <v>14.876307908596077</v>
      </c>
      <c r="X171" s="6"/>
      <c r="Y171" s="6"/>
      <c r="Z171" s="25"/>
      <c r="AA171" s="25"/>
      <c r="AB171" s="25"/>
      <c r="AC171" s="25"/>
      <c r="AD171" s="6">
        <f t="shared" si="52"/>
        <v>8.65</v>
      </c>
      <c r="AE171" s="6">
        <f t="shared" si="53"/>
        <v>26.244999999999997</v>
      </c>
      <c r="AF171" s="6">
        <f t="shared" si="54"/>
        <v>3.3840779626794641</v>
      </c>
      <c r="AG171" s="6">
        <f t="shared" si="55"/>
        <v>1.320799481061711</v>
      </c>
      <c r="AH171" s="6">
        <f t="shared" si="64"/>
        <v>1.0316392408088766</v>
      </c>
      <c r="AI171" s="6">
        <f t="shared" si="65"/>
        <v>6.9888569848166035E-2</v>
      </c>
      <c r="AJ171" s="6">
        <f t="shared" si="66"/>
        <v>0.27075371875028964</v>
      </c>
      <c r="AK171" s="6">
        <f t="shared" si="67"/>
        <v>0.76088552205858695</v>
      </c>
      <c r="AL171" s="6">
        <f t="shared" si="56"/>
        <v>0.6905</v>
      </c>
      <c r="AM171" s="6">
        <v>9.6</v>
      </c>
      <c r="AN171" s="6">
        <f t="shared" si="68"/>
        <v>20.144666666666669</v>
      </c>
    </row>
    <row r="172" spans="1:40" x14ac:dyDescent="0.2">
      <c r="A172" s="1">
        <f t="shared" si="69"/>
        <v>167</v>
      </c>
      <c r="B172" s="2">
        <v>21.6</v>
      </c>
      <c r="C172" s="2">
        <v>64.358440000000002</v>
      </c>
      <c r="D172" s="8">
        <v>0.77500000000000002</v>
      </c>
      <c r="E172" s="2">
        <v>30.74</v>
      </c>
      <c r="F172" s="2">
        <v>93.6</v>
      </c>
      <c r="G172" s="8">
        <v>4.2750000000000004</v>
      </c>
      <c r="H172" s="2">
        <v>13.34</v>
      </c>
      <c r="I172" s="2">
        <v>32.72</v>
      </c>
      <c r="J172" s="2">
        <v>0</v>
      </c>
      <c r="K172" s="3">
        <v>14.14</v>
      </c>
      <c r="L172" s="3">
        <v>5.9937329999999998</v>
      </c>
      <c r="N172" s="6">
        <f t="shared" si="57"/>
        <v>1.9705595811851879</v>
      </c>
      <c r="O172" s="6">
        <f t="shared" si="58"/>
        <v>13.603710641037043</v>
      </c>
      <c r="P172" s="6">
        <f t="shared" si="59"/>
        <v>1.9338880000000001</v>
      </c>
      <c r="Q172" s="6">
        <f t="shared" si="51"/>
        <v>3.6288575050681726</v>
      </c>
      <c r="R172" s="6">
        <f t="shared" si="60"/>
        <v>3.7851164248738116</v>
      </c>
      <c r="S172" s="6">
        <f t="shared" si="61"/>
        <v>4.8289716</v>
      </c>
      <c r="T172" s="6">
        <f t="shared" si="62"/>
        <v>4.5661580122473495</v>
      </c>
      <c r="U172" s="6">
        <f t="shared" si="63"/>
        <v>16.587741758951452</v>
      </c>
      <c r="X172" s="6"/>
      <c r="Y172" s="6"/>
      <c r="Z172" s="25"/>
      <c r="AA172" s="25"/>
      <c r="AB172" s="25"/>
      <c r="AC172" s="25"/>
      <c r="AD172" s="6">
        <f t="shared" si="52"/>
        <v>8.6999999999999993</v>
      </c>
      <c r="AE172" s="6">
        <f t="shared" si="53"/>
        <v>30.439999999999998</v>
      </c>
      <c r="AF172" s="6">
        <f t="shared" si="54"/>
        <v>3.5021084707355521</v>
      </c>
      <c r="AG172" s="6">
        <f t="shared" si="55"/>
        <v>1.3648512045340218</v>
      </c>
      <c r="AH172" s="6">
        <f t="shared" si="64"/>
        <v>1.0686286331007651</v>
      </c>
      <c r="AI172" s="6">
        <f t="shared" si="65"/>
        <v>7.2364996669425197E-2</v>
      </c>
      <c r="AJ172" s="6">
        <f t="shared" si="66"/>
        <v>0.32529055591587286</v>
      </c>
      <c r="AK172" s="6">
        <f t="shared" si="67"/>
        <v>0.7433380771848922</v>
      </c>
      <c r="AL172" s="6">
        <f t="shared" si="56"/>
        <v>0.69900000000000007</v>
      </c>
      <c r="AM172" s="6">
        <v>9.6</v>
      </c>
      <c r="AN172" s="6">
        <f t="shared" si="68"/>
        <v>20.144666666666669</v>
      </c>
    </row>
    <row r="173" spans="1:40" x14ac:dyDescent="0.2">
      <c r="A173" s="1">
        <f t="shared" si="69"/>
        <v>168</v>
      </c>
      <c r="B173" s="2">
        <v>21.29</v>
      </c>
      <c r="C173" s="2">
        <v>65.814999999999998</v>
      </c>
      <c r="D173" s="8">
        <v>1.137</v>
      </c>
      <c r="E173" s="2">
        <v>30.46</v>
      </c>
      <c r="F173" s="2">
        <v>95.9</v>
      </c>
      <c r="G173" s="8">
        <v>5.7130000000000001</v>
      </c>
      <c r="H173" s="2">
        <v>13.72</v>
      </c>
      <c r="I173" s="2">
        <v>34.81</v>
      </c>
      <c r="J173" s="2">
        <v>0</v>
      </c>
      <c r="K173" s="3">
        <v>14.57</v>
      </c>
      <c r="L173" s="3">
        <v>5.9009369999999999</v>
      </c>
      <c r="N173" s="6">
        <f t="shared" si="57"/>
        <v>1.9705595811851879</v>
      </c>
      <c r="O173" s="6">
        <f t="shared" si="58"/>
        <v>13.603710641037043</v>
      </c>
      <c r="P173" s="6">
        <f t="shared" si="59"/>
        <v>1.9338880000000001</v>
      </c>
      <c r="Q173" s="6">
        <f t="shared" si="51"/>
        <v>3.5313638452730136</v>
      </c>
      <c r="R173" s="6">
        <f t="shared" si="60"/>
        <v>3.6834246796078913</v>
      </c>
      <c r="S173" s="6">
        <f t="shared" si="61"/>
        <v>4.9537542085714277</v>
      </c>
      <c r="T173" s="6">
        <f t="shared" si="62"/>
        <v>4.7684795280197338</v>
      </c>
      <c r="U173" s="6">
        <f t="shared" si="63"/>
        <v>15.946377069668502</v>
      </c>
      <c r="X173" s="6"/>
      <c r="Y173" s="6"/>
      <c r="Z173" s="25"/>
      <c r="AA173" s="25"/>
      <c r="AB173" s="25"/>
      <c r="AC173" s="25"/>
      <c r="AD173" s="6">
        <f t="shared" si="52"/>
        <v>8.370000000000001</v>
      </c>
      <c r="AE173" s="6">
        <f t="shared" si="53"/>
        <v>30.545000000000002</v>
      </c>
      <c r="AF173" s="6">
        <f t="shared" si="54"/>
        <v>3.4523531629733197</v>
      </c>
      <c r="AG173" s="6">
        <f t="shared" si="55"/>
        <v>1.3949312774339244</v>
      </c>
      <c r="AH173" s="6">
        <f t="shared" si="64"/>
        <v>1.0287109427696977</v>
      </c>
      <c r="AI173" s="6">
        <f t="shared" si="65"/>
        <v>6.9849139785088318E-2</v>
      </c>
      <c r="AJ173" s="6">
        <f t="shared" si="66"/>
        <v>0.31421975746900416</v>
      </c>
      <c r="AK173" s="6">
        <f t="shared" si="67"/>
        <v>0.71449118530069344</v>
      </c>
      <c r="AL173" s="6">
        <f t="shared" si="56"/>
        <v>0.69589999999999996</v>
      </c>
      <c r="AM173" s="6">
        <v>9.6</v>
      </c>
      <c r="AN173" s="6">
        <f t="shared" si="68"/>
        <v>20.144666666666669</v>
      </c>
    </row>
    <row r="174" spans="1:40" x14ac:dyDescent="0.2">
      <c r="A174" s="1">
        <f t="shared" si="69"/>
        <v>169</v>
      </c>
      <c r="B174" s="2">
        <v>21.19</v>
      </c>
      <c r="C174" s="2">
        <v>58.518749999999976</v>
      </c>
      <c r="D174" s="8">
        <v>1.292</v>
      </c>
      <c r="E174" s="2">
        <v>29.45</v>
      </c>
      <c r="F174" s="2">
        <v>94</v>
      </c>
      <c r="G174" s="8">
        <v>6.2720000000000002</v>
      </c>
      <c r="H174" s="2">
        <v>12.81</v>
      </c>
      <c r="I174" s="2">
        <v>30.87</v>
      </c>
      <c r="J174" s="2">
        <v>0</v>
      </c>
      <c r="K174" s="3">
        <v>15.02</v>
      </c>
      <c r="L174" s="3">
        <v>5.894965</v>
      </c>
      <c r="N174" s="6">
        <f t="shared" si="57"/>
        <v>1.9705595811851879</v>
      </c>
      <c r="O174" s="6">
        <f t="shared" si="58"/>
        <v>13.603710641037043</v>
      </c>
      <c r="P174" s="6">
        <f t="shared" si="59"/>
        <v>1.9338880000000001</v>
      </c>
      <c r="Q174" s="6">
        <f t="shared" si="51"/>
        <v>3.511793456029134</v>
      </c>
      <c r="R174" s="6">
        <f t="shared" si="60"/>
        <v>3.6630115877009413</v>
      </c>
      <c r="S174" s="6">
        <f t="shared" si="61"/>
        <v>5.0994144514285704</v>
      </c>
      <c r="T174" s="6">
        <f t="shared" si="62"/>
        <v>4.6703201585107745</v>
      </c>
      <c r="U174" s="6">
        <f t="shared" si="63"/>
        <v>15.747142249066226</v>
      </c>
      <c r="X174" s="6"/>
      <c r="Y174" s="6"/>
      <c r="Z174" s="25"/>
      <c r="AA174" s="25"/>
      <c r="AB174" s="25"/>
      <c r="AC174" s="25"/>
      <c r="AD174" s="6">
        <f t="shared" si="52"/>
        <v>8.32</v>
      </c>
      <c r="AE174" s="6">
        <f t="shared" si="53"/>
        <v>31.564999999999998</v>
      </c>
      <c r="AF174" s="6">
        <f t="shared" si="54"/>
        <v>3.2779592883594675</v>
      </c>
      <c r="AG174" s="6">
        <f t="shared" si="55"/>
        <v>1.3238495459463366</v>
      </c>
      <c r="AH174" s="6">
        <f t="shared" si="64"/>
        <v>0.97705487120656542</v>
      </c>
      <c r="AI174" s="6">
        <f t="shared" si="65"/>
        <v>6.6368721905090175E-2</v>
      </c>
      <c r="AJ174" s="6">
        <f t="shared" si="66"/>
        <v>0.30840737009635233</v>
      </c>
      <c r="AK174" s="6">
        <f t="shared" si="67"/>
        <v>0.66864750111021309</v>
      </c>
      <c r="AL174" s="6">
        <f t="shared" si="56"/>
        <v>0.69489999999999996</v>
      </c>
      <c r="AM174" s="6">
        <v>9.6</v>
      </c>
      <c r="AN174" s="6">
        <f t="shared" si="68"/>
        <v>20.144666666666669</v>
      </c>
    </row>
    <row r="175" spans="1:40" x14ac:dyDescent="0.2">
      <c r="A175" s="1">
        <f t="shared" si="69"/>
        <v>170</v>
      </c>
      <c r="B175" s="2">
        <v>19.36</v>
      </c>
      <c r="C175" s="2">
        <v>61.42312500000002</v>
      </c>
      <c r="D175" s="8">
        <v>1.333</v>
      </c>
      <c r="E175" s="2">
        <v>28.92</v>
      </c>
      <c r="F175" s="2">
        <v>95.5</v>
      </c>
      <c r="G175" s="8">
        <v>6.2720000000000002</v>
      </c>
      <c r="H175" s="2">
        <v>10.67</v>
      </c>
      <c r="I175" s="2">
        <v>27.69</v>
      </c>
      <c r="J175" s="2">
        <v>0</v>
      </c>
      <c r="K175" s="3">
        <v>15.02</v>
      </c>
      <c r="L175" s="3">
        <v>5.5036889999999996</v>
      </c>
      <c r="N175" s="6">
        <f t="shared" si="57"/>
        <v>1.9705595811851879</v>
      </c>
      <c r="O175" s="6">
        <f t="shared" si="58"/>
        <v>13.603710641037043</v>
      </c>
      <c r="P175" s="6">
        <f t="shared" si="59"/>
        <v>1.9338880000000001</v>
      </c>
      <c r="Q175" s="6">
        <f t="shared" si="51"/>
        <v>3.5051467781030334</v>
      </c>
      <c r="R175" s="6">
        <f t="shared" si="60"/>
        <v>3.6560787032452158</v>
      </c>
      <c r="S175" s="6">
        <f t="shared" si="61"/>
        <v>4.9651227771428559</v>
      </c>
      <c r="T175" s="6">
        <f t="shared" si="62"/>
        <v>4.6646304892308068</v>
      </c>
      <c r="U175" s="6">
        <f t="shared" si="63"/>
        <v>12.340067201787999</v>
      </c>
      <c r="X175" s="6"/>
      <c r="Y175" s="6"/>
      <c r="Z175" s="25"/>
      <c r="AA175" s="25"/>
      <c r="AB175" s="25"/>
      <c r="AC175" s="25"/>
      <c r="AD175" s="6">
        <f t="shared" si="52"/>
        <v>9.125</v>
      </c>
      <c r="AE175" s="6">
        <f t="shared" si="53"/>
        <v>33.905000000000001</v>
      </c>
      <c r="AF175" s="6">
        <f t="shared" si="54"/>
        <v>3.1895565824310421</v>
      </c>
      <c r="AG175" s="6">
        <f t="shared" si="55"/>
        <v>1.1690932356507295</v>
      </c>
      <c r="AH175" s="6">
        <f t="shared" si="64"/>
        <v>1.0102316733901562</v>
      </c>
      <c r="AI175" s="6">
        <f t="shared" si="65"/>
        <v>6.8174726488600054E-2</v>
      </c>
      <c r="AJ175" s="6">
        <f t="shared" si="66"/>
        <v>0.34251904886293244</v>
      </c>
      <c r="AK175" s="6">
        <f t="shared" si="67"/>
        <v>0.6677126245272238</v>
      </c>
      <c r="AL175" s="6">
        <f t="shared" si="56"/>
        <v>0.67659999999999998</v>
      </c>
      <c r="AM175" s="6">
        <v>9.6</v>
      </c>
      <c r="AN175" s="6">
        <f t="shared" si="68"/>
        <v>20.144666666666669</v>
      </c>
    </row>
    <row r="176" spans="1:40" x14ac:dyDescent="0.2">
      <c r="A176" s="1">
        <f t="shared" si="69"/>
        <v>171</v>
      </c>
      <c r="B176" s="2">
        <v>19.63</v>
      </c>
      <c r="C176" s="2">
        <v>59.825104166666669</v>
      </c>
      <c r="D176" s="8">
        <v>1.3220000000000001</v>
      </c>
      <c r="E176" s="2">
        <v>30.31</v>
      </c>
      <c r="F176" s="2">
        <v>94.3</v>
      </c>
      <c r="G176" s="8">
        <v>5.3929999999999998</v>
      </c>
      <c r="H176" s="2">
        <v>10.14</v>
      </c>
      <c r="I176" s="2">
        <v>23.41</v>
      </c>
      <c r="J176" s="2">
        <v>0</v>
      </c>
      <c r="K176" s="3">
        <v>14.87</v>
      </c>
      <c r="L176" s="3">
        <v>5.5007869999999999</v>
      </c>
      <c r="N176" s="6">
        <f t="shared" si="57"/>
        <v>1.9705595811851879</v>
      </c>
      <c r="O176" s="6">
        <f t="shared" si="58"/>
        <v>13.603710641037043</v>
      </c>
      <c r="P176" s="6">
        <f t="shared" si="59"/>
        <v>1.9338880000000001</v>
      </c>
      <c r="Q176" s="6">
        <f t="shared" si="51"/>
        <v>3.7116912687324479</v>
      </c>
      <c r="R176" s="6">
        <f t="shared" si="60"/>
        <v>3.8715170176063372</v>
      </c>
      <c r="S176" s="6">
        <f t="shared" si="61"/>
        <v>4.9351533171428565</v>
      </c>
      <c r="T176" s="6">
        <f t="shared" si="62"/>
        <v>4.8643177988057724</v>
      </c>
      <c r="U176" s="6">
        <f t="shared" si="63"/>
        <v>12.808012038965211</v>
      </c>
      <c r="X176" s="6"/>
      <c r="Y176" s="6"/>
      <c r="Z176" s="25"/>
      <c r="AA176" s="25"/>
      <c r="AB176" s="25"/>
      <c r="AC176" s="25"/>
      <c r="AD176" s="6">
        <f t="shared" si="52"/>
        <v>10.084999999999999</v>
      </c>
      <c r="AE176" s="6">
        <f t="shared" si="53"/>
        <v>35.445</v>
      </c>
      <c r="AF176" s="6">
        <f t="shared" si="54"/>
        <v>3.4259527605799889</v>
      </c>
      <c r="AG176" s="6">
        <f t="shared" si="55"/>
        <v>1.1333184626941444</v>
      </c>
      <c r="AH176" s="6">
        <f t="shared" si="64"/>
        <v>1.1463171489429222</v>
      </c>
      <c r="AI176" s="6">
        <f t="shared" si="65"/>
        <v>7.6759125386246699E-2</v>
      </c>
      <c r="AJ176" s="6">
        <f t="shared" si="66"/>
        <v>0.40631211344281881</v>
      </c>
      <c r="AK176" s="6">
        <f t="shared" si="67"/>
        <v>0.74000503550010344</v>
      </c>
      <c r="AL176" s="6">
        <f t="shared" si="56"/>
        <v>0.67930000000000001</v>
      </c>
      <c r="AM176" s="6">
        <v>9.6</v>
      </c>
      <c r="AN176" s="6">
        <f t="shared" si="68"/>
        <v>20.144666666666669</v>
      </c>
    </row>
    <row r="177" spans="1:40" x14ac:dyDescent="0.2">
      <c r="A177" s="1">
        <f t="shared" si="69"/>
        <v>172</v>
      </c>
      <c r="B177" s="2">
        <v>18.940000000000001</v>
      </c>
      <c r="C177" s="2">
        <v>59.511562500000018</v>
      </c>
      <c r="D177" s="8">
        <v>1.202</v>
      </c>
      <c r="E177" s="2">
        <v>29.83</v>
      </c>
      <c r="F177" s="2">
        <v>97.3</v>
      </c>
      <c r="G177" s="8">
        <v>3.7149999999999999</v>
      </c>
      <c r="H177" s="2">
        <v>9.3699999999999992</v>
      </c>
      <c r="I177" s="2">
        <v>21.77</v>
      </c>
      <c r="J177" s="2">
        <v>0</v>
      </c>
      <c r="K177" s="3">
        <v>14.69</v>
      </c>
      <c r="L177" s="3">
        <v>4.984375</v>
      </c>
      <c r="N177" s="6">
        <f t="shared" si="57"/>
        <v>1.9705595811851879</v>
      </c>
      <c r="O177" s="6">
        <f t="shared" si="58"/>
        <v>13.603710641037043</v>
      </c>
      <c r="P177" s="6">
        <f t="shared" si="59"/>
        <v>1.9338880000000001</v>
      </c>
      <c r="Q177" s="6">
        <f t="shared" si="51"/>
        <v>3.6693660270650534</v>
      </c>
      <c r="R177" s="6">
        <f t="shared" si="60"/>
        <v>3.8273692473513026</v>
      </c>
      <c r="S177" s="6">
        <f t="shared" si="61"/>
        <v>4.8258916457142851</v>
      </c>
      <c r="T177" s="6">
        <f t="shared" si="62"/>
        <v>4.3695555436335001</v>
      </c>
      <c r="U177" s="6">
        <f t="shared" si="63"/>
        <v>11.637088265388671</v>
      </c>
      <c r="X177" s="6"/>
      <c r="Y177" s="6"/>
      <c r="Z177" s="25"/>
      <c r="AA177" s="25"/>
      <c r="AB177" s="25"/>
      <c r="AC177" s="25"/>
      <c r="AD177" s="6">
        <f t="shared" si="52"/>
        <v>10.23</v>
      </c>
      <c r="AE177" s="6">
        <f t="shared" si="53"/>
        <v>37.765000000000001</v>
      </c>
      <c r="AF177" s="6">
        <f t="shared" si="54"/>
        <v>3.342649897983117</v>
      </c>
      <c r="AG177" s="6">
        <f t="shared" si="55"/>
        <v>1.0830603708367097</v>
      </c>
      <c r="AH177" s="6">
        <f t="shared" si="64"/>
        <v>1.1297947635732037</v>
      </c>
      <c r="AI177" s="6">
        <f t="shared" si="65"/>
        <v>7.5564154603316239E-2</v>
      </c>
      <c r="AJ177" s="6">
        <f t="shared" si="66"/>
        <v>0.42666699246342044</v>
      </c>
      <c r="AK177" s="6">
        <f t="shared" si="67"/>
        <v>0.70312777110978331</v>
      </c>
      <c r="AL177" s="6">
        <f t="shared" si="56"/>
        <v>0.6724</v>
      </c>
      <c r="AM177" s="6">
        <v>9.6</v>
      </c>
      <c r="AN177" s="6">
        <f t="shared" si="68"/>
        <v>20.144666666666669</v>
      </c>
    </row>
    <row r="178" spans="1:40" x14ac:dyDescent="0.2">
      <c r="A178" s="1">
        <f t="shared" si="69"/>
        <v>173</v>
      </c>
      <c r="B178" s="2">
        <v>18.32</v>
      </c>
      <c r="C178" s="2">
        <v>64.234062499999979</v>
      </c>
      <c r="D178" s="8">
        <v>1.07</v>
      </c>
      <c r="E178" s="2">
        <v>28.49</v>
      </c>
      <c r="F178" s="2">
        <v>92.3</v>
      </c>
      <c r="G178" s="8">
        <v>6.5910000000000002</v>
      </c>
      <c r="H178" s="2">
        <v>9.18</v>
      </c>
      <c r="I178" s="2">
        <v>33</v>
      </c>
      <c r="J178" s="2">
        <v>0</v>
      </c>
      <c r="K178" s="3">
        <v>14.45</v>
      </c>
      <c r="L178" s="3">
        <v>5.193276</v>
      </c>
      <c r="N178" s="6">
        <f t="shared" si="57"/>
        <v>1.9705595811851879</v>
      </c>
      <c r="O178" s="6">
        <f t="shared" si="58"/>
        <v>13.603710641037043</v>
      </c>
      <c r="P178" s="6">
        <f t="shared" si="59"/>
        <v>1.9338880000000001</v>
      </c>
      <c r="Q178" s="6">
        <f t="shared" si="51"/>
        <v>3.5045958922732665</v>
      </c>
      <c r="R178" s="6">
        <f t="shared" si="60"/>
        <v>3.6555040962237033</v>
      </c>
      <c r="S178" s="6">
        <f t="shared" si="61"/>
        <v>4.7032768285714281</v>
      </c>
      <c r="T178" s="6">
        <f t="shared" si="62"/>
        <v>4.9014273744396251</v>
      </c>
      <c r="U178" s="6">
        <f t="shared" si="63"/>
        <v>10.645637138677973</v>
      </c>
      <c r="X178" s="6"/>
      <c r="Y178" s="6"/>
      <c r="Z178" s="25"/>
      <c r="AA178" s="25"/>
      <c r="AB178" s="25"/>
      <c r="AC178" s="25"/>
      <c r="AD178" s="6">
        <f t="shared" si="52"/>
        <v>9.6549999999999994</v>
      </c>
      <c r="AE178" s="6">
        <f t="shared" si="53"/>
        <v>29.65</v>
      </c>
      <c r="AF178" s="6">
        <f t="shared" si="54"/>
        <v>3.1193683287239451</v>
      </c>
      <c r="AG178" s="6">
        <f t="shared" si="55"/>
        <v>1.0709650047874348</v>
      </c>
      <c r="AH178" s="6">
        <f t="shared" si="64"/>
        <v>1.024201661968255</v>
      </c>
      <c r="AI178" s="6">
        <f t="shared" si="65"/>
        <v>6.8821127457366987E-2</v>
      </c>
      <c r="AJ178" s="6">
        <f t="shared" si="66"/>
        <v>0.30367579277358758</v>
      </c>
      <c r="AK178" s="6">
        <f t="shared" si="67"/>
        <v>0.72052586919466743</v>
      </c>
      <c r="AL178" s="6">
        <f t="shared" si="56"/>
        <v>0.66620000000000001</v>
      </c>
      <c r="AM178" s="6">
        <v>9.6</v>
      </c>
      <c r="AN178" s="6">
        <f t="shared" si="68"/>
        <v>20.144666666666669</v>
      </c>
    </row>
    <row r="179" spans="1:40" x14ac:dyDescent="0.2">
      <c r="A179" s="1">
        <f t="shared" si="69"/>
        <v>174</v>
      </c>
      <c r="B179" s="2">
        <v>20.260000000000002</v>
      </c>
      <c r="C179" s="2">
        <v>63.285209999999999</v>
      </c>
      <c r="D179" s="8">
        <v>1.222</v>
      </c>
      <c r="E179" s="2">
        <v>30.89</v>
      </c>
      <c r="F179" s="2">
        <v>93.9</v>
      </c>
      <c r="G179" s="8">
        <v>5.2329999999999997</v>
      </c>
      <c r="H179" s="2">
        <v>11.57</v>
      </c>
      <c r="I179" s="2">
        <v>27.66</v>
      </c>
      <c r="J179" s="2">
        <v>0</v>
      </c>
      <c r="K179" s="3">
        <v>13.83</v>
      </c>
      <c r="L179" s="3">
        <v>5.6470419999999999</v>
      </c>
      <c r="N179" s="6">
        <f t="shared" si="57"/>
        <v>1.9705595811851879</v>
      </c>
      <c r="O179" s="6">
        <f t="shared" si="58"/>
        <v>13.603710641037043</v>
      </c>
      <c r="P179" s="6">
        <f t="shared" si="59"/>
        <v>1.9338880000000001</v>
      </c>
      <c r="Q179" s="6">
        <f t="shared" si="51"/>
        <v>3.6937833049012303</v>
      </c>
      <c r="R179" s="6">
        <f t="shared" si="60"/>
        <v>3.8528379352949158</v>
      </c>
      <c r="S179" s="6">
        <f t="shared" si="61"/>
        <v>4.6325600228571417</v>
      </c>
      <c r="T179" s="6">
        <f t="shared" si="62"/>
        <v>4.8359961818304802</v>
      </c>
      <c r="U179" s="6">
        <f t="shared" si="63"/>
        <v>13.942976923498614</v>
      </c>
      <c r="X179" s="6"/>
      <c r="Y179" s="6"/>
      <c r="Z179" s="25"/>
      <c r="AA179" s="25"/>
      <c r="AB179" s="25"/>
      <c r="AC179" s="25"/>
      <c r="AD179" s="6">
        <f t="shared" si="52"/>
        <v>9.66</v>
      </c>
      <c r="AE179" s="6">
        <f t="shared" si="53"/>
        <v>33.120000000000005</v>
      </c>
      <c r="AF179" s="6">
        <f t="shared" si="54"/>
        <v>3.5290191742895551</v>
      </c>
      <c r="AG179" s="6">
        <f t="shared" si="55"/>
        <v>1.2321223643698065</v>
      </c>
      <c r="AH179" s="6">
        <f t="shared" si="64"/>
        <v>1.1484484049598742</v>
      </c>
      <c r="AI179" s="6">
        <f t="shared" si="65"/>
        <v>7.7166750070320006E-2</v>
      </c>
      <c r="AJ179" s="6">
        <f t="shared" si="66"/>
        <v>0.3803661117227104</v>
      </c>
      <c r="AK179" s="6">
        <f t="shared" si="67"/>
        <v>0.76808229323716382</v>
      </c>
      <c r="AL179" s="6">
        <f t="shared" si="56"/>
        <v>0.68559999999999999</v>
      </c>
      <c r="AM179" s="6">
        <v>9.6</v>
      </c>
      <c r="AN179" s="6">
        <f t="shared" si="68"/>
        <v>20.144666666666669</v>
      </c>
    </row>
    <row r="180" spans="1:40" x14ac:dyDescent="0.2">
      <c r="A180" s="1">
        <f t="shared" si="69"/>
        <v>175</v>
      </c>
      <c r="B180" s="2">
        <v>22.43</v>
      </c>
      <c r="C180" s="2">
        <v>57.029789999999998</v>
      </c>
      <c r="D180" s="8">
        <v>0.44500000000000001</v>
      </c>
      <c r="E180" s="2">
        <v>30.98</v>
      </c>
      <c r="F180" s="2">
        <v>86.7</v>
      </c>
      <c r="G180" s="8">
        <v>4.7539999999999996</v>
      </c>
      <c r="H180" s="2">
        <v>14.77</v>
      </c>
      <c r="I180" s="2">
        <v>30.87</v>
      </c>
      <c r="J180" s="2">
        <v>0</v>
      </c>
      <c r="K180" s="3">
        <v>11.5</v>
      </c>
      <c r="L180" s="3">
        <v>4.3834249999999999</v>
      </c>
      <c r="N180" s="6">
        <f t="shared" si="57"/>
        <v>1.9705595811851879</v>
      </c>
      <c r="O180" s="6">
        <f t="shared" si="58"/>
        <v>13.603710641037043</v>
      </c>
      <c r="P180" s="6">
        <f t="shared" si="59"/>
        <v>1.9338880000000001</v>
      </c>
      <c r="Q180" s="6">
        <f t="shared" si="51"/>
        <v>3.5763548960981684</v>
      </c>
      <c r="R180" s="6">
        <f t="shared" si="60"/>
        <v>3.7303530489948913</v>
      </c>
      <c r="S180" s="6">
        <f t="shared" si="61"/>
        <v>3.9740155714285712</v>
      </c>
      <c r="T180" s="6">
        <f t="shared" si="62"/>
        <v>4.3667015758654397</v>
      </c>
      <c r="U180" s="6">
        <f t="shared" si="63"/>
        <v>18.396301705651339</v>
      </c>
      <c r="X180" s="6"/>
      <c r="Y180" s="6"/>
      <c r="Z180" s="25"/>
      <c r="AA180" s="25"/>
      <c r="AB180" s="25"/>
      <c r="AC180" s="25"/>
      <c r="AD180" s="6">
        <f t="shared" si="52"/>
        <v>8.1050000000000004</v>
      </c>
      <c r="AE180" s="6">
        <f t="shared" si="53"/>
        <v>27.914999999999999</v>
      </c>
      <c r="AF180" s="6">
        <f t="shared" si="54"/>
        <v>3.545251909059167</v>
      </c>
      <c r="AG180" s="6">
        <f t="shared" si="55"/>
        <v>1.4810958390691953</v>
      </c>
      <c r="AH180" s="6">
        <f t="shared" si="64"/>
        <v>1.0320780349949858</v>
      </c>
      <c r="AI180" s="6">
        <f t="shared" si="65"/>
        <v>7.022919258305757E-2</v>
      </c>
      <c r="AJ180" s="6">
        <f t="shared" si="66"/>
        <v>0.28810458346885026</v>
      </c>
      <c r="AK180" s="6">
        <f t="shared" si="67"/>
        <v>0.74397345152613559</v>
      </c>
      <c r="AL180" s="6">
        <f t="shared" si="56"/>
        <v>0.70730000000000004</v>
      </c>
      <c r="AM180" s="6">
        <v>9.6</v>
      </c>
      <c r="AN180" s="6">
        <f t="shared" si="68"/>
        <v>20.144666666666669</v>
      </c>
    </row>
    <row r="181" spans="1:40" x14ac:dyDescent="0.2">
      <c r="A181" s="1">
        <f t="shared" si="69"/>
        <v>176</v>
      </c>
      <c r="B181" s="2">
        <v>22.25</v>
      </c>
      <c r="C181" s="2">
        <v>60.572708333333345</v>
      </c>
      <c r="D181" s="8">
        <v>1.282</v>
      </c>
      <c r="E181" s="2">
        <v>31.8</v>
      </c>
      <c r="F181" s="2">
        <v>91.3</v>
      </c>
      <c r="G181" s="8">
        <v>5.8719999999999999</v>
      </c>
      <c r="H181" s="2">
        <v>13.86</v>
      </c>
      <c r="I181" s="2">
        <v>29.37</v>
      </c>
      <c r="J181" s="2">
        <v>0</v>
      </c>
      <c r="K181" s="3">
        <v>14.22</v>
      </c>
      <c r="L181" s="3">
        <v>6.0358330000000002</v>
      </c>
      <c r="N181" s="6">
        <f t="shared" si="57"/>
        <v>1.9705595811851879</v>
      </c>
      <c r="O181" s="6">
        <f t="shared" si="58"/>
        <v>13.603710641037043</v>
      </c>
      <c r="P181" s="6">
        <f t="shared" si="59"/>
        <v>1.9338880000000001</v>
      </c>
      <c r="Q181" s="6">
        <f t="shared" si="51"/>
        <v>3.745525937117915</v>
      </c>
      <c r="R181" s="6">
        <f t="shared" si="60"/>
        <v>3.9068086097554162</v>
      </c>
      <c r="S181" s="6">
        <f t="shared" si="61"/>
        <v>4.9014511714285716</v>
      </c>
      <c r="T181" s="6">
        <f t="shared" si="62"/>
        <v>5.1091240807718723</v>
      </c>
      <c r="U181" s="6">
        <f t="shared" si="63"/>
        <v>17.991707507527519</v>
      </c>
      <c r="X181" s="6"/>
      <c r="Y181" s="6"/>
      <c r="Z181" s="25"/>
      <c r="AA181" s="25"/>
      <c r="AB181" s="25"/>
      <c r="AC181" s="25"/>
      <c r="AD181" s="6">
        <f t="shared" si="52"/>
        <v>8.9700000000000006</v>
      </c>
      <c r="AE181" s="6">
        <f t="shared" si="53"/>
        <v>30.964999999999996</v>
      </c>
      <c r="AF181" s="6">
        <f t="shared" si="54"/>
        <v>3.6961715910165558</v>
      </c>
      <c r="AG181" s="6">
        <f t="shared" si="55"/>
        <v>1.4061593017855629</v>
      </c>
      <c r="AH181" s="6">
        <f t="shared" si="64"/>
        <v>1.1450061446154964</v>
      </c>
      <c r="AI181" s="6">
        <f t="shared" si="65"/>
        <v>7.7367177023783124E-2</v>
      </c>
      <c r="AJ181" s="6">
        <f t="shared" si="66"/>
        <v>0.35455115268018844</v>
      </c>
      <c r="AK181" s="6">
        <f t="shared" si="67"/>
        <v>0.79045499193530799</v>
      </c>
      <c r="AL181" s="6">
        <f t="shared" si="56"/>
        <v>0.70550000000000002</v>
      </c>
      <c r="AM181" s="6">
        <v>9.6</v>
      </c>
      <c r="AN181" s="6">
        <f t="shared" si="68"/>
        <v>20.144666666666669</v>
      </c>
    </row>
    <row r="182" spans="1:40" x14ac:dyDescent="0.2">
      <c r="A182" s="1">
        <f t="shared" si="69"/>
        <v>177</v>
      </c>
      <c r="B182" s="2">
        <v>20.65</v>
      </c>
      <c r="C182" s="2">
        <v>73.651666666666685</v>
      </c>
      <c r="D182" s="8">
        <v>1.5649999999999999</v>
      </c>
      <c r="E182" s="2">
        <v>27.44</v>
      </c>
      <c r="F182" s="2">
        <v>90.8</v>
      </c>
      <c r="G182" s="8">
        <v>6.032</v>
      </c>
      <c r="H182" s="2">
        <v>15.44</v>
      </c>
      <c r="I182" s="2">
        <v>52.99</v>
      </c>
      <c r="J182" s="2">
        <v>0</v>
      </c>
      <c r="K182" s="3">
        <v>12.2</v>
      </c>
      <c r="L182" s="3">
        <v>4.9579570000000004</v>
      </c>
      <c r="N182" s="6">
        <f t="shared" si="57"/>
        <v>1.9705595811851879</v>
      </c>
      <c r="O182" s="6">
        <f t="shared" si="58"/>
        <v>13.603710641037043</v>
      </c>
      <c r="P182" s="6">
        <f t="shared" si="59"/>
        <v>1.9338880000000001</v>
      </c>
      <c r="Q182" s="6">
        <f t="shared" si="51"/>
        <v>2.9409391328131904</v>
      </c>
      <c r="R182" s="6">
        <f t="shared" si="60"/>
        <v>3.067576227674508</v>
      </c>
      <c r="S182" s="6">
        <f t="shared" si="61"/>
        <v>4.1098139999999992</v>
      </c>
      <c r="T182" s="6">
        <f t="shared" si="62"/>
        <v>3.8767243402343601</v>
      </c>
      <c r="U182" s="6">
        <f t="shared" si="63"/>
        <v>14.675096570297697</v>
      </c>
      <c r="X182" s="6"/>
      <c r="Y182" s="6"/>
      <c r="Z182" s="25"/>
      <c r="AA182" s="25"/>
      <c r="AB182" s="25"/>
      <c r="AC182" s="25"/>
      <c r="AD182" s="6">
        <f t="shared" si="52"/>
        <v>6.0000000000000009</v>
      </c>
      <c r="AE182" s="6">
        <f t="shared" si="53"/>
        <v>18.904999999999998</v>
      </c>
      <c r="AF182" s="6">
        <f t="shared" si="54"/>
        <v>2.9536106177572705</v>
      </c>
      <c r="AG182" s="6">
        <f t="shared" si="55"/>
        <v>1.5384878136635567</v>
      </c>
      <c r="AH182" s="6">
        <f t="shared" si="64"/>
        <v>0.70756140204685691</v>
      </c>
      <c r="AI182" s="6">
        <f t="shared" si="65"/>
        <v>4.8983731967202224E-2</v>
      </c>
      <c r="AJ182" s="6">
        <f t="shared" si="66"/>
        <v>0.13376448305695829</v>
      </c>
      <c r="AK182" s="6">
        <f t="shared" si="67"/>
        <v>0.5737969189898986</v>
      </c>
      <c r="AL182" s="6">
        <f t="shared" si="56"/>
        <v>0.6895</v>
      </c>
      <c r="AM182" s="6">
        <v>9.6</v>
      </c>
      <c r="AN182" s="6">
        <f t="shared" si="68"/>
        <v>20.144666666666669</v>
      </c>
    </row>
    <row r="183" spans="1:40" x14ac:dyDescent="0.2">
      <c r="A183" s="1">
        <f t="shared" si="69"/>
        <v>178</v>
      </c>
      <c r="B183" s="2">
        <v>21.84</v>
      </c>
      <c r="C183" s="2">
        <v>67.018437500000033</v>
      </c>
      <c r="D183" s="8">
        <v>0.73199999999999998</v>
      </c>
      <c r="E183" s="2">
        <v>31.08</v>
      </c>
      <c r="F183" s="2">
        <v>100</v>
      </c>
      <c r="G183" s="8">
        <v>5.5529999999999999</v>
      </c>
      <c r="H183" s="2">
        <v>12.62</v>
      </c>
      <c r="I183" s="2">
        <v>35.26</v>
      </c>
      <c r="J183" s="2">
        <v>0</v>
      </c>
      <c r="K183" s="3">
        <v>12.16</v>
      </c>
      <c r="L183" s="3">
        <v>5.151694</v>
      </c>
      <c r="N183" s="6">
        <f t="shared" si="57"/>
        <v>1.9705595811851879</v>
      </c>
      <c r="O183" s="6">
        <f t="shared" si="58"/>
        <v>13.603710641037043</v>
      </c>
      <c r="P183" s="6">
        <f t="shared" si="59"/>
        <v>1.9338880000000001</v>
      </c>
      <c r="Q183" s="6">
        <f t="shared" si="51"/>
        <v>3.7605257186798475</v>
      </c>
      <c r="R183" s="6">
        <f t="shared" si="60"/>
        <v>3.922454283216084</v>
      </c>
      <c r="S183" s="6">
        <f t="shared" si="61"/>
        <v>4.1670374399999996</v>
      </c>
      <c r="T183" s="6">
        <f t="shared" si="62"/>
        <v>4.6850321375780943</v>
      </c>
      <c r="U183" s="6">
        <f t="shared" si="63"/>
        <v>17.094622724417299</v>
      </c>
      <c r="X183" s="6"/>
      <c r="Y183" s="6"/>
      <c r="Z183" s="25"/>
      <c r="AA183" s="25"/>
      <c r="AB183" s="25"/>
      <c r="AC183" s="25"/>
      <c r="AD183" s="6">
        <f t="shared" si="52"/>
        <v>9.23</v>
      </c>
      <c r="AE183" s="6">
        <f t="shared" si="53"/>
        <v>32.370000000000005</v>
      </c>
      <c r="AF183" s="6">
        <f t="shared" si="54"/>
        <v>3.5633645262870828</v>
      </c>
      <c r="AG183" s="6">
        <f t="shared" si="55"/>
        <v>1.3094166648401673</v>
      </c>
      <c r="AH183" s="6">
        <f t="shared" si="64"/>
        <v>1.1269739307234579</v>
      </c>
      <c r="AI183" s="6">
        <f t="shared" si="65"/>
        <v>7.5988220217952901E-2</v>
      </c>
      <c r="AJ183" s="6">
        <f t="shared" si="66"/>
        <v>0.36480146137518338</v>
      </c>
      <c r="AK183" s="6">
        <f t="shared" si="67"/>
        <v>0.76217246934827454</v>
      </c>
      <c r="AL183" s="6">
        <f t="shared" si="56"/>
        <v>0.70140000000000002</v>
      </c>
      <c r="AM183" s="6">
        <v>9.6</v>
      </c>
      <c r="AN183" s="6">
        <f t="shared" si="68"/>
        <v>20.144666666666669</v>
      </c>
    </row>
    <row r="184" spans="1:40" x14ac:dyDescent="0.2">
      <c r="A184" s="1">
        <f t="shared" si="69"/>
        <v>179</v>
      </c>
      <c r="B184" s="2">
        <v>21.84</v>
      </c>
      <c r="C184" s="2">
        <v>70.9655789473684</v>
      </c>
      <c r="D184" s="8">
        <v>0.64900000000000002</v>
      </c>
      <c r="E184" s="2">
        <v>28.33</v>
      </c>
      <c r="F184" s="2">
        <v>94.1</v>
      </c>
      <c r="G184" s="8">
        <v>4.7919999999999998</v>
      </c>
      <c r="H184" s="2">
        <v>15.83</v>
      </c>
      <c r="I184" s="2">
        <v>44.12</v>
      </c>
      <c r="J184" s="2">
        <v>0</v>
      </c>
      <c r="K184" s="3">
        <v>12</v>
      </c>
      <c r="L184" s="3">
        <v>4.9723750000000004</v>
      </c>
      <c r="N184" s="6">
        <f t="shared" si="57"/>
        <v>1.9705595811851879</v>
      </c>
      <c r="O184" s="6">
        <f t="shared" si="58"/>
        <v>13.603710641037043</v>
      </c>
      <c r="P184" s="6">
        <f t="shared" si="59"/>
        <v>1.9338880000000001</v>
      </c>
      <c r="Q184" s="6">
        <f t="shared" si="51"/>
        <v>3.0944802938083154</v>
      </c>
      <c r="R184" s="6">
        <f t="shared" si="60"/>
        <v>3.2277288844170666</v>
      </c>
      <c r="S184" s="6">
        <f t="shared" si="61"/>
        <v>4.112207999999999</v>
      </c>
      <c r="T184" s="6">
        <f t="shared" si="62"/>
        <v>3.663596612055076</v>
      </c>
      <c r="U184" s="6">
        <f t="shared" si="63"/>
        <v>17.092565373689638</v>
      </c>
      <c r="X184" s="6"/>
      <c r="Y184" s="6"/>
      <c r="Z184" s="25"/>
      <c r="AA184" s="25"/>
      <c r="AB184" s="25"/>
      <c r="AC184" s="25"/>
      <c r="AD184" s="6">
        <f t="shared" si="52"/>
        <v>6.2499999999999991</v>
      </c>
      <c r="AE184" s="6">
        <f t="shared" si="53"/>
        <v>24.99</v>
      </c>
      <c r="AF184" s="6">
        <f t="shared" si="54"/>
        <v>3.0935977788429128</v>
      </c>
      <c r="AG184" s="6">
        <f t="shared" si="55"/>
        <v>1.5727860456384577</v>
      </c>
      <c r="AH184" s="6">
        <f t="shared" si="64"/>
        <v>0.76040586660222753</v>
      </c>
      <c r="AI184" s="6">
        <f t="shared" si="65"/>
        <v>5.2534081690466479E-2</v>
      </c>
      <c r="AJ184" s="6">
        <f t="shared" si="66"/>
        <v>0.19002542606389664</v>
      </c>
      <c r="AK184" s="6">
        <f t="shared" si="67"/>
        <v>0.57038044053833092</v>
      </c>
      <c r="AL184" s="6">
        <f t="shared" si="56"/>
        <v>0.70140000000000002</v>
      </c>
      <c r="AM184" s="6">
        <v>9.6</v>
      </c>
      <c r="AN184" s="6">
        <f t="shared" si="68"/>
        <v>20.144666666666669</v>
      </c>
    </row>
    <row r="185" spans="1:40" x14ac:dyDescent="0.2">
      <c r="A185" s="1">
        <f t="shared" si="69"/>
        <v>180</v>
      </c>
      <c r="B185" s="2">
        <v>20.5</v>
      </c>
      <c r="C185" s="2">
        <v>71.615937499999959</v>
      </c>
      <c r="D185" s="8">
        <v>1.173</v>
      </c>
      <c r="E185" s="2">
        <v>28.49</v>
      </c>
      <c r="F185" s="2">
        <v>100</v>
      </c>
      <c r="G185" s="2">
        <v>4.2750000000000004</v>
      </c>
      <c r="H185" s="2">
        <v>12.81</v>
      </c>
      <c r="I185" s="2">
        <v>41.07</v>
      </c>
      <c r="J185" s="2">
        <v>0</v>
      </c>
      <c r="K185" s="3">
        <v>9.9700000000000006</v>
      </c>
      <c r="L185" s="3">
        <v>3.3977780000000002</v>
      </c>
      <c r="N185" s="6">
        <f t="shared" si="57"/>
        <v>1.9705595811851879</v>
      </c>
      <c r="O185" s="6">
        <f t="shared" si="58"/>
        <v>13.603710641037043</v>
      </c>
      <c r="P185" s="6">
        <f t="shared" si="59"/>
        <v>1.9338880000000001</v>
      </c>
      <c r="Q185" s="6">
        <f t="shared" si="51"/>
        <v>3.3486585944299061</v>
      </c>
      <c r="R185" s="6">
        <f t="shared" si="60"/>
        <v>3.4928521247718081</v>
      </c>
      <c r="S185" s="6">
        <f t="shared" si="61"/>
        <v>3.3512873142857145</v>
      </c>
      <c r="T185" s="6">
        <f t="shared" si="62"/>
        <v>3.6290792610190463</v>
      </c>
      <c r="U185" s="6">
        <f t="shared" si="63"/>
        <v>14.389502661658183</v>
      </c>
      <c r="X185" s="6"/>
      <c r="Y185" s="6"/>
      <c r="Z185" s="25"/>
      <c r="AA185" s="25"/>
      <c r="AB185" s="25"/>
      <c r="AC185" s="25"/>
      <c r="AD185" s="6">
        <f t="shared" si="52"/>
        <v>7.839999999999999</v>
      </c>
      <c r="AE185" s="6">
        <f t="shared" si="53"/>
        <v>29.465</v>
      </c>
      <c r="AF185" s="6">
        <f t="shared" si="54"/>
        <v>3.1193683287239451</v>
      </c>
      <c r="AG185" s="6">
        <f t="shared" si="55"/>
        <v>1.3238495459463366</v>
      </c>
      <c r="AH185" s="6">
        <f t="shared" si="64"/>
        <v>0.89775939138880423</v>
      </c>
      <c r="AI185" s="6">
        <f t="shared" si="65"/>
        <v>6.1221440984914798E-2</v>
      </c>
      <c r="AJ185" s="6">
        <f t="shared" si="66"/>
        <v>0.26452480467271117</v>
      </c>
      <c r="AK185" s="6">
        <f t="shared" si="67"/>
        <v>0.63323458671609312</v>
      </c>
      <c r="AL185" s="6">
        <f t="shared" si="56"/>
        <v>0.68799999999999994</v>
      </c>
      <c r="AM185" s="6">
        <v>9.6</v>
      </c>
      <c r="AN185" s="6">
        <f t="shared" si="68"/>
        <v>20.144666666666669</v>
      </c>
    </row>
    <row r="186" spans="1:40" x14ac:dyDescent="0.2">
      <c r="A186" s="1">
        <f t="shared" si="69"/>
        <v>181</v>
      </c>
      <c r="B186" s="2">
        <v>22.03</v>
      </c>
      <c r="C186" s="2">
        <v>64.060829999999996</v>
      </c>
      <c r="D186" s="8">
        <v>1.355</v>
      </c>
      <c r="E186" s="2">
        <v>29.79</v>
      </c>
      <c r="F186" s="2">
        <v>89.2</v>
      </c>
      <c r="G186" s="2">
        <v>6.6710000000000003</v>
      </c>
      <c r="H186" s="2">
        <v>16.02</v>
      </c>
      <c r="I186" s="2">
        <v>29.06</v>
      </c>
      <c r="J186" s="2">
        <v>0</v>
      </c>
      <c r="K186" s="3">
        <v>13.44</v>
      </c>
      <c r="L186" s="3">
        <v>5.944178</v>
      </c>
      <c r="N186" s="6">
        <f t="shared" si="57"/>
        <v>1.9705595811851879</v>
      </c>
      <c r="O186" s="6">
        <f t="shared" si="58"/>
        <v>13.603710641037043</v>
      </c>
      <c r="P186" s="6">
        <f t="shared" si="59"/>
        <v>1.9338880000000001</v>
      </c>
      <c r="Q186" s="6">
        <f t="shared" si="51"/>
        <v>3.263445359342279</v>
      </c>
      <c r="R186" s="6">
        <f t="shared" si="60"/>
        <v>3.4039696003694755</v>
      </c>
      <c r="S186" s="6">
        <f t="shared" si="61"/>
        <v>4.6181491199999991</v>
      </c>
      <c r="T186" s="6">
        <f t="shared" si="62"/>
        <v>4.2784933539963008</v>
      </c>
      <c r="U186" s="6">
        <f t="shared" si="63"/>
        <v>17.506286803564635</v>
      </c>
      <c r="X186" s="6"/>
      <c r="Y186" s="6"/>
      <c r="Z186" s="25"/>
      <c r="AA186" s="25"/>
      <c r="AB186" s="25"/>
      <c r="AC186" s="25"/>
      <c r="AD186" s="6">
        <f t="shared" si="52"/>
        <v>6.8849999999999998</v>
      </c>
      <c r="AE186" s="6">
        <f t="shared" si="53"/>
        <v>30.07</v>
      </c>
      <c r="AF186" s="6">
        <f t="shared" si="54"/>
        <v>3.3357883703707811</v>
      </c>
      <c r="AG186" s="6">
        <f t="shared" si="55"/>
        <v>1.5897371554635724</v>
      </c>
      <c r="AH186" s="6">
        <f t="shared" si="64"/>
        <v>0.87302560745360436</v>
      </c>
      <c r="AI186" s="6">
        <f t="shared" si="65"/>
        <v>6.0001343129219231E-2</v>
      </c>
      <c r="AJ186" s="6">
        <f t="shared" si="66"/>
        <v>0.26251880016129886</v>
      </c>
      <c r="AK186" s="6">
        <f t="shared" si="67"/>
        <v>0.61050680729230544</v>
      </c>
      <c r="AL186" s="6">
        <f t="shared" si="56"/>
        <v>0.70330000000000004</v>
      </c>
      <c r="AM186" s="6">
        <v>9.6</v>
      </c>
      <c r="AN186" s="6">
        <f t="shared" si="68"/>
        <v>20.144666666666669</v>
      </c>
    </row>
    <row r="187" spans="1:40" x14ac:dyDescent="0.2">
      <c r="A187" s="1">
        <f t="shared" si="69"/>
        <v>182</v>
      </c>
      <c r="B187" s="2">
        <v>17.22</v>
      </c>
      <c r="C187" s="2">
        <v>81.204790000000003</v>
      </c>
      <c r="D187" s="8">
        <v>1.036</v>
      </c>
      <c r="E187" s="2">
        <v>22.65</v>
      </c>
      <c r="F187" s="2">
        <v>99.2</v>
      </c>
      <c r="G187" s="2">
        <v>5.3129999999999997</v>
      </c>
      <c r="H187" s="2">
        <v>12.1</v>
      </c>
      <c r="I187" s="2">
        <v>49.84</v>
      </c>
      <c r="J187" s="2">
        <v>0.76200000000000001</v>
      </c>
      <c r="K187" s="3">
        <v>8.06</v>
      </c>
      <c r="L187" s="3">
        <v>2.3793440000000001</v>
      </c>
      <c r="N187" s="6">
        <f t="shared" si="57"/>
        <v>1.9705595811851879</v>
      </c>
      <c r="O187" s="6">
        <f t="shared" si="58"/>
        <v>13.603710641037043</v>
      </c>
      <c r="P187" s="6">
        <f t="shared" si="59"/>
        <v>1.9338880000000001</v>
      </c>
      <c r="Q187" s="6">
        <f t="shared" si="51"/>
        <v>2.5115477567208244</v>
      </c>
      <c r="R187" s="6">
        <f t="shared" si="60"/>
        <v>2.6196952215792164</v>
      </c>
      <c r="S187" s="6">
        <f t="shared" si="61"/>
        <v>2.5801027200000002</v>
      </c>
      <c r="T187" s="6">
        <f t="shared" si="62"/>
        <v>2.4820756363554204</v>
      </c>
      <c r="U187" s="6">
        <f t="shared" si="63"/>
        <v>9.021549499541111</v>
      </c>
      <c r="X187" s="6"/>
      <c r="Y187" s="6"/>
      <c r="Z187" s="25"/>
      <c r="AA187" s="25"/>
      <c r="AB187" s="25"/>
      <c r="AC187" s="25"/>
      <c r="AD187" s="6">
        <f t="shared" si="52"/>
        <v>5.2749999999999995</v>
      </c>
      <c r="AE187" s="6">
        <f t="shared" si="53"/>
        <v>24.68</v>
      </c>
      <c r="AF187" s="6">
        <f t="shared" si="54"/>
        <v>2.291079696115129</v>
      </c>
      <c r="AG187" s="6">
        <f t="shared" si="55"/>
        <v>1.2706208645274311</v>
      </c>
      <c r="AH187" s="6">
        <f t="shared" si="64"/>
        <v>0.51022941579384895</v>
      </c>
      <c r="AI187" s="6">
        <f t="shared" si="65"/>
        <v>3.5534103824291639E-2</v>
      </c>
      <c r="AJ187" s="6">
        <f t="shared" si="66"/>
        <v>0.12592461981792191</v>
      </c>
      <c r="AK187" s="6">
        <f t="shared" si="67"/>
        <v>0.38430479597592704</v>
      </c>
      <c r="AL187" s="6">
        <f t="shared" si="56"/>
        <v>0.6552</v>
      </c>
      <c r="AM187" s="6">
        <v>9.6</v>
      </c>
      <c r="AN187" s="6">
        <f t="shared" si="68"/>
        <v>20.144666666666669</v>
      </c>
    </row>
    <row r="188" spans="1:40" x14ac:dyDescent="0.2">
      <c r="A188" s="1">
        <f t="shared" si="69"/>
        <v>183</v>
      </c>
      <c r="B188" s="2">
        <v>12.82</v>
      </c>
      <c r="C188" s="2">
        <v>92.47499999999998</v>
      </c>
      <c r="D188" s="2">
        <v>0.8</v>
      </c>
      <c r="E188" s="2">
        <v>16.690000000000001</v>
      </c>
      <c r="F188" s="2">
        <v>100</v>
      </c>
      <c r="G188" s="2">
        <v>5.7130000000000001</v>
      </c>
      <c r="H188" s="2">
        <v>10.51</v>
      </c>
      <c r="I188" s="2">
        <v>74.5</v>
      </c>
      <c r="J188" s="2">
        <v>0.254</v>
      </c>
      <c r="K188" s="3">
        <v>4.2720000000000002</v>
      </c>
      <c r="L188" s="3">
        <v>-0.40003</v>
      </c>
      <c r="N188" s="6">
        <f t="shared" si="57"/>
        <v>1.1900090666666634</v>
      </c>
      <c r="O188" s="6">
        <f t="shared" si="58"/>
        <v>11.150230933333322</v>
      </c>
      <c r="P188" s="6">
        <f t="shared" si="59"/>
        <v>1.8639999999999992</v>
      </c>
      <c r="Q188" s="6">
        <f t="shared" si="51"/>
        <v>1.7507625973180945</v>
      </c>
      <c r="R188" s="6">
        <f t="shared" si="60"/>
        <v>1.8261505870396422</v>
      </c>
      <c r="S188" s="6">
        <f t="shared" si="61"/>
        <v>1.2756826697142853</v>
      </c>
      <c r="T188" s="6">
        <f t="shared" si="62"/>
        <v>1.3856160388315286</v>
      </c>
      <c r="U188" s="6">
        <f t="shared" si="63"/>
        <v>4.0687068737981384</v>
      </c>
      <c r="X188" s="6"/>
      <c r="Y188" s="6"/>
      <c r="Z188" s="25"/>
      <c r="AA188" s="25"/>
      <c r="AB188" s="25"/>
      <c r="AC188" s="25"/>
      <c r="AD188" s="6">
        <f t="shared" si="52"/>
        <v>3.0900000000000007</v>
      </c>
      <c r="AE188" s="6">
        <f t="shared" si="53"/>
        <v>12.75</v>
      </c>
      <c r="AF188" s="6">
        <f t="shared" si="54"/>
        <v>1.6507983489955254</v>
      </c>
      <c r="AG188" s="6">
        <f t="shared" si="55"/>
        <v>1.1581900729464003</v>
      </c>
      <c r="AH188" s="6">
        <f t="shared" si="64"/>
        <v>0.24630413802456252</v>
      </c>
      <c r="AI188" s="6">
        <f t="shared" si="65"/>
        <v>1.7466700254373781E-2</v>
      </c>
      <c r="AJ188" s="6">
        <f t="shared" si="66"/>
        <v>3.1403777598131725E-2</v>
      </c>
      <c r="AK188" s="6">
        <f t="shared" si="67"/>
        <v>0.21490036042643079</v>
      </c>
      <c r="AL188" s="6">
        <f t="shared" si="56"/>
        <v>0.61119999999999997</v>
      </c>
      <c r="AM188" s="6">
        <v>10</v>
      </c>
      <c r="AN188" s="6">
        <f>$X$12</f>
        <v>18.639999999999993</v>
      </c>
    </row>
    <row r="189" spans="1:40" x14ac:dyDescent="0.2">
      <c r="A189" s="1">
        <f t="shared" si="69"/>
        <v>184</v>
      </c>
      <c r="B189" s="2">
        <v>16.059999999999999</v>
      </c>
      <c r="C189" s="2">
        <v>80.602499999999992</v>
      </c>
      <c r="D189" s="2">
        <v>0.76200000000000001</v>
      </c>
      <c r="E189" s="2">
        <v>27.92</v>
      </c>
      <c r="F189" s="2">
        <v>100</v>
      </c>
      <c r="G189" s="2">
        <v>3.3159999999999998</v>
      </c>
      <c r="H189" s="2">
        <v>8.6</v>
      </c>
      <c r="I189" s="2">
        <v>39.840000000000003</v>
      </c>
      <c r="J189" s="2">
        <v>0.254</v>
      </c>
      <c r="K189" s="3">
        <v>12.45</v>
      </c>
      <c r="L189" s="3">
        <v>5.5229509999999999</v>
      </c>
      <c r="N189" s="6">
        <f t="shared" si="57"/>
        <v>1.1900090666666634</v>
      </c>
      <c r="O189" s="6">
        <f t="shared" si="58"/>
        <v>11.150230933333322</v>
      </c>
      <c r="P189" s="6">
        <f t="shared" si="59"/>
        <v>1.8639999999999992</v>
      </c>
      <c r="Q189" s="6">
        <f t="shared" si="51"/>
        <v>3.4230902605522981</v>
      </c>
      <c r="R189" s="6">
        <f t="shared" si="60"/>
        <v>3.5704888249114841</v>
      </c>
      <c r="S189" s="6">
        <f t="shared" si="61"/>
        <v>3.9148349142857137</v>
      </c>
      <c r="T189" s="6">
        <f t="shared" si="62"/>
        <v>3.914382655935261</v>
      </c>
      <c r="U189" s="6">
        <f t="shared" si="63"/>
        <v>7.4945596642151928</v>
      </c>
      <c r="X189" s="6"/>
      <c r="Y189" s="6"/>
      <c r="Z189" s="25"/>
      <c r="AA189" s="25"/>
      <c r="AB189" s="25"/>
      <c r="AC189" s="25"/>
      <c r="AD189" s="6">
        <f t="shared" si="52"/>
        <v>9.66</v>
      </c>
      <c r="AE189" s="6">
        <f t="shared" si="53"/>
        <v>30.08</v>
      </c>
      <c r="AF189" s="6">
        <f t="shared" si="54"/>
        <v>3.0284065269648379</v>
      </c>
      <c r="AG189" s="6">
        <f t="shared" si="55"/>
        <v>1.034774578685232</v>
      </c>
      <c r="AH189" s="6">
        <f t="shared" si="64"/>
        <v>0.99681597413980294</v>
      </c>
      <c r="AI189" s="6">
        <f t="shared" si="65"/>
        <v>6.6978236732573374E-2</v>
      </c>
      <c r="AJ189" s="6">
        <f t="shared" si="66"/>
        <v>0.29984224502125273</v>
      </c>
      <c r="AK189" s="6">
        <f t="shared" si="67"/>
        <v>0.69697372911855027</v>
      </c>
      <c r="AL189" s="6">
        <f t="shared" si="56"/>
        <v>0.64359999999999995</v>
      </c>
      <c r="AM189" s="6">
        <v>10</v>
      </c>
      <c r="AN189" s="6">
        <f t="shared" ref="AN189:AN218" si="70">$X$12</f>
        <v>18.639999999999993</v>
      </c>
    </row>
    <row r="190" spans="1:40" x14ac:dyDescent="0.2">
      <c r="A190" s="1">
        <f t="shared" si="69"/>
        <v>185</v>
      </c>
      <c r="B190" s="2">
        <v>19.32</v>
      </c>
      <c r="C190" s="2">
        <v>69.007916666666674</v>
      </c>
      <c r="D190" s="2">
        <v>1.1299999999999999</v>
      </c>
      <c r="E190" s="2">
        <v>29.26</v>
      </c>
      <c r="F190" s="2">
        <v>100</v>
      </c>
      <c r="G190" s="2">
        <v>3.875</v>
      </c>
      <c r="H190" s="2">
        <v>10.32</v>
      </c>
      <c r="I190" s="2">
        <v>29.44</v>
      </c>
      <c r="J190" s="2">
        <v>0.254</v>
      </c>
      <c r="K190" s="3">
        <v>14.14</v>
      </c>
      <c r="L190" s="3">
        <v>6.0890870000000001</v>
      </c>
      <c r="N190" s="6">
        <f t="shared" si="57"/>
        <v>1.1900090666666634</v>
      </c>
      <c r="O190" s="6">
        <f t="shared" si="58"/>
        <v>11.150230933333322</v>
      </c>
      <c r="P190" s="6">
        <f t="shared" si="59"/>
        <v>1.8639999999999992</v>
      </c>
      <c r="Q190" s="6">
        <f t="shared" si="51"/>
        <v>3.7155729364586572</v>
      </c>
      <c r="R190" s="6">
        <f t="shared" si="60"/>
        <v>3.875565830282464</v>
      </c>
      <c r="S190" s="6">
        <f t="shared" si="61"/>
        <v>4.6714600799999992</v>
      </c>
      <c r="T190" s="6">
        <f t="shared" si="62"/>
        <v>4.2279561427961312</v>
      </c>
      <c r="U190" s="6">
        <f t="shared" si="63"/>
        <v>12.268458250703606</v>
      </c>
      <c r="X190" s="6"/>
      <c r="Y190" s="6"/>
      <c r="Z190" s="25"/>
      <c r="AA190" s="25"/>
      <c r="AB190" s="25"/>
      <c r="AC190" s="25"/>
      <c r="AD190" s="6">
        <f t="shared" si="52"/>
        <v>9.4700000000000006</v>
      </c>
      <c r="AE190" s="6">
        <f t="shared" si="53"/>
        <v>35.28</v>
      </c>
      <c r="AF190" s="6">
        <f t="shared" si="54"/>
        <v>3.24602523992675</v>
      </c>
      <c r="AG190" s="6">
        <f t="shared" si="55"/>
        <v>1.1453588341276502</v>
      </c>
      <c r="AH190" s="6">
        <f t="shared" si="64"/>
        <v>1.0503332028995498</v>
      </c>
      <c r="AI190" s="6">
        <f t="shared" si="65"/>
        <v>7.0682894603124741E-2</v>
      </c>
      <c r="AJ190" s="6">
        <f t="shared" si="66"/>
        <v>0.3705575539829612</v>
      </c>
      <c r="AK190" s="6">
        <f t="shared" si="67"/>
        <v>0.67977564891658859</v>
      </c>
      <c r="AL190" s="6">
        <f t="shared" si="56"/>
        <v>0.67620000000000002</v>
      </c>
      <c r="AM190" s="6">
        <v>10</v>
      </c>
      <c r="AN190" s="6">
        <f t="shared" si="70"/>
        <v>18.639999999999993</v>
      </c>
    </row>
    <row r="191" spans="1:40" x14ac:dyDescent="0.2">
      <c r="A191" s="1">
        <f t="shared" si="69"/>
        <v>186</v>
      </c>
      <c r="B191" s="2">
        <v>21.65</v>
      </c>
      <c r="C191" s="2">
        <v>61.323854166666656</v>
      </c>
      <c r="D191" s="2">
        <v>0.61299999999999999</v>
      </c>
      <c r="E191" s="2">
        <v>28.16</v>
      </c>
      <c r="F191" s="2">
        <v>91.6</v>
      </c>
      <c r="G191" s="2">
        <v>2.7570000000000001</v>
      </c>
      <c r="H191" s="2">
        <v>15.06</v>
      </c>
      <c r="I191" s="2">
        <v>34.71</v>
      </c>
      <c r="J191" s="2">
        <v>0</v>
      </c>
      <c r="K191" s="3">
        <v>8.7899999999999991</v>
      </c>
      <c r="L191" s="3">
        <v>3.5736270000000001</v>
      </c>
      <c r="N191" s="6">
        <f t="shared" si="57"/>
        <v>1.1900090666666634</v>
      </c>
      <c r="O191" s="6">
        <f t="shared" si="58"/>
        <v>11.150230933333322</v>
      </c>
      <c r="P191" s="6">
        <f t="shared" si="59"/>
        <v>1.8639999999999992</v>
      </c>
      <c r="Q191" s="6">
        <f t="shared" si="51"/>
        <v>3.2840555255278496</v>
      </c>
      <c r="R191" s="6">
        <f t="shared" si="60"/>
        <v>3.4254672421036654</v>
      </c>
      <c r="S191" s="6">
        <f t="shared" si="61"/>
        <v>3.0040327285714277</v>
      </c>
      <c r="T191" s="6">
        <f t="shared" si="62"/>
        <v>2.8178310571778122</v>
      </c>
      <c r="U191" s="6">
        <f t="shared" si="63"/>
        <v>16.69430188614913</v>
      </c>
      <c r="X191" s="6"/>
      <c r="Y191" s="6"/>
      <c r="Z191" s="25"/>
      <c r="AA191" s="25"/>
      <c r="AB191" s="25"/>
      <c r="AC191" s="25"/>
      <c r="AD191" s="6">
        <f t="shared" si="52"/>
        <v>6.55</v>
      </c>
      <c r="AE191" s="6">
        <f t="shared" si="53"/>
        <v>28.444999999999997</v>
      </c>
      <c r="AF191" s="6">
        <f t="shared" si="54"/>
        <v>3.0664202200560737</v>
      </c>
      <c r="AG191" s="6">
        <f t="shared" si="55"/>
        <v>1.5057022101940321</v>
      </c>
      <c r="AH191" s="6">
        <f t="shared" si="64"/>
        <v>0.78035900493102084</v>
      </c>
      <c r="AI191" s="6">
        <f t="shared" si="65"/>
        <v>5.3780010227521956E-2</v>
      </c>
      <c r="AJ191" s="6">
        <f t="shared" si="66"/>
        <v>0.22197311895262886</v>
      </c>
      <c r="AK191" s="6">
        <f t="shared" si="67"/>
        <v>0.558385885978392</v>
      </c>
      <c r="AL191" s="6">
        <f t="shared" si="56"/>
        <v>0.69950000000000001</v>
      </c>
      <c r="AM191" s="6">
        <v>10</v>
      </c>
      <c r="AN191" s="6">
        <f t="shared" si="70"/>
        <v>18.639999999999993</v>
      </c>
    </row>
    <row r="192" spans="1:40" x14ac:dyDescent="0.2">
      <c r="A192" s="1">
        <f t="shared" si="69"/>
        <v>187</v>
      </c>
      <c r="B192" s="2">
        <v>20.88</v>
      </c>
      <c r="C192" s="2">
        <v>62.308229166666656</v>
      </c>
      <c r="D192" s="2">
        <v>0.48099999999999998</v>
      </c>
      <c r="E192" s="2">
        <v>27.53</v>
      </c>
      <c r="F192" s="2">
        <v>84.9</v>
      </c>
      <c r="G192" s="2">
        <v>3.1560000000000001</v>
      </c>
      <c r="H192" s="2">
        <v>15.39</v>
      </c>
      <c r="I192" s="2">
        <v>34.159999999999997</v>
      </c>
      <c r="J192" s="2">
        <v>0</v>
      </c>
      <c r="K192" s="3">
        <v>7.141</v>
      </c>
      <c r="L192" s="3">
        <v>2.527212</v>
      </c>
      <c r="N192" s="6">
        <f t="shared" si="57"/>
        <v>1.1900090666666634</v>
      </c>
      <c r="O192" s="6">
        <f t="shared" si="58"/>
        <v>11.150230933333322</v>
      </c>
      <c r="P192" s="6">
        <f t="shared" si="59"/>
        <v>1.8639999999999992</v>
      </c>
      <c r="Q192" s="6">
        <f t="shared" si="51"/>
        <v>3.0997284173527202</v>
      </c>
      <c r="R192" s="6">
        <f t="shared" si="60"/>
        <v>3.2332029926177746</v>
      </c>
      <c r="S192" s="6">
        <f t="shared" si="61"/>
        <v>2.4136131137142853</v>
      </c>
      <c r="T192" s="6">
        <f t="shared" si="62"/>
        <v>2.6650649238945143</v>
      </c>
      <c r="U192" s="6">
        <f t="shared" si="63"/>
        <v>15.127719418296017</v>
      </c>
      <c r="X192" s="6"/>
      <c r="Y192" s="6"/>
      <c r="Z192" s="25"/>
      <c r="AA192" s="25"/>
      <c r="AB192" s="25"/>
      <c r="AC192" s="25"/>
      <c r="AD192" s="6">
        <f t="shared" si="52"/>
        <v>6.07</v>
      </c>
      <c r="AE192" s="6">
        <f t="shared" si="53"/>
        <v>25.370000000000005</v>
      </c>
      <c r="AF192" s="6">
        <f t="shared" si="54"/>
        <v>2.9675107818153306</v>
      </c>
      <c r="AG192" s="6">
        <f t="shared" si="55"/>
        <v>1.5341384337360695</v>
      </c>
      <c r="AH192" s="6">
        <f t="shared" si="64"/>
        <v>0.71668617403963053</v>
      </c>
      <c r="AI192" s="6">
        <f t="shared" si="65"/>
        <v>4.9586892880337144E-2</v>
      </c>
      <c r="AJ192" s="6">
        <f t="shared" si="66"/>
        <v>0.18182328235385431</v>
      </c>
      <c r="AK192" s="6">
        <f t="shared" si="67"/>
        <v>0.53486289168577628</v>
      </c>
      <c r="AL192" s="6">
        <f t="shared" si="56"/>
        <v>0.69179999999999997</v>
      </c>
      <c r="AM192" s="6">
        <v>10</v>
      </c>
      <c r="AN192" s="6">
        <f t="shared" si="70"/>
        <v>18.639999999999993</v>
      </c>
    </row>
    <row r="193" spans="1:40" x14ac:dyDescent="0.2">
      <c r="A193" s="1">
        <f t="shared" si="69"/>
        <v>188</v>
      </c>
      <c r="B193" s="2">
        <v>18.920000000000002</v>
      </c>
      <c r="C193" s="2">
        <v>70.135310000000004</v>
      </c>
      <c r="D193" s="2">
        <v>1.3160000000000001</v>
      </c>
      <c r="E193" s="2">
        <v>27.53</v>
      </c>
      <c r="F193" s="2">
        <v>94.6</v>
      </c>
      <c r="G193" s="2">
        <v>5.4729999999999999</v>
      </c>
      <c r="H193" s="2">
        <v>11.71</v>
      </c>
      <c r="I193" s="2">
        <v>39.29</v>
      </c>
      <c r="J193" s="2">
        <v>0</v>
      </c>
      <c r="K193" s="3">
        <v>14.31</v>
      </c>
      <c r="L193" s="3">
        <v>5.2161619999999997</v>
      </c>
      <c r="N193" s="6">
        <f t="shared" si="57"/>
        <v>1.1900090666666634</v>
      </c>
      <c r="O193" s="6">
        <f t="shared" si="58"/>
        <v>11.150230933333322</v>
      </c>
      <c r="P193" s="6">
        <f t="shared" si="59"/>
        <v>1.8639999999999992</v>
      </c>
      <c r="Q193" s="6">
        <f t="shared" si="51"/>
        <v>3.3591836524298575</v>
      </c>
      <c r="R193" s="6">
        <f t="shared" si="60"/>
        <v>3.5038303926847054</v>
      </c>
      <c r="S193" s="6">
        <f t="shared" si="61"/>
        <v>4.6996574914285718</v>
      </c>
      <c r="T193" s="6">
        <f t="shared" si="62"/>
        <v>4.2486381109434417</v>
      </c>
      <c r="U193" s="6">
        <f t="shared" si="63"/>
        <v>11.599636045776005</v>
      </c>
      <c r="X193" s="6"/>
      <c r="Y193" s="6"/>
      <c r="Z193" s="25"/>
      <c r="AA193" s="25"/>
      <c r="AB193" s="25"/>
      <c r="AC193" s="25"/>
      <c r="AD193" s="6">
        <f t="shared" si="52"/>
        <v>7.91</v>
      </c>
      <c r="AE193" s="6">
        <f t="shared" si="53"/>
        <v>27.654999999999998</v>
      </c>
      <c r="AF193" s="6">
        <f t="shared" si="54"/>
        <v>2.9675107818153306</v>
      </c>
      <c r="AG193" s="6">
        <f t="shared" si="55"/>
        <v>1.2421907553276177</v>
      </c>
      <c r="AH193" s="6">
        <f t="shared" si="64"/>
        <v>0.86266001324385644</v>
      </c>
      <c r="AI193" s="6">
        <f t="shared" si="65"/>
        <v>5.8794305828815514E-2</v>
      </c>
      <c r="AJ193" s="6">
        <f t="shared" si="66"/>
        <v>0.23856862666258849</v>
      </c>
      <c r="AK193" s="6">
        <f t="shared" si="67"/>
        <v>0.62409138658126795</v>
      </c>
      <c r="AL193" s="6">
        <f t="shared" si="56"/>
        <v>0.67220000000000002</v>
      </c>
      <c r="AM193" s="6">
        <v>10</v>
      </c>
      <c r="AN193" s="6">
        <f t="shared" si="70"/>
        <v>18.639999999999993</v>
      </c>
    </row>
    <row r="194" spans="1:40" x14ac:dyDescent="0.2">
      <c r="A194" s="1">
        <f t="shared" si="69"/>
        <v>189</v>
      </c>
      <c r="B194" s="2">
        <v>19.86</v>
      </c>
      <c r="C194" s="2">
        <v>70.210830000000001</v>
      </c>
      <c r="D194" s="2">
        <v>0.95199999999999996</v>
      </c>
      <c r="E194" s="2">
        <v>30.22</v>
      </c>
      <c r="F194" s="2">
        <v>100</v>
      </c>
      <c r="G194" s="2">
        <v>5.3929999999999998</v>
      </c>
      <c r="H194" s="2">
        <v>11.04</v>
      </c>
      <c r="I194" s="2">
        <v>32.86</v>
      </c>
      <c r="J194" s="2">
        <v>0</v>
      </c>
      <c r="K194" s="3">
        <v>12.73</v>
      </c>
      <c r="L194" s="3">
        <v>5.1063840000000003</v>
      </c>
      <c r="N194" s="6">
        <f t="shared" si="57"/>
        <v>1.1900090666666634</v>
      </c>
      <c r="O194" s="6">
        <f t="shared" si="58"/>
        <v>11.150230933333322</v>
      </c>
      <c r="P194" s="6">
        <f t="shared" si="59"/>
        <v>1.8639999999999992</v>
      </c>
      <c r="Q194" s="6">
        <f t="shared" si="51"/>
        <v>3.7934333074712141</v>
      </c>
      <c r="R194" s="6">
        <f t="shared" si="60"/>
        <v>3.9567788756431033</v>
      </c>
      <c r="S194" s="6">
        <f t="shared" si="61"/>
        <v>4.2392209371428571</v>
      </c>
      <c r="T194" s="6">
        <f t="shared" si="62"/>
        <v>4.599972012424133</v>
      </c>
      <c r="U194" s="6">
        <f t="shared" si="63"/>
        <v>13.210551745141126</v>
      </c>
      <c r="X194" s="6"/>
      <c r="Y194" s="6"/>
      <c r="Z194" s="25"/>
      <c r="AA194" s="25"/>
      <c r="AB194" s="25"/>
      <c r="AC194" s="25"/>
      <c r="AD194" s="6">
        <f t="shared" si="52"/>
        <v>9.59</v>
      </c>
      <c r="AE194" s="6">
        <f t="shared" si="53"/>
        <v>33.57</v>
      </c>
      <c r="AF194" s="6">
        <f t="shared" si="54"/>
        <v>3.4101971035638572</v>
      </c>
      <c r="AG194" s="6">
        <f t="shared" si="55"/>
        <v>1.1946532956027931</v>
      </c>
      <c r="AH194" s="6">
        <f t="shared" si="64"/>
        <v>1.107771903980532</v>
      </c>
      <c r="AI194" s="6">
        <f t="shared" si="65"/>
        <v>7.4475821230973682E-2</v>
      </c>
      <c r="AJ194" s="6">
        <f t="shared" si="66"/>
        <v>0.37187902816626461</v>
      </c>
      <c r="AK194" s="6">
        <f t="shared" si="67"/>
        <v>0.73589287581426743</v>
      </c>
      <c r="AL194" s="6">
        <f t="shared" si="56"/>
        <v>0.68159999999999998</v>
      </c>
      <c r="AM194" s="6">
        <v>10</v>
      </c>
      <c r="AN194" s="6">
        <f t="shared" si="70"/>
        <v>18.639999999999993</v>
      </c>
    </row>
    <row r="195" spans="1:40" x14ac:dyDescent="0.2">
      <c r="A195" s="1">
        <f t="shared" si="69"/>
        <v>190</v>
      </c>
      <c r="B195" s="2">
        <v>17.489999999999998</v>
      </c>
      <c r="C195" s="2">
        <v>79.947599999999994</v>
      </c>
      <c r="D195" s="2">
        <v>1.4259999999999999</v>
      </c>
      <c r="E195" s="2">
        <v>25.28</v>
      </c>
      <c r="F195" s="2">
        <v>99.4</v>
      </c>
      <c r="G195" s="2">
        <v>5.0730000000000004</v>
      </c>
      <c r="H195" s="2">
        <v>11.33</v>
      </c>
      <c r="I195" s="2">
        <v>51.07</v>
      </c>
      <c r="J195" s="2">
        <v>0</v>
      </c>
      <c r="K195" s="3">
        <v>10.06</v>
      </c>
      <c r="L195" s="3">
        <v>3.4966200000000001</v>
      </c>
      <c r="N195" s="6">
        <f t="shared" si="57"/>
        <v>1.1900090666666634</v>
      </c>
      <c r="O195" s="6">
        <f t="shared" si="58"/>
        <v>11.150230933333322</v>
      </c>
      <c r="P195" s="6">
        <f t="shared" si="59"/>
        <v>1.8639999999999992</v>
      </c>
      <c r="Q195" s="6">
        <f t="shared" si="51"/>
        <v>3.0315630020098547</v>
      </c>
      <c r="R195" s="6">
        <f t="shared" si="60"/>
        <v>3.1621023685612291</v>
      </c>
      <c r="S195" s="6">
        <f t="shared" si="61"/>
        <v>3.233597297142857</v>
      </c>
      <c r="T195" s="6">
        <f t="shared" si="62"/>
        <v>3.375057738853831</v>
      </c>
      <c r="U195" s="6">
        <f t="shared" si="63"/>
        <v>9.4031861312639773</v>
      </c>
      <c r="X195" s="6"/>
      <c r="Y195" s="6"/>
      <c r="Z195" s="25"/>
      <c r="AA195" s="25"/>
      <c r="AB195" s="25"/>
      <c r="AC195" s="25"/>
      <c r="AD195" s="6">
        <f t="shared" si="52"/>
        <v>6.9750000000000005</v>
      </c>
      <c r="AE195" s="6">
        <f t="shared" si="53"/>
        <v>24.165000000000003</v>
      </c>
      <c r="AF195" s="6">
        <f t="shared" si="54"/>
        <v>2.636616125324351</v>
      </c>
      <c r="AG195" s="6">
        <f t="shared" si="55"/>
        <v>1.2150291305197125</v>
      </c>
      <c r="AH195" s="6">
        <f t="shared" si="64"/>
        <v>0.71079349740231923</v>
      </c>
      <c r="AI195" s="6">
        <f t="shared" si="65"/>
        <v>4.8815456638083933E-2</v>
      </c>
      <c r="AJ195" s="6">
        <f t="shared" si="66"/>
        <v>0.17176324864727047</v>
      </c>
      <c r="AK195" s="6">
        <f t="shared" si="67"/>
        <v>0.53903024875504879</v>
      </c>
      <c r="AL195" s="6">
        <f t="shared" si="56"/>
        <v>0.65789999999999993</v>
      </c>
      <c r="AM195" s="6">
        <v>10</v>
      </c>
      <c r="AN195" s="6">
        <f t="shared" si="70"/>
        <v>18.639999999999993</v>
      </c>
    </row>
    <row r="196" spans="1:40" x14ac:dyDescent="0.2">
      <c r="A196" s="1">
        <f t="shared" si="69"/>
        <v>191</v>
      </c>
      <c r="B196" s="2">
        <v>14.43</v>
      </c>
      <c r="C196" s="2">
        <v>99.55104</v>
      </c>
      <c r="D196" s="2">
        <v>0.73299999999999998</v>
      </c>
      <c r="E196" s="2">
        <v>15.54</v>
      </c>
      <c r="F196" s="2">
        <v>100</v>
      </c>
      <c r="G196" s="2">
        <v>4.9939999999999998</v>
      </c>
      <c r="H196" s="2">
        <v>13.33</v>
      </c>
      <c r="I196" s="2">
        <v>89.9</v>
      </c>
      <c r="J196" s="2">
        <v>27.69</v>
      </c>
      <c r="K196" s="3">
        <v>1.5249999999999999</v>
      </c>
      <c r="L196" s="3">
        <v>-0.27181339999999998</v>
      </c>
      <c r="N196" s="6">
        <f t="shared" si="57"/>
        <v>1.1900090666666634</v>
      </c>
      <c r="O196" s="6">
        <f t="shared" si="58"/>
        <v>11.150230933333322</v>
      </c>
      <c r="P196" s="6">
        <f t="shared" si="59"/>
        <v>1.8639999999999992</v>
      </c>
      <c r="Q196" s="6">
        <f t="shared" si="51"/>
        <v>1.1020068101699734</v>
      </c>
      <c r="R196" s="6">
        <f t="shared" si="60"/>
        <v>1.1494593192682558</v>
      </c>
      <c r="S196" s="6">
        <f t="shared" si="61"/>
        <v>0.46738330714285697</v>
      </c>
      <c r="T196" s="6">
        <f t="shared" si="62"/>
        <v>0.53080466779897639</v>
      </c>
      <c r="U196" s="6">
        <f t="shared" si="63"/>
        <v>5.6223330480618419</v>
      </c>
      <c r="X196" s="6"/>
      <c r="Y196" s="6"/>
      <c r="Z196" s="25"/>
      <c r="AA196" s="25"/>
      <c r="AB196" s="25"/>
      <c r="AC196" s="25"/>
      <c r="AD196" s="6">
        <f t="shared" si="52"/>
        <v>1.1049999999999995</v>
      </c>
      <c r="AE196" s="6">
        <f t="shared" si="53"/>
        <v>5.0499999999999972</v>
      </c>
      <c r="AF196" s="6">
        <f t="shared" si="54"/>
        <v>1.5472190512761559</v>
      </c>
      <c r="AG196" s="6">
        <f t="shared" si="55"/>
        <v>1.3640673802465171</v>
      </c>
      <c r="AH196" s="6">
        <f t="shared" si="64"/>
        <v>9.1575835514819404E-2</v>
      </c>
      <c r="AI196" s="6">
        <f t="shared" si="65"/>
        <v>6.6027085090053792E-3</v>
      </c>
      <c r="AJ196" s="6">
        <f t="shared" si="66"/>
        <v>4.624579693498377E-3</v>
      </c>
      <c r="AK196" s="6">
        <f t="shared" si="67"/>
        <v>8.695125582132103E-2</v>
      </c>
      <c r="AL196" s="6">
        <f t="shared" si="56"/>
        <v>0.62729999999999997</v>
      </c>
      <c r="AM196" s="6">
        <v>10</v>
      </c>
      <c r="AN196" s="6">
        <f t="shared" si="70"/>
        <v>18.639999999999993</v>
      </c>
    </row>
    <row r="197" spans="1:40" x14ac:dyDescent="0.2">
      <c r="A197" s="1">
        <f t="shared" si="69"/>
        <v>192</v>
      </c>
      <c r="B197" s="2">
        <v>17.89</v>
      </c>
      <c r="C197" s="2">
        <v>93.817291666666634</v>
      </c>
      <c r="D197" s="2">
        <v>0.52900000000000003</v>
      </c>
      <c r="E197" s="2">
        <v>23.45</v>
      </c>
      <c r="F197" s="2">
        <v>100</v>
      </c>
      <c r="G197" s="2">
        <v>3.6349999999999998</v>
      </c>
      <c r="H197" s="2">
        <v>14.63</v>
      </c>
      <c r="I197" s="2">
        <v>69</v>
      </c>
      <c r="J197" s="2">
        <v>2.794</v>
      </c>
      <c r="K197" s="3">
        <v>9.31</v>
      </c>
      <c r="L197" s="3">
        <v>4.3811410000000004</v>
      </c>
      <c r="N197" s="6">
        <f t="shared" si="57"/>
        <v>1.1900090666666634</v>
      </c>
      <c r="O197" s="6">
        <f t="shared" si="58"/>
        <v>11.150230933333322</v>
      </c>
      <c r="P197" s="6">
        <f t="shared" si="59"/>
        <v>1.8639999999999992</v>
      </c>
      <c r="Q197" s="6">
        <f t="shared" si="51"/>
        <v>2.4378595225849251</v>
      </c>
      <c r="R197" s="6">
        <f t="shared" si="60"/>
        <v>2.5428339656720351</v>
      </c>
      <c r="S197" s="6">
        <f t="shared" si="61"/>
        <v>3.0107183399999995</v>
      </c>
      <c r="T197" s="6">
        <f t="shared" si="62"/>
        <v>2.3455276341664235</v>
      </c>
      <c r="U197" s="6">
        <f t="shared" si="63"/>
        <v>9.9808332978566359</v>
      </c>
      <c r="X197" s="6"/>
      <c r="Y197" s="6"/>
      <c r="Z197" s="25"/>
      <c r="AA197" s="25"/>
      <c r="AB197" s="25"/>
      <c r="AC197" s="25"/>
      <c r="AD197" s="6">
        <f t="shared" si="52"/>
        <v>4.4099999999999993</v>
      </c>
      <c r="AE197" s="6">
        <f t="shared" si="53"/>
        <v>15.5</v>
      </c>
      <c r="AF197" s="6">
        <f t="shared" si="54"/>
        <v>2.3917281131038526</v>
      </c>
      <c r="AG197" s="6">
        <f t="shared" si="55"/>
        <v>1.4693437761545016</v>
      </c>
      <c r="AH197" s="6">
        <f t="shared" si="64"/>
        <v>0.46119216847467548</v>
      </c>
      <c r="AI197" s="6">
        <f t="shared" si="65"/>
        <v>3.2349281657812361E-2</v>
      </c>
      <c r="AJ197" s="6">
        <f t="shared" si="66"/>
        <v>7.14847861135747E-2</v>
      </c>
      <c r="AK197" s="6">
        <f t="shared" si="67"/>
        <v>0.38970738236110081</v>
      </c>
      <c r="AL197" s="6">
        <f t="shared" si="56"/>
        <v>0.66189999999999993</v>
      </c>
      <c r="AM197" s="6">
        <v>10</v>
      </c>
      <c r="AN197" s="6">
        <f t="shared" si="70"/>
        <v>18.639999999999993</v>
      </c>
    </row>
    <row r="198" spans="1:40" x14ac:dyDescent="0.2">
      <c r="A198" s="1">
        <f t="shared" si="69"/>
        <v>193</v>
      </c>
      <c r="B198" s="2">
        <v>21.08</v>
      </c>
      <c r="C198" s="2">
        <v>84.453333333333333</v>
      </c>
      <c r="D198" s="2">
        <v>0.22600000000000001</v>
      </c>
      <c r="E198" s="2">
        <v>29.64</v>
      </c>
      <c r="F198" s="2">
        <v>100</v>
      </c>
      <c r="G198" s="2">
        <v>2.3570000000000002</v>
      </c>
      <c r="H198" s="2">
        <v>15.3</v>
      </c>
      <c r="I198" s="2">
        <v>48.3</v>
      </c>
      <c r="J198" s="2">
        <v>0</v>
      </c>
      <c r="K198" s="3">
        <v>11.7</v>
      </c>
      <c r="L198" s="3">
        <v>5.5164359999999997</v>
      </c>
      <c r="N198" s="6">
        <f t="shared" si="57"/>
        <v>1.1900090666666634</v>
      </c>
      <c r="O198" s="6">
        <f t="shared" si="58"/>
        <v>11.150230933333322</v>
      </c>
      <c r="P198" s="6">
        <f t="shared" si="59"/>
        <v>1.8639999999999992</v>
      </c>
      <c r="Q198" s="6">
        <f t="shared" ref="Q198:Q261" si="71">0.0023*(SQRT(E198-H198))*(17.8+B198)*AM198</f>
        <v>3.3863252423215338</v>
      </c>
      <c r="R198" s="6">
        <f t="shared" si="60"/>
        <v>3.5321407017978879</v>
      </c>
      <c r="S198" s="6">
        <f t="shared" si="61"/>
        <v>3.9659590285714277</v>
      </c>
      <c r="T198" s="6">
        <f t="shared" si="62"/>
        <v>3.3943923618675402</v>
      </c>
      <c r="U198" s="6">
        <f t="shared" si="63"/>
        <v>15.513131092688228</v>
      </c>
      <c r="X198" s="6"/>
      <c r="Y198" s="6"/>
      <c r="Z198" s="25"/>
      <c r="AA198" s="25"/>
      <c r="AB198" s="25"/>
      <c r="AC198" s="25"/>
      <c r="AD198" s="6">
        <f t="shared" ref="AD198:AD261" si="72">(E198-H198)/2</f>
        <v>7.17</v>
      </c>
      <c r="AE198" s="6">
        <f t="shared" ref="AE198:AE261" si="73">(F198-I198)/2</f>
        <v>25.85</v>
      </c>
      <c r="AF198" s="6">
        <f t="shared" ref="AF198:AF261" si="74">0.611*10^((7.5*E198)/(273.3+E198))</f>
        <v>3.3101668511467879</v>
      </c>
      <c r="AG198" s="6">
        <f t="shared" ref="AG198:AG261" si="75">0.611*10^((7.5*H198)/(273.3+H198))</f>
        <v>1.5263367390530973</v>
      </c>
      <c r="AH198" s="6">
        <f t="shared" si="64"/>
        <v>0.89191505604684529</v>
      </c>
      <c r="AI198" s="6">
        <f t="shared" si="65"/>
        <v>6.1156736781252836E-2</v>
      </c>
      <c r="AJ198" s="6">
        <f t="shared" si="66"/>
        <v>0.23056004198810953</v>
      </c>
      <c r="AK198" s="6">
        <f t="shared" si="67"/>
        <v>0.66135501405873576</v>
      </c>
      <c r="AL198" s="6">
        <f t="shared" ref="AL198:AL261" si="76">IF(0&lt;B198&lt;16,0.407+0.0145*B198,0.483+0.01*B198)</f>
        <v>0.69379999999999997</v>
      </c>
      <c r="AM198" s="6">
        <v>10</v>
      </c>
      <c r="AN198" s="6">
        <f t="shared" si="70"/>
        <v>18.639999999999993</v>
      </c>
    </row>
    <row r="199" spans="1:40" x14ac:dyDescent="0.2">
      <c r="A199" s="1">
        <f t="shared" si="69"/>
        <v>194</v>
      </c>
      <c r="B199" s="2">
        <v>19.78</v>
      </c>
      <c r="C199" s="2">
        <v>83.174687500000005</v>
      </c>
      <c r="D199" s="2">
        <v>1.7529999999999999</v>
      </c>
      <c r="E199" s="2">
        <v>25.33</v>
      </c>
      <c r="F199" s="2">
        <v>100</v>
      </c>
      <c r="G199" s="2">
        <v>6.1920000000000002</v>
      </c>
      <c r="H199" s="2">
        <v>15.49</v>
      </c>
      <c r="I199" s="2">
        <v>59.22</v>
      </c>
      <c r="J199" s="2">
        <v>0</v>
      </c>
      <c r="K199" s="3">
        <v>9.8699999999999992</v>
      </c>
      <c r="L199" s="3">
        <v>4.065849</v>
      </c>
      <c r="N199" s="6">
        <f t="shared" ref="N199:N262" si="77">IF(0&lt;AN199&lt;26.5,16*(((10*AN199)/$Z$6)^$Z$6)/30,((-415.85)+(32.24*AN199)-(0.43*AN199^2))/30)</f>
        <v>1.1900090666666634</v>
      </c>
      <c r="O199" s="6">
        <f t="shared" ref="O199:O262" si="78">IF(0&lt;AN199&lt;26.5,(16*((10*AN199)/$Z$6)/30),(-415.85+32.24*AN199-(-0.43*(AN199^2)))/30)</f>
        <v>11.150230933333322</v>
      </c>
      <c r="P199" s="6">
        <f t="shared" ref="P199:P262" si="79">(0.01*AN199*AM199)</f>
        <v>1.8639999999999992</v>
      </c>
      <c r="Q199" s="6">
        <f t="shared" si="71"/>
        <v>2.7113286363522953</v>
      </c>
      <c r="R199" s="6">
        <f t="shared" ref="R199:R262" si="80">Q199*$W$1</f>
        <v>2.8280786832645251</v>
      </c>
      <c r="S199" s="6">
        <f t="shared" ref="S199:S262" si="81">1.26*AL199*((K199*0.95)/2.45)</f>
        <v>3.2829537599999985</v>
      </c>
      <c r="T199" s="6">
        <f t="shared" ref="T199:T262" si="82">((0.408*AI199)*(K199*0.95) + ((0.063*900*G199*AK199)/((AD199+273))))/(AI199+0.063*(1+0.34*G199))</f>
        <v>2.9929390950445494</v>
      </c>
      <c r="U199" s="6">
        <f t="shared" ref="U199:U262" si="83">1.21*(10^((7.45*B199)/(234.7+B199)))*((1-0.01*(C199/100))+(0.21*B199)-2.3)</f>
        <v>13.061961860767381</v>
      </c>
      <c r="X199" s="6"/>
      <c r="Y199" s="6"/>
      <c r="Z199" s="25"/>
      <c r="AA199" s="25"/>
      <c r="AB199" s="25"/>
      <c r="AC199" s="25"/>
      <c r="AD199" s="6">
        <f t="shared" si="72"/>
        <v>4.919999999999999</v>
      </c>
      <c r="AE199" s="6">
        <f t="shared" si="73"/>
        <v>20.39</v>
      </c>
      <c r="AF199" s="6">
        <f t="shared" si="74"/>
        <v>2.6436035023584243</v>
      </c>
      <c r="AG199" s="6">
        <f t="shared" si="75"/>
        <v>1.5428480118813386</v>
      </c>
      <c r="AH199" s="6">
        <f t="shared" ref="AH199:AH262" si="84">(AF199-AG199)/2</f>
        <v>0.55037774523854288</v>
      </c>
      <c r="AI199" s="6">
        <f t="shared" ref="AI199:AI262" si="85">(4098*AH199)/((237.3+AD199)^2)</f>
        <v>3.8442605878892151E-2</v>
      </c>
      <c r="AJ199" s="6">
        <f t="shared" ref="AJ199:AJ262" si="86">(AE199*AH199)/100</f>
        <v>0.1122220222541389</v>
      </c>
      <c r="AK199" s="6">
        <f t="shared" ref="AK199:AK262" si="87">AH199-AJ199</f>
        <v>0.43815572298440397</v>
      </c>
      <c r="AL199" s="6">
        <f t="shared" si="76"/>
        <v>0.68079999999999996</v>
      </c>
      <c r="AM199" s="6">
        <v>10</v>
      </c>
      <c r="AN199" s="6">
        <f t="shared" si="70"/>
        <v>18.639999999999993</v>
      </c>
    </row>
    <row r="200" spans="1:40" x14ac:dyDescent="0.2">
      <c r="A200" s="1">
        <f t="shared" si="69"/>
        <v>195</v>
      </c>
      <c r="B200" s="2">
        <v>18.89</v>
      </c>
      <c r="C200" s="2">
        <v>78.193299999999994</v>
      </c>
      <c r="D200" s="2">
        <v>1.724</v>
      </c>
      <c r="E200" s="2">
        <v>24.75</v>
      </c>
      <c r="F200" s="2">
        <v>93.4</v>
      </c>
      <c r="G200" s="2">
        <v>5.3929999999999998</v>
      </c>
      <c r="H200" s="2">
        <v>14.63</v>
      </c>
      <c r="I200" s="2">
        <v>57.92</v>
      </c>
      <c r="J200" s="2">
        <v>0</v>
      </c>
      <c r="K200" s="3">
        <v>11.79</v>
      </c>
      <c r="L200" s="3">
        <v>4.6751149999999999</v>
      </c>
      <c r="N200" s="6">
        <f t="shared" si="77"/>
        <v>1.1900090666666634</v>
      </c>
      <c r="O200" s="6">
        <f t="shared" si="78"/>
        <v>11.150230933333322</v>
      </c>
      <c r="P200" s="6">
        <f t="shared" si="79"/>
        <v>1.8639999999999992</v>
      </c>
      <c r="Q200" s="6">
        <f t="shared" si="71"/>
        <v>2.6845148087183275</v>
      </c>
      <c r="R200" s="6">
        <f t="shared" si="80"/>
        <v>2.8001102498803765</v>
      </c>
      <c r="S200" s="6">
        <f t="shared" si="81"/>
        <v>3.8703167742857127</v>
      </c>
      <c r="T200" s="6">
        <f t="shared" si="82"/>
        <v>3.088954069512623</v>
      </c>
      <c r="U200" s="6">
        <f t="shared" si="83"/>
        <v>11.547015797403073</v>
      </c>
      <c r="X200" s="6"/>
      <c r="Y200" s="6"/>
      <c r="Z200" s="25"/>
      <c r="AA200" s="25"/>
      <c r="AB200" s="25"/>
      <c r="AC200" s="25"/>
      <c r="AD200" s="6">
        <f t="shared" si="72"/>
        <v>5.0599999999999996</v>
      </c>
      <c r="AE200" s="6">
        <f t="shared" si="73"/>
        <v>17.740000000000002</v>
      </c>
      <c r="AF200" s="6">
        <f t="shared" si="74"/>
        <v>2.5635358689861181</v>
      </c>
      <c r="AG200" s="6">
        <f t="shared" si="75"/>
        <v>1.4693437761545016</v>
      </c>
      <c r="AH200" s="6">
        <f t="shared" si="84"/>
        <v>0.54709604641580822</v>
      </c>
      <c r="AI200" s="6">
        <f t="shared" si="85"/>
        <v>3.8169251436151234E-2</v>
      </c>
      <c r="AJ200" s="6">
        <f t="shared" si="86"/>
        <v>9.7054838634164392E-2</v>
      </c>
      <c r="AK200" s="6">
        <f t="shared" si="87"/>
        <v>0.4500412077816438</v>
      </c>
      <c r="AL200" s="6">
        <f t="shared" si="76"/>
        <v>0.67189999999999994</v>
      </c>
      <c r="AM200" s="6">
        <v>10</v>
      </c>
      <c r="AN200" s="6">
        <f t="shared" si="70"/>
        <v>18.639999999999993</v>
      </c>
    </row>
    <row r="201" spans="1:40" x14ac:dyDescent="0.2">
      <c r="A201" s="1">
        <f t="shared" si="69"/>
        <v>196</v>
      </c>
      <c r="B201" s="2">
        <v>20.46</v>
      </c>
      <c r="C201" s="2">
        <v>69.571349999999995</v>
      </c>
      <c r="D201" s="2">
        <v>1.022</v>
      </c>
      <c r="E201" s="2">
        <v>29.21</v>
      </c>
      <c r="F201" s="2">
        <v>100</v>
      </c>
      <c r="G201" s="2">
        <v>7.39</v>
      </c>
      <c r="H201" s="2">
        <v>13</v>
      </c>
      <c r="I201" s="2">
        <v>34.4</v>
      </c>
      <c r="J201" s="2">
        <v>0</v>
      </c>
      <c r="K201" s="3">
        <v>14.06</v>
      </c>
      <c r="L201" s="3">
        <v>6.3429890000000002</v>
      </c>
      <c r="N201" s="6">
        <f t="shared" si="77"/>
        <v>1.1900090666666634</v>
      </c>
      <c r="O201" s="6">
        <f t="shared" si="78"/>
        <v>11.150230933333322</v>
      </c>
      <c r="P201" s="6">
        <f t="shared" si="79"/>
        <v>1.8639999999999992</v>
      </c>
      <c r="Q201" s="6">
        <f t="shared" si="71"/>
        <v>3.5429441732101852</v>
      </c>
      <c r="R201" s="6">
        <f t="shared" si="80"/>
        <v>3.6955036574732927</v>
      </c>
      <c r="S201" s="6">
        <f t="shared" si="81"/>
        <v>4.723340502857142</v>
      </c>
      <c r="T201" s="6">
        <f t="shared" si="82"/>
        <v>4.5586162505807426</v>
      </c>
      <c r="U201" s="6">
        <f t="shared" si="83"/>
        <v>14.314718029585901</v>
      </c>
      <c r="X201" s="6"/>
      <c r="Y201" s="6"/>
      <c r="Z201" s="25"/>
      <c r="AA201" s="25"/>
      <c r="AB201" s="25"/>
      <c r="AC201" s="25"/>
      <c r="AD201" s="6">
        <f t="shared" si="72"/>
        <v>8.1050000000000004</v>
      </c>
      <c r="AE201" s="6">
        <f t="shared" si="73"/>
        <v>32.799999999999997</v>
      </c>
      <c r="AF201" s="6">
        <f t="shared" si="74"/>
        <v>3.2376667565982706</v>
      </c>
      <c r="AG201" s="6">
        <f t="shared" si="75"/>
        <v>1.3384220378582685</v>
      </c>
      <c r="AH201" s="6">
        <f t="shared" si="84"/>
        <v>0.94962235937000106</v>
      </c>
      <c r="AI201" s="6">
        <f t="shared" si="85"/>
        <v>6.4618380874366069E-2</v>
      </c>
      <c r="AJ201" s="6">
        <f t="shared" si="86"/>
        <v>0.31147613387336032</v>
      </c>
      <c r="AK201" s="6">
        <f t="shared" si="87"/>
        <v>0.6381462254966408</v>
      </c>
      <c r="AL201" s="6">
        <f t="shared" si="76"/>
        <v>0.68759999999999999</v>
      </c>
      <c r="AM201" s="6">
        <v>10</v>
      </c>
      <c r="AN201" s="6">
        <f t="shared" si="70"/>
        <v>18.639999999999993</v>
      </c>
    </row>
    <row r="202" spans="1:40" x14ac:dyDescent="0.2">
      <c r="A202" s="1">
        <f t="shared" si="69"/>
        <v>197</v>
      </c>
      <c r="B202" s="2">
        <v>18.61</v>
      </c>
      <c r="C202" s="2">
        <v>77.849895833333321</v>
      </c>
      <c r="D202" s="2">
        <v>0.86399999999999999</v>
      </c>
      <c r="E202" s="2">
        <v>25.9</v>
      </c>
      <c r="F202" s="2">
        <v>100</v>
      </c>
      <c r="G202" s="2">
        <v>8.0299999999999994</v>
      </c>
      <c r="H202" s="2">
        <v>13.57</v>
      </c>
      <c r="I202" s="2">
        <v>44.98</v>
      </c>
      <c r="J202" s="2">
        <v>0</v>
      </c>
      <c r="K202" s="3">
        <v>14.36</v>
      </c>
      <c r="L202" s="3">
        <v>5.7856860000000001</v>
      </c>
      <c r="N202" s="6">
        <f t="shared" si="77"/>
        <v>1.1900090666666634</v>
      </c>
      <c r="O202" s="6">
        <f t="shared" si="78"/>
        <v>11.150230933333322</v>
      </c>
      <c r="P202" s="6">
        <f t="shared" si="79"/>
        <v>1.8639999999999992</v>
      </c>
      <c r="Q202" s="6">
        <f t="shared" si="71"/>
        <v>2.9405600538701799</v>
      </c>
      <c r="R202" s="6">
        <f t="shared" si="80"/>
        <v>3.0671808255592392</v>
      </c>
      <c r="S202" s="6">
        <f t="shared" si="81"/>
        <v>4.6943291314285718</v>
      </c>
      <c r="T202" s="6">
        <f t="shared" si="82"/>
        <v>3.7354431286624759</v>
      </c>
      <c r="U202" s="6">
        <f t="shared" si="83"/>
        <v>11.095392408272833</v>
      </c>
      <c r="X202" s="6"/>
      <c r="Y202" s="6"/>
      <c r="Z202" s="25"/>
      <c r="AA202" s="25"/>
      <c r="AB202" s="25"/>
      <c r="AC202" s="25"/>
      <c r="AD202" s="6">
        <f t="shared" si="72"/>
        <v>6.1649999999999991</v>
      </c>
      <c r="AE202" s="6">
        <f t="shared" si="73"/>
        <v>27.51</v>
      </c>
      <c r="AF202" s="6">
        <f t="shared" si="74"/>
        <v>2.7244101754306382</v>
      </c>
      <c r="AG202" s="6">
        <f t="shared" si="75"/>
        <v>1.3829887125076912</v>
      </c>
      <c r="AH202" s="6">
        <f t="shared" si="84"/>
        <v>0.67071073146147353</v>
      </c>
      <c r="AI202" s="6">
        <f t="shared" si="85"/>
        <v>4.6369683929836356E-2</v>
      </c>
      <c r="AJ202" s="6">
        <f t="shared" si="86"/>
        <v>0.18451252222505135</v>
      </c>
      <c r="AK202" s="6">
        <f t="shared" si="87"/>
        <v>0.48619820923642221</v>
      </c>
      <c r="AL202" s="6">
        <f t="shared" si="76"/>
        <v>0.66910000000000003</v>
      </c>
      <c r="AM202" s="6">
        <v>10</v>
      </c>
      <c r="AN202" s="6">
        <f t="shared" si="70"/>
        <v>18.639999999999993</v>
      </c>
    </row>
    <row r="203" spans="1:40" x14ac:dyDescent="0.2">
      <c r="A203" s="1">
        <f t="shared" si="69"/>
        <v>198</v>
      </c>
      <c r="B203" s="2">
        <v>18.45</v>
      </c>
      <c r="C203" s="2">
        <v>77.245208333333309</v>
      </c>
      <c r="D203" s="2">
        <v>0.314</v>
      </c>
      <c r="E203" s="2">
        <v>27.44</v>
      </c>
      <c r="F203" s="2">
        <v>100</v>
      </c>
      <c r="G203" s="2">
        <v>6.4320000000000004</v>
      </c>
      <c r="H203" s="2">
        <v>11.52</v>
      </c>
      <c r="I203" s="2">
        <v>41.31</v>
      </c>
      <c r="J203" s="2">
        <v>0</v>
      </c>
      <c r="K203" s="3">
        <v>14.8</v>
      </c>
      <c r="L203" s="3">
        <v>6.0605950000000002</v>
      </c>
      <c r="N203" s="6">
        <f t="shared" si="77"/>
        <v>1.1900090666666634</v>
      </c>
      <c r="O203" s="6">
        <f t="shared" si="78"/>
        <v>11.150230933333322</v>
      </c>
      <c r="P203" s="6">
        <f t="shared" si="79"/>
        <v>1.8639999999999992</v>
      </c>
      <c r="Q203" s="6">
        <f t="shared" si="71"/>
        <v>3.3266520519886056</v>
      </c>
      <c r="R203" s="6">
        <f t="shared" si="80"/>
        <v>3.4698979786988602</v>
      </c>
      <c r="S203" s="6">
        <f t="shared" si="81"/>
        <v>4.8265971428571426</v>
      </c>
      <c r="T203" s="6">
        <f t="shared" si="82"/>
        <v>4.3467498688679633</v>
      </c>
      <c r="U203" s="6">
        <f t="shared" si="83"/>
        <v>10.842810003045114</v>
      </c>
      <c r="X203" s="6"/>
      <c r="Y203" s="6"/>
      <c r="Z203" s="25"/>
      <c r="AA203" s="25"/>
      <c r="AB203" s="25"/>
      <c r="AC203" s="25"/>
      <c r="AD203" s="6">
        <f t="shared" si="72"/>
        <v>7.9600000000000009</v>
      </c>
      <c r="AE203" s="6">
        <f t="shared" si="73"/>
        <v>29.344999999999999</v>
      </c>
      <c r="AF203" s="6">
        <f t="shared" si="74"/>
        <v>2.9536106177572705</v>
      </c>
      <c r="AG203" s="6">
        <f t="shared" si="75"/>
        <v>1.2285439402632123</v>
      </c>
      <c r="AH203" s="6">
        <f t="shared" si="84"/>
        <v>0.86253333874702909</v>
      </c>
      <c r="AI203" s="6">
        <f t="shared" si="85"/>
        <v>5.8761706098077418E-2</v>
      </c>
      <c r="AJ203" s="6">
        <f t="shared" si="86"/>
        <v>0.25311040825531567</v>
      </c>
      <c r="AK203" s="6">
        <f t="shared" si="87"/>
        <v>0.60942293049171337</v>
      </c>
      <c r="AL203" s="6">
        <f t="shared" si="76"/>
        <v>0.66749999999999998</v>
      </c>
      <c r="AM203" s="6">
        <v>10</v>
      </c>
      <c r="AN203" s="6">
        <f t="shared" si="70"/>
        <v>18.639999999999993</v>
      </c>
    </row>
    <row r="204" spans="1:40" x14ac:dyDescent="0.2">
      <c r="A204" s="1">
        <f t="shared" si="69"/>
        <v>199</v>
      </c>
      <c r="B204" s="2">
        <v>18.899999999999999</v>
      </c>
      <c r="C204" s="2">
        <v>75.420625000000015</v>
      </c>
      <c r="D204" s="2">
        <v>1E-3</v>
      </c>
      <c r="E204" s="2">
        <v>27.25</v>
      </c>
      <c r="F204" s="2">
        <v>100</v>
      </c>
      <c r="G204" s="2">
        <v>1.079</v>
      </c>
      <c r="H204" s="2">
        <v>12.52</v>
      </c>
      <c r="I204" s="2">
        <v>37.89</v>
      </c>
      <c r="J204" s="2">
        <v>0</v>
      </c>
      <c r="K204" s="3">
        <v>15.14</v>
      </c>
      <c r="L204" s="3">
        <v>6.2042770000000003</v>
      </c>
      <c r="N204" s="6">
        <f t="shared" si="77"/>
        <v>1.1900090666666634</v>
      </c>
      <c r="O204" s="6">
        <f t="shared" si="78"/>
        <v>11.150230933333322</v>
      </c>
      <c r="P204" s="6">
        <f t="shared" si="79"/>
        <v>1.8639999999999992</v>
      </c>
      <c r="Q204" s="6">
        <f t="shared" si="71"/>
        <v>3.2396289681536068</v>
      </c>
      <c r="R204" s="6">
        <f t="shared" si="80"/>
        <v>3.3791276733046733</v>
      </c>
      <c r="S204" s="6">
        <f t="shared" si="81"/>
        <v>4.9707647999999987</v>
      </c>
      <c r="T204" s="6">
        <f t="shared" si="82"/>
        <v>3.1625235549935979</v>
      </c>
      <c r="U204" s="6">
        <f t="shared" si="83"/>
        <v>11.564576692376944</v>
      </c>
      <c r="X204" s="6"/>
      <c r="Y204" s="6"/>
      <c r="Z204" s="25"/>
      <c r="AA204" s="25"/>
      <c r="AB204" s="25"/>
      <c r="AC204" s="25"/>
      <c r="AD204" s="6">
        <f t="shared" si="72"/>
        <v>7.3650000000000002</v>
      </c>
      <c r="AE204" s="6">
        <f t="shared" si="73"/>
        <v>31.055</v>
      </c>
      <c r="AF204" s="6">
        <f t="shared" si="74"/>
        <v>2.9244522689304659</v>
      </c>
      <c r="AG204" s="6">
        <f t="shared" si="75"/>
        <v>1.301876101426122</v>
      </c>
      <c r="AH204" s="6">
        <f t="shared" si="84"/>
        <v>0.81128808375217198</v>
      </c>
      <c r="AI204" s="6">
        <f t="shared" si="85"/>
        <v>5.5539678007847128E-2</v>
      </c>
      <c r="AJ204" s="6">
        <f t="shared" si="86"/>
        <v>0.25194551440923701</v>
      </c>
      <c r="AK204" s="6">
        <f t="shared" si="87"/>
        <v>0.55934256934293503</v>
      </c>
      <c r="AL204" s="6">
        <f t="shared" si="76"/>
        <v>0.67199999999999993</v>
      </c>
      <c r="AM204" s="6">
        <v>10</v>
      </c>
      <c r="AN204" s="6">
        <f t="shared" si="70"/>
        <v>18.639999999999993</v>
      </c>
    </row>
    <row r="205" spans="1:40" x14ac:dyDescent="0.2">
      <c r="A205" s="1">
        <f t="shared" si="69"/>
        <v>200</v>
      </c>
      <c r="B205" s="2">
        <v>18.97</v>
      </c>
      <c r="C205" s="2">
        <v>69.757291666666703</v>
      </c>
      <c r="D205" s="2">
        <v>0.84399999999999997</v>
      </c>
      <c r="E205" s="2">
        <v>27.87</v>
      </c>
      <c r="F205" s="2">
        <v>100</v>
      </c>
      <c r="G205" s="2">
        <v>4.7539999999999996</v>
      </c>
      <c r="H205" s="2">
        <v>11.33</v>
      </c>
      <c r="I205" s="2">
        <v>32.11</v>
      </c>
      <c r="J205" s="2">
        <v>0</v>
      </c>
      <c r="K205" s="3">
        <v>15.8</v>
      </c>
      <c r="L205" s="3">
        <v>6.0758099999999997</v>
      </c>
      <c r="N205" s="6">
        <f t="shared" si="77"/>
        <v>1.1900090666666634</v>
      </c>
      <c r="O205" s="6">
        <f t="shared" si="78"/>
        <v>11.150230933333322</v>
      </c>
      <c r="P205" s="6">
        <f t="shared" si="79"/>
        <v>1.8639999999999992</v>
      </c>
      <c r="Q205" s="6">
        <f t="shared" si="71"/>
        <v>3.4394517272108924</v>
      </c>
      <c r="R205" s="6">
        <f t="shared" si="80"/>
        <v>3.5875548177475149</v>
      </c>
      <c r="S205" s="6">
        <f t="shared" si="81"/>
        <v>5.1928595999999994</v>
      </c>
      <c r="T205" s="6">
        <f t="shared" si="82"/>
        <v>4.1877014342249268</v>
      </c>
      <c r="U205" s="6">
        <f t="shared" si="83"/>
        <v>11.681977821074613</v>
      </c>
      <c r="X205" s="6"/>
      <c r="Y205" s="6"/>
      <c r="Z205" s="25"/>
      <c r="AA205" s="25"/>
      <c r="AB205" s="25"/>
      <c r="AC205" s="25"/>
      <c r="AD205" s="6">
        <f t="shared" si="72"/>
        <v>8.27</v>
      </c>
      <c r="AE205" s="6">
        <f t="shared" si="73"/>
        <v>33.945</v>
      </c>
      <c r="AF205" s="6">
        <f t="shared" si="74"/>
        <v>3.0205389589689853</v>
      </c>
      <c r="AG205" s="6">
        <f t="shared" si="75"/>
        <v>1.2150291305197125</v>
      </c>
      <c r="AH205" s="6">
        <f t="shared" si="84"/>
        <v>0.90275491422463638</v>
      </c>
      <c r="AI205" s="6">
        <f t="shared" si="85"/>
        <v>6.1346698443564308E-2</v>
      </c>
      <c r="AJ205" s="6">
        <f t="shared" si="86"/>
        <v>0.30644015563355281</v>
      </c>
      <c r="AK205" s="6">
        <f t="shared" si="87"/>
        <v>0.59631475859108352</v>
      </c>
      <c r="AL205" s="6">
        <f t="shared" si="76"/>
        <v>0.67269999999999996</v>
      </c>
      <c r="AM205" s="6">
        <v>10</v>
      </c>
      <c r="AN205" s="6">
        <f t="shared" si="70"/>
        <v>18.639999999999993</v>
      </c>
    </row>
    <row r="206" spans="1:40" x14ac:dyDescent="0.2">
      <c r="A206" s="1">
        <f t="shared" si="69"/>
        <v>201</v>
      </c>
      <c r="B206" s="2">
        <v>17.95</v>
      </c>
      <c r="C206" s="2">
        <v>70.642395833333353</v>
      </c>
      <c r="D206" s="2">
        <v>0.83199999999999996</v>
      </c>
      <c r="E206" s="2">
        <v>25.95</v>
      </c>
      <c r="F206" s="2">
        <v>100</v>
      </c>
      <c r="G206" s="2">
        <v>4.6740000000000004</v>
      </c>
      <c r="H206" s="2">
        <v>10.42</v>
      </c>
      <c r="I206" s="2">
        <v>38.950000000000003</v>
      </c>
      <c r="J206" s="2">
        <v>0</v>
      </c>
      <c r="K206" s="3">
        <v>16.239999999999998</v>
      </c>
      <c r="L206" s="3">
        <v>6.0295350000000001</v>
      </c>
      <c r="N206" s="6">
        <f t="shared" si="77"/>
        <v>1.1900090666666634</v>
      </c>
      <c r="O206" s="6">
        <f t="shared" si="78"/>
        <v>11.150230933333322</v>
      </c>
      <c r="P206" s="6">
        <f t="shared" si="79"/>
        <v>1.8639999999999992</v>
      </c>
      <c r="Q206" s="6">
        <f t="shared" si="71"/>
        <v>3.2403327484418942</v>
      </c>
      <c r="R206" s="6">
        <f t="shared" si="80"/>
        <v>3.379861758433389</v>
      </c>
      <c r="S206" s="6">
        <f t="shared" si="81"/>
        <v>5.2565399999999984</v>
      </c>
      <c r="T206" s="6">
        <f t="shared" si="82"/>
        <v>3.9497212416977496</v>
      </c>
      <c r="U206" s="6">
        <f t="shared" si="83"/>
        <v>10.079748726664471</v>
      </c>
      <c r="X206" s="6"/>
      <c r="Y206" s="6"/>
      <c r="Z206" s="25"/>
      <c r="AA206" s="25"/>
      <c r="AB206" s="25"/>
      <c r="AC206" s="25"/>
      <c r="AD206" s="6">
        <f t="shared" si="72"/>
        <v>7.7649999999999997</v>
      </c>
      <c r="AE206" s="6">
        <f t="shared" si="73"/>
        <v>30.524999999999999</v>
      </c>
      <c r="AF206" s="6">
        <f t="shared" si="74"/>
        <v>2.7316002896162597</v>
      </c>
      <c r="AG206" s="6">
        <f t="shared" si="75"/>
        <v>1.1520964400327582</v>
      </c>
      <c r="AH206" s="6">
        <f t="shared" si="84"/>
        <v>0.78975192479175071</v>
      </c>
      <c r="AI206" s="6">
        <f t="shared" si="85"/>
        <v>5.3888992847869972E-2</v>
      </c>
      <c r="AJ206" s="6">
        <f t="shared" si="86"/>
        <v>0.2410717750426819</v>
      </c>
      <c r="AK206" s="6">
        <f t="shared" si="87"/>
        <v>0.54868014974906876</v>
      </c>
      <c r="AL206" s="6">
        <f t="shared" si="76"/>
        <v>0.66249999999999998</v>
      </c>
      <c r="AM206" s="6">
        <v>10</v>
      </c>
      <c r="AN206" s="6">
        <f t="shared" si="70"/>
        <v>18.639999999999993</v>
      </c>
    </row>
    <row r="207" spans="1:40" x14ac:dyDescent="0.2">
      <c r="A207" s="1">
        <f t="shared" si="69"/>
        <v>202</v>
      </c>
      <c r="B207" s="2">
        <v>17.61</v>
      </c>
      <c r="C207" s="2">
        <v>66.521979999999999</v>
      </c>
      <c r="D207" s="2">
        <v>0.188</v>
      </c>
      <c r="E207" s="2">
        <v>27.44</v>
      </c>
      <c r="F207" s="2">
        <v>99.2</v>
      </c>
      <c r="G207" s="2">
        <v>3.1560000000000001</v>
      </c>
      <c r="H207" s="2">
        <v>9.0399999999999991</v>
      </c>
      <c r="I207" s="2">
        <v>30.4</v>
      </c>
      <c r="J207" s="2">
        <v>0</v>
      </c>
      <c r="K207" s="3">
        <v>16.100000000000001</v>
      </c>
      <c r="L207" s="3">
        <v>6.0939310000000004</v>
      </c>
      <c r="N207" s="6">
        <f t="shared" si="77"/>
        <v>1.1900090666666634</v>
      </c>
      <c r="O207" s="6">
        <f t="shared" si="78"/>
        <v>11.150230933333322</v>
      </c>
      <c r="P207" s="6">
        <f t="shared" si="79"/>
        <v>1.8639999999999992</v>
      </c>
      <c r="Q207" s="6">
        <f t="shared" si="71"/>
        <v>3.4935154984857304</v>
      </c>
      <c r="R207" s="6">
        <f t="shared" si="80"/>
        <v>3.6439465797159052</v>
      </c>
      <c r="S207" s="6">
        <f t="shared" si="81"/>
        <v>5.1844805999999997</v>
      </c>
      <c r="T207" s="6">
        <f t="shared" si="82"/>
        <v>4.0714909882059027</v>
      </c>
      <c r="U207" s="6">
        <f t="shared" si="83"/>
        <v>9.5811959374870277</v>
      </c>
      <c r="X207" s="6"/>
      <c r="Y207" s="6"/>
      <c r="Z207" s="25"/>
      <c r="AA207" s="25"/>
      <c r="AB207" s="25"/>
      <c r="AC207" s="25"/>
      <c r="AD207" s="6">
        <f t="shared" si="72"/>
        <v>9.2000000000000011</v>
      </c>
      <c r="AE207" s="6">
        <f t="shared" si="73"/>
        <v>34.400000000000006</v>
      </c>
      <c r="AF207" s="6">
        <f t="shared" si="74"/>
        <v>2.9536106177572705</v>
      </c>
      <c r="AG207" s="6">
        <f t="shared" si="75"/>
        <v>1.0621288768616213</v>
      </c>
      <c r="AH207" s="6">
        <f t="shared" si="84"/>
        <v>0.94574087044782462</v>
      </c>
      <c r="AI207" s="6">
        <f t="shared" si="85"/>
        <v>6.3783781658763222E-2</v>
      </c>
      <c r="AJ207" s="6">
        <f t="shared" si="86"/>
        <v>0.32533485943405177</v>
      </c>
      <c r="AK207" s="6">
        <f t="shared" si="87"/>
        <v>0.6204060110137728</v>
      </c>
      <c r="AL207" s="6">
        <f t="shared" si="76"/>
        <v>0.65910000000000002</v>
      </c>
      <c r="AM207" s="6">
        <v>10</v>
      </c>
      <c r="AN207" s="6">
        <f t="shared" si="70"/>
        <v>18.639999999999993</v>
      </c>
    </row>
    <row r="208" spans="1:40" x14ac:dyDescent="0.2">
      <c r="A208" s="1">
        <f t="shared" si="69"/>
        <v>203</v>
      </c>
      <c r="B208" s="2">
        <v>17.579999999999998</v>
      </c>
      <c r="C208" s="2">
        <v>72.067189999999997</v>
      </c>
      <c r="D208" s="2">
        <v>1.04</v>
      </c>
      <c r="E208" s="2">
        <v>28.3</v>
      </c>
      <c r="F208" s="2">
        <v>100</v>
      </c>
      <c r="G208" s="2">
        <v>3</v>
      </c>
      <c r="H208" s="2">
        <v>8.8000000000000007</v>
      </c>
      <c r="I208" s="2">
        <v>32.409999999999997</v>
      </c>
      <c r="J208" s="2">
        <v>0</v>
      </c>
      <c r="K208" s="3">
        <v>15.93</v>
      </c>
      <c r="L208" s="3">
        <v>6.1847529999999997</v>
      </c>
      <c r="N208" s="6">
        <f t="shared" si="77"/>
        <v>1.1900090666666634</v>
      </c>
      <c r="O208" s="6">
        <f t="shared" si="78"/>
        <v>11.150230933333322</v>
      </c>
      <c r="P208" s="6">
        <f t="shared" si="79"/>
        <v>1.8639999999999992</v>
      </c>
      <c r="Q208" s="6">
        <f t="shared" si="71"/>
        <v>3.5933785436828107</v>
      </c>
      <c r="R208" s="6">
        <f t="shared" si="80"/>
        <v>3.748109736325242</v>
      </c>
      <c r="S208" s="6">
        <f t="shared" si="81"/>
        <v>5.127402754285713</v>
      </c>
      <c r="T208" s="6">
        <f t="shared" si="82"/>
        <v>4.237898045995026</v>
      </c>
      <c r="U208" s="6">
        <f t="shared" si="83"/>
        <v>9.5356223765913324</v>
      </c>
      <c r="X208" s="6"/>
      <c r="Y208" s="6"/>
      <c r="Z208" s="25"/>
      <c r="AA208" s="25"/>
      <c r="AB208" s="25"/>
      <c r="AC208" s="25"/>
      <c r="AD208" s="6">
        <f t="shared" si="72"/>
        <v>9.75</v>
      </c>
      <c r="AE208" s="6">
        <f t="shared" si="73"/>
        <v>33.795000000000002</v>
      </c>
      <c r="AF208" s="6">
        <f t="shared" si="74"/>
        <v>3.0887865293097794</v>
      </c>
      <c r="AG208" s="6">
        <f t="shared" si="75"/>
        <v>1.0471304746221375</v>
      </c>
      <c r="AH208" s="6">
        <f t="shared" si="84"/>
        <v>1.0208280273438208</v>
      </c>
      <c r="AI208" s="6">
        <f t="shared" si="85"/>
        <v>6.854169228968171E-2</v>
      </c>
      <c r="AJ208" s="6">
        <f t="shared" si="86"/>
        <v>0.34498883184084428</v>
      </c>
      <c r="AK208" s="6">
        <f t="shared" si="87"/>
        <v>0.67583919550297655</v>
      </c>
      <c r="AL208" s="6">
        <f t="shared" si="76"/>
        <v>0.65879999999999994</v>
      </c>
      <c r="AM208" s="6">
        <v>10</v>
      </c>
      <c r="AN208" s="6">
        <f t="shared" si="70"/>
        <v>18.639999999999993</v>
      </c>
    </row>
    <row r="209" spans="1:40" x14ac:dyDescent="0.2">
      <c r="A209" s="1">
        <f t="shared" si="69"/>
        <v>204</v>
      </c>
      <c r="B209" s="2">
        <v>18.809999999999999</v>
      </c>
      <c r="C209" s="2">
        <v>66.09479166666668</v>
      </c>
      <c r="D209" s="2">
        <v>0.55000000000000004</v>
      </c>
      <c r="E209" s="2">
        <v>28.11</v>
      </c>
      <c r="F209" s="2">
        <v>100</v>
      </c>
      <c r="G209" s="2">
        <v>6.1120000000000001</v>
      </c>
      <c r="H209" s="2">
        <v>9.3699999999999992</v>
      </c>
      <c r="I209" s="2">
        <v>29.85</v>
      </c>
      <c r="J209" s="2">
        <v>0</v>
      </c>
      <c r="K209" s="3">
        <v>16.03</v>
      </c>
      <c r="L209" s="3">
        <v>6.0023090000000003</v>
      </c>
      <c r="N209" s="6">
        <f t="shared" si="77"/>
        <v>1.1900090666666634</v>
      </c>
      <c r="O209" s="6">
        <f t="shared" si="78"/>
        <v>11.150230933333322</v>
      </c>
      <c r="P209" s="6">
        <f t="shared" si="79"/>
        <v>1.8639999999999992</v>
      </c>
      <c r="Q209" s="6">
        <f t="shared" si="71"/>
        <v>3.6451244315751423</v>
      </c>
      <c r="R209" s="6">
        <f t="shared" si="80"/>
        <v>3.802083806651066</v>
      </c>
      <c r="S209" s="6">
        <f t="shared" si="81"/>
        <v>5.25592098</v>
      </c>
      <c r="T209" s="6">
        <f t="shared" si="82"/>
        <v>4.6088637770845722</v>
      </c>
      <c r="U209" s="6">
        <f t="shared" si="83"/>
        <v>11.421946944470614</v>
      </c>
      <c r="X209" s="6"/>
      <c r="Y209" s="6"/>
      <c r="Z209" s="25"/>
      <c r="AA209" s="25"/>
      <c r="AB209" s="25"/>
      <c r="AC209" s="25"/>
      <c r="AD209" s="6">
        <f t="shared" si="72"/>
        <v>9.370000000000001</v>
      </c>
      <c r="AE209" s="6">
        <f t="shared" si="73"/>
        <v>35.075000000000003</v>
      </c>
      <c r="AF209" s="6">
        <f t="shared" si="74"/>
        <v>3.0584665593311642</v>
      </c>
      <c r="AG209" s="6">
        <f t="shared" si="75"/>
        <v>1.0830603708367097</v>
      </c>
      <c r="AH209" s="6">
        <f t="shared" si="84"/>
        <v>0.98770309424722724</v>
      </c>
      <c r="AI209" s="6">
        <f t="shared" si="85"/>
        <v>6.6522061703544216E-2</v>
      </c>
      <c r="AJ209" s="6">
        <f t="shared" si="86"/>
        <v>0.34643686030721499</v>
      </c>
      <c r="AK209" s="6">
        <f t="shared" si="87"/>
        <v>0.64126623394001225</v>
      </c>
      <c r="AL209" s="6">
        <f t="shared" si="76"/>
        <v>0.67110000000000003</v>
      </c>
      <c r="AM209" s="6">
        <v>10</v>
      </c>
      <c r="AN209" s="6">
        <f t="shared" si="70"/>
        <v>18.639999999999993</v>
      </c>
    </row>
    <row r="210" spans="1:40" x14ac:dyDescent="0.2">
      <c r="A210" s="1">
        <f t="shared" si="69"/>
        <v>205</v>
      </c>
      <c r="B210" s="2">
        <v>18.75</v>
      </c>
      <c r="C210" s="2">
        <v>58.972812499999982</v>
      </c>
      <c r="D210" s="2">
        <v>0.47799999999999998</v>
      </c>
      <c r="E210" s="2">
        <v>28.01</v>
      </c>
      <c r="F210" s="2">
        <v>99.5</v>
      </c>
      <c r="G210" s="2">
        <v>5.1529999999999996</v>
      </c>
      <c r="H210" s="2">
        <v>9.9499999999999993</v>
      </c>
      <c r="I210" s="2">
        <v>27.45</v>
      </c>
      <c r="J210" s="2">
        <v>0</v>
      </c>
      <c r="K210" s="3">
        <v>16.36</v>
      </c>
      <c r="L210" s="3">
        <v>6.2686320000000002</v>
      </c>
      <c r="N210" s="6">
        <f t="shared" si="77"/>
        <v>1.1900090666666634</v>
      </c>
      <c r="O210" s="6">
        <f t="shared" si="78"/>
        <v>11.150230933333322</v>
      </c>
      <c r="P210" s="6">
        <f t="shared" si="79"/>
        <v>1.8639999999999992</v>
      </c>
      <c r="Q210" s="6">
        <f t="shared" si="71"/>
        <v>3.5725152414440444</v>
      </c>
      <c r="R210" s="6">
        <f t="shared" si="80"/>
        <v>3.726348058477388</v>
      </c>
      <c r="S210" s="6">
        <f t="shared" si="81"/>
        <v>5.3593256571428558</v>
      </c>
      <c r="T210" s="6">
        <f t="shared" si="82"/>
        <v>4.3999713114202832</v>
      </c>
      <c r="U210" s="6">
        <f t="shared" si="83"/>
        <v>11.327913044528088</v>
      </c>
      <c r="X210" s="6"/>
      <c r="Y210" s="6"/>
      <c r="Z210" s="25"/>
      <c r="AA210" s="25"/>
      <c r="AB210" s="25"/>
      <c r="AC210" s="25"/>
      <c r="AD210" s="6">
        <f t="shared" si="72"/>
        <v>9.0300000000000011</v>
      </c>
      <c r="AE210" s="6">
        <f t="shared" si="73"/>
        <v>36.024999999999999</v>
      </c>
      <c r="AF210" s="6">
        <f t="shared" si="74"/>
        <v>3.0426132070135439</v>
      </c>
      <c r="AG210" s="6">
        <f t="shared" si="75"/>
        <v>1.1207301392800217</v>
      </c>
      <c r="AH210" s="6">
        <f t="shared" si="84"/>
        <v>0.96094153386676107</v>
      </c>
      <c r="AI210" s="6">
        <f t="shared" si="85"/>
        <v>6.4898447129175779E-2</v>
      </c>
      <c r="AJ210" s="6">
        <f t="shared" si="86"/>
        <v>0.34617918757550065</v>
      </c>
      <c r="AK210" s="6">
        <f t="shared" si="87"/>
        <v>0.61476234629126036</v>
      </c>
      <c r="AL210" s="6">
        <f t="shared" si="76"/>
        <v>0.67049999999999998</v>
      </c>
      <c r="AM210" s="6">
        <v>10</v>
      </c>
      <c r="AN210" s="6">
        <f t="shared" si="70"/>
        <v>18.639999999999993</v>
      </c>
    </row>
    <row r="211" spans="1:40" x14ac:dyDescent="0.2">
      <c r="A211" s="1">
        <f t="shared" si="69"/>
        <v>206</v>
      </c>
      <c r="B211" s="2">
        <v>18.309999999999999</v>
      </c>
      <c r="C211" s="2">
        <v>57.352395833333304</v>
      </c>
      <c r="D211" s="2">
        <v>1.22</v>
      </c>
      <c r="E211" s="2">
        <v>29.26</v>
      </c>
      <c r="F211" s="2">
        <v>97.2</v>
      </c>
      <c r="G211" s="2">
        <v>4.25</v>
      </c>
      <c r="H211" s="2">
        <v>7.4080000000000004</v>
      </c>
      <c r="I211" s="2">
        <v>25.88</v>
      </c>
      <c r="J211" s="2">
        <v>0</v>
      </c>
      <c r="K211" s="3">
        <v>16.190000000000001</v>
      </c>
      <c r="L211" s="3">
        <v>6.4474859999999996</v>
      </c>
      <c r="N211" s="6">
        <f t="shared" si="77"/>
        <v>1.1900090666666634</v>
      </c>
      <c r="O211" s="6">
        <f t="shared" si="78"/>
        <v>11.150230933333322</v>
      </c>
      <c r="P211" s="6">
        <f t="shared" si="79"/>
        <v>1.8639999999999992</v>
      </c>
      <c r="Q211" s="6">
        <f t="shared" si="71"/>
        <v>3.8824057397220599</v>
      </c>
      <c r="R211" s="6">
        <f t="shared" si="80"/>
        <v>4.0495824685654771</v>
      </c>
      <c r="S211" s="6">
        <f t="shared" si="81"/>
        <v>5.2688319685714271</v>
      </c>
      <c r="T211" s="6">
        <f t="shared" si="82"/>
        <v>4.7814426600839015</v>
      </c>
      <c r="U211" s="6">
        <f t="shared" si="83"/>
        <v>10.633032292038264</v>
      </c>
      <c r="X211" s="6"/>
      <c r="Y211" s="6"/>
      <c r="Z211" s="25"/>
      <c r="AA211" s="25"/>
      <c r="AB211" s="25"/>
      <c r="AC211" s="25"/>
      <c r="AD211" s="6">
        <f t="shared" si="72"/>
        <v>10.926</v>
      </c>
      <c r="AE211" s="6">
        <f t="shared" si="73"/>
        <v>35.660000000000004</v>
      </c>
      <c r="AF211" s="6">
        <f t="shared" si="74"/>
        <v>3.24602523992675</v>
      </c>
      <c r="AG211" s="6">
        <f t="shared" si="75"/>
        <v>0.96376090764765321</v>
      </c>
      <c r="AH211" s="6">
        <f t="shared" si="84"/>
        <v>1.1411321661395484</v>
      </c>
      <c r="AI211" s="6">
        <f t="shared" si="85"/>
        <v>7.5895034642004575E-2</v>
      </c>
      <c r="AJ211" s="6">
        <f t="shared" si="86"/>
        <v>0.40692773044536301</v>
      </c>
      <c r="AK211" s="6">
        <f t="shared" si="87"/>
        <v>0.73420443569418536</v>
      </c>
      <c r="AL211" s="6">
        <f t="shared" si="76"/>
        <v>0.66609999999999991</v>
      </c>
      <c r="AM211" s="6">
        <v>10</v>
      </c>
      <c r="AN211" s="6">
        <f t="shared" si="70"/>
        <v>18.639999999999993</v>
      </c>
    </row>
    <row r="212" spans="1:40" x14ac:dyDescent="0.2">
      <c r="A212" s="1">
        <f t="shared" si="69"/>
        <v>207</v>
      </c>
      <c r="B212" s="2">
        <v>18.59</v>
      </c>
      <c r="C212" s="2">
        <v>60.283333333333353</v>
      </c>
      <c r="D212" s="2">
        <v>1.37</v>
      </c>
      <c r="E212" s="2">
        <v>28.78</v>
      </c>
      <c r="F212" s="2">
        <v>97.4</v>
      </c>
      <c r="G212" s="2">
        <v>4.3</v>
      </c>
      <c r="H212" s="2">
        <v>8.56</v>
      </c>
      <c r="I212" s="2">
        <v>26.7</v>
      </c>
      <c r="J212" s="2">
        <v>0</v>
      </c>
      <c r="K212" s="3">
        <v>16.239999999999998</v>
      </c>
      <c r="L212" s="3">
        <v>6.6725779999999997</v>
      </c>
      <c r="N212" s="6">
        <f t="shared" si="77"/>
        <v>1.1900090666666634</v>
      </c>
      <c r="O212" s="6">
        <f t="shared" si="78"/>
        <v>11.150230933333322</v>
      </c>
      <c r="P212" s="6">
        <f t="shared" si="79"/>
        <v>1.8639999999999992</v>
      </c>
      <c r="Q212" s="6">
        <f t="shared" si="71"/>
        <v>3.7635740659375898</v>
      </c>
      <c r="R212" s="6">
        <f t="shared" si="80"/>
        <v>3.9256338925718892</v>
      </c>
      <c r="S212" s="6">
        <f t="shared" si="81"/>
        <v>5.3073201599999988</v>
      </c>
      <c r="T212" s="6">
        <f t="shared" si="82"/>
        <v>4.6075170493382975</v>
      </c>
      <c r="U212" s="6">
        <f t="shared" si="83"/>
        <v>11.071063865497402</v>
      </c>
      <c r="X212" s="6"/>
      <c r="Y212" s="6"/>
      <c r="Z212" s="25"/>
      <c r="AA212" s="25"/>
      <c r="AB212" s="25"/>
      <c r="AC212" s="25"/>
      <c r="AD212" s="6">
        <f t="shared" si="72"/>
        <v>10.11</v>
      </c>
      <c r="AE212" s="6">
        <f t="shared" si="73"/>
        <v>35.35</v>
      </c>
      <c r="AF212" s="6">
        <f t="shared" si="74"/>
        <v>3.1665549286641128</v>
      </c>
      <c r="AG212" s="6">
        <f t="shared" si="75"/>
        <v>1.0323188636970695</v>
      </c>
      <c r="AH212" s="6">
        <f t="shared" si="84"/>
        <v>1.0671180324835217</v>
      </c>
      <c r="AI212" s="6">
        <f t="shared" si="85"/>
        <v>7.1441393041562107E-2</v>
      </c>
      <c r="AJ212" s="6">
        <f t="shared" si="86"/>
        <v>0.37722622448292492</v>
      </c>
      <c r="AK212" s="6">
        <f t="shared" si="87"/>
        <v>0.68989180800059668</v>
      </c>
      <c r="AL212" s="6">
        <f t="shared" si="76"/>
        <v>0.66890000000000005</v>
      </c>
      <c r="AM212" s="6">
        <v>10</v>
      </c>
      <c r="AN212" s="6">
        <f t="shared" si="70"/>
        <v>18.639999999999993</v>
      </c>
    </row>
    <row r="213" spans="1:40" x14ac:dyDescent="0.2">
      <c r="A213" s="1">
        <f t="shared" si="69"/>
        <v>208</v>
      </c>
      <c r="B213" s="2">
        <v>18.82</v>
      </c>
      <c r="C213" s="2">
        <v>60.728333333333353</v>
      </c>
      <c r="D213" s="2">
        <v>1.24</v>
      </c>
      <c r="E213" s="2">
        <v>28.4</v>
      </c>
      <c r="F213" s="2">
        <v>94.7</v>
      </c>
      <c r="G213" s="2">
        <v>3.5</v>
      </c>
      <c r="H213" s="2">
        <v>9.99</v>
      </c>
      <c r="I213" s="2">
        <v>26.9</v>
      </c>
      <c r="J213" s="2">
        <v>0</v>
      </c>
      <c r="K213" s="1">
        <v>13.83</v>
      </c>
      <c r="L213" s="3">
        <v>5.1849869999999996</v>
      </c>
      <c r="N213" s="6">
        <f t="shared" si="77"/>
        <v>1.1900090666666634</v>
      </c>
      <c r="O213" s="6">
        <f t="shared" si="78"/>
        <v>11.150230933333322</v>
      </c>
      <c r="P213" s="6">
        <f t="shared" si="79"/>
        <v>1.8639999999999992</v>
      </c>
      <c r="Q213" s="6">
        <f t="shared" si="71"/>
        <v>3.613874530046111</v>
      </c>
      <c r="R213" s="6">
        <f t="shared" si="80"/>
        <v>3.7694882816440836</v>
      </c>
      <c r="S213" s="6">
        <f t="shared" si="81"/>
        <v>4.5352600457142849</v>
      </c>
      <c r="T213" s="6">
        <f t="shared" si="82"/>
        <v>3.9977658780260557</v>
      </c>
      <c r="U213" s="6">
        <f t="shared" si="83"/>
        <v>11.44050383303701</v>
      </c>
      <c r="X213" s="6"/>
      <c r="Y213" s="6"/>
      <c r="Z213" s="25"/>
      <c r="AA213" s="25"/>
      <c r="AB213" s="25"/>
      <c r="AC213" s="25"/>
      <c r="AD213" s="6">
        <f t="shared" si="72"/>
        <v>9.2049999999999983</v>
      </c>
      <c r="AE213" s="6">
        <f t="shared" si="73"/>
        <v>33.900000000000006</v>
      </c>
      <c r="AF213" s="6">
        <f t="shared" si="74"/>
        <v>3.1048494547771921</v>
      </c>
      <c r="AG213" s="6">
        <f t="shared" si="75"/>
        <v>1.1233700391610997</v>
      </c>
      <c r="AH213" s="6">
        <f t="shared" si="84"/>
        <v>0.99073970780804621</v>
      </c>
      <c r="AI213" s="6">
        <f t="shared" si="85"/>
        <v>6.6815936204538684E-2</v>
      </c>
      <c r="AJ213" s="6">
        <f t="shared" si="86"/>
        <v>0.33586076094692774</v>
      </c>
      <c r="AK213" s="6">
        <f t="shared" si="87"/>
        <v>0.65487894686111847</v>
      </c>
      <c r="AL213" s="6">
        <f t="shared" si="76"/>
        <v>0.67120000000000002</v>
      </c>
      <c r="AM213" s="6">
        <v>10</v>
      </c>
      <c r="AN213" s="6">
        <f t="shared" si="70"/>
        <v>18.639999999999993</v>
      </c>
    </row>
    <row r="214" spans="1:40" x14ac:dyDescent="0.2">
      <c r="A214" s="1">
        <f t="shared" si="69"/>
        <v>209</v>
      </c>
      <c r="B214" s="2">
        <v>19.45</v>
      </c>
      <c r="C214" s="2">
        <v>60.008330000000001</v>
      </c>
      <c r="D214" s="2">
        <v>1.27</v>
      </c>
      <c r="E214" s="2">
        <v>29.5</v>
      </c>
      <c r="F214" s="2">
        <v>90.7</v>
      </c>
      <c r="G214" s="2">
        <v>3.4</v>
      </c>
      <c r="H214" s="2">
        <v>11.33</v>
      </c>
      <c r="I214" s="2">
        <v>27.18</v>
      </c>
      <c r="J214" s="2">
        <v>0</v>
      </c>
      <c r="K214" s="1">
        <v>13.17</v>
      </c>
      <c r="L214" s="3">
        <v>5.0491479999999997</v>
      </c>
      <c r="N214" s="6">
        <f t="shared" si="77"/>
        <v>1.1900090666666634</v>
      </c>
      <c r="O214" s="6">
        <f t="shared" si="78"/>
        <v>11.150230933333322</v>
      </c>
      <c r="P214" s="6">
        <f t="shared" si="79"/>
        <v>1.8639999999999992</v>
      </c>
      <c r="Q214" s="6">
        <f t="shared" si="71"/>
        <v>3.6520067936170388</v>
      </c>
      <c r="R214" s="6">
        <f t="shared" si="80"/>
        <v>3.8092625238011135</v>
      </c>
      <c r="S214" s="6">
        <f t="shared" si="81"/>
        <v>4.3593640714285709</v>
      </c>
      <c r="T214" s="6">
        <f t="shared" si="82"/>
        <v>4.0822719011132564</v>
      </c>
      <c r="U214" s="6">
        <f t="shared" si="83"/>
        <v>12.495142821658229</v>
      </c>
      <c r="X214" s="6"/>
      <c r="Y214" s="6"/>
      <c r="Z214" s="25"/>
      <c r="AA214" s="25"/>
      <c r="AB214" s="25"/>
      <c r="AC214" s="25"/>
      <c r="AD214" s="6">
        <f t="shared" si="72"/>
        <v>9.0850000000000009</v>
      </c>
      <c r="AE214" s="6">
        <f t="shared" si="73"/>
        <v>31.76</v>
      </c>
      <c r="AF214" s="6">
        <f t="shared" si="74"/>
        <v>3.2864083645559687</v>
      </c>
      <c r="AG214" s="6">
        <f t="shared" si="75"/>
        <v>1.2150291305197125</v>
      </c>
      <c r="AH214" s="6">
        <f t="shared" si="84"/>
        <v>1.0356896170181282</v>
      </c>
      <c r="AI214" s="6">
        <f t="shared" si="85"/>
        <v>6.991543238355527E-2</v>
      </c>
      <c r="AJ214" s="6">
        <f t="shared" si="86"/>
        <v>0.32893502236495759</v>
      </c>
      <c r="AK214" s="6">
        <f t="shared" si="87"/>
        <v>0.70675459465317059</v>
      </c>
      <c r="AL214" s="6">
        <f t="shared" si="76"/>
        <v>0.67749999999999999</v>
      </c>
      <c r="AM214" s="6">
        <v>10</v>
      </c>
      <c r="AN214" s="6">
        <f t="shared" si="70"/>
        <v>18.639999999999993</v>
      </c>
    </row>
    <row r="215" spans="1:40" x14ac:dyDescent="0.2">
      <c r="A215" s="1">
        <f t="shared" si="69"/>
        <v>210</v>
      </c>
      <c r="B215" s="2">
        <v>20.92</v>
      </c>
      <c r="C215" s="2">
        <v>59.946980000000003</v>
      </c>
      <c r="D215" s="2">
        <v>1.45</v>
      </c>
      <c r="E215" s="2">
        <v>32.049999999999997</v>
      </c>
      <c r="F215" s="2">
        <v>96.2</v>
      </c>
      <c r="G215" s="2">
        <v>5.5</v>
      </c>
      <c r="H215" s="2">
        <v>10.61</v>
      </c>
      <c r="I215" s="2">
        <v>25.78</v>
      </c>
      <c r="J215" s="2">
        <v>0</v>
      </c>
      <c r="K215" s="1">
        <v>15.87</v>
      </c>
      <c r="L215" s="3">
        <v>6.9805060000000001</v>
      </c>
      <c r="N215" s="6">
        <f t="shared" si="77"/>
        <v>1.1900090666666634</v>
      </c>
      <c r="O215" s="6">
        <f t="shared" si="78"/>
        <v>11.150230933333322</v>
      </c>
      <c r="P215" s="6">
        <f t="shared" si="79"/>
        <v>1.8639999999999992</v>
      </c>
      <c r="Q215" s="6">
        <f t="shared" si="71"/>
        <v>4.1235909248595446</v>
      </c>
      <c r="R215" s="6">
        <f t="shared" si="80"/>
        <v>4.301153108753228</v>
      </c>
      <c r="S215" s="6">
        <f t="shared" si="81"/>
        <v>5.3670616971428569</v>
      </c>
      <c r="T215" s="6">
        <f t="shared" si="82"/>
        <v>5.4232068854153042</v>
      </c>
      <c r="U215" s="6">
        <f t="shared" si="83"/>
        <v>15.207597415729428</v>
      </c>
      <c r="X215" s="6"/>
      <c r="Y215" s="6"/>
      <c r="Z215" s="25"/>
      <c r="AA215" s="25"/>
      <c r="AB215" s="25"/>
      <c r="AC215" s="25"/>
      <c r="AD215" s="6">
        <f t="shared" si="72"/>
        <v>10.719999999999999</v>
      </c>
      <c r="AE215" s="6">
        <f t="shared" si="73"/>
        <v>35.21</v>
      </c>
      <c r="AF215" s="6">
        <f t="shared" si="74"/>
        <v>3.7432825266006464</v>
      </c>
      <c r="AG215" s="6">
        <f t="shared" si="75"/>
        <v>1.1649940147048969</v>
      </c>
      <c r="AH215" s="6">
        <f t="shared" si="84"/>
        <v>1.2891442559478747</v>
      </c>
      <c r="AI215" s="6">
        <f t="shared" si="85"/>
        <v>8.5881587883226362E-2</v>
      </c>
      <c r="AJ215" s="6">
        <f t="shared" si="86"/>
        <v>0.45390769251924673</v>
      </c>
      <c r="AK215" s="6">
        <f t="shared" si="87"/>
        <v>0.83523656342862806</v>
      </c>
      <c r="AL215" s="6">
        <f t="shared" si="76"/>
        <v>0.69220000000000004</v>
      </c>
      <c r="AM215" s="6">
        <v>10</v>
      </c>
      <c r="AN215" s="6">
        <f t="shared" si="70"/>
        <v>18.639999999999993</v>
      </c>
    </row>
    <row r="216" spans="1:40" x14ac:dyDescent="0.2">
      <c r="A216" s="1">
        <f t="shared" si="69"/>
        <v>211</v>
      </c>
      <c r="B216" s="2">
        <v>20.81</v>
      </c>
      <c r="C216" s="2">
        <v>64.313750000000027</v>
      </c>
      <c r="D216" s="2">
        <v>2.5499999999999998</v>
      </c>
      <c r="E216" s="2">
        <v>30.07</v>
      </c>
      <c r="F216" s="2">
        <v>87.6</v>
      </c>
      <c r="G216" s="2">
        <v>7.6</v>
      </c>
      <c r="H216" s="2">
        <v>14.01</v>
      </c>
      <c r="I216" s="2">
        <v>34.81</v>
      </c>
      <c r="J216" s="2">
        <v>0</v>
      </c>
      <c r="K216" s="3">
        <v>15.3</v>
      </c>
      <c r="L216" s="3">
        <v>7.0122090000000004</v>
      </c>
      <c r="N216" s="6">
        <f t="shared" si="77"/>
        <v>1.1900090666666634</v>
      </c>
      <c r="O216" s="6">
        <f t="shared" si="78"/>
        <v>11.150230933333322</v>
      </c>
      <c r="P216" s="6">
        <f t="shared" si="79"/>
        <v>1.8639999999999992</v>
      </c>
      <c r="Q216" s="6">
        <f t="shared" si="71"/>
        <v>3.558773992719122</v>
      </c>
      <c r="R216" s="6">
        <f t="shared" si="80"/>
        <v>3.712015110387159</v>
      </c>
      <c r="S216" s="6">
        <f t="shared" si="81"/>
        <v>5.1660712285714281</v>
      </c>
      <c r="T216" s="6">
        <f t="shared" si="82"/>
        <v>5.1456286703206873</v>
      </c>
      <c r="U216" s="6">
        <f t="shared" si="83"/>
        <v>14.989669619840621</v>
      </c>
      <c r="X216" s="6"/>
      <c r="Y216" s="6"/>
      <c r="Z216" s="25"/>
      <c r="AA216" s="25"/>
      <c r="AB216" s="25"/>
      <c r="AC216" s="25"/>
      <c r="AD216" s="6">
        <f t="shared" si="72"/>
        <v>8.0300000000000011</v>
      </c>
      <c r="AE216" s="6">
        <f t="shared" si="73"/>
        <v>26.394999999999996</v>
      </c>
      <c r="AF216" s="6">
        <f t="shared" si="74"/>
        <v>3.3840779626794641</v>
      </c>
      <c r="AG216" s="6">
        <f t="shared" si="75"/>
        <v>1.4182773404163602</v>
      </c>
      <c r="AH216" s="6">
        <f t="shared" si="84"/>
        <v>0.98290031113155196</v>
      </c>
      <c r="AI216" s="6">
        <f t="shared" si="85"/>
        <v>6.6923725458006456E-2</v>
      </c>
      <c r="AJ216" s="6">
        <f t="shared" si="86"/>
        <v>0.25943653712317311</v>
      </c>
      <c r="AK216" s="6">
        <f t="shared" si="87"/>
        <v>0.72346377400837891</v>
      </c>
      <c r="AL216" s="6">
        <f t="shared" si="76"/>
        <v>0.69109999999999994</v>
      </c>
      <c r="AM216" s="6">
        <v>10</v>
      </c>
      <c r="AN216" s="6">
        <f t="shared" si="70"/>
        <v>18.639999999999993</v>
      </c>
    </row>
    <row r="217" spans="1:40" x14ac:dyDescent="0.2">
      <c r="A217" s="1">
        <f t="shared" si="69"/>
        <v>212</v>
      </c>
      <c r="B217" s="2">
        <v>16.48</v>
      </c>
      <c r="C217" s="2">
        <v>83.849270833333307</v>
      </c>
      <c r="D217" s="2">
        <v>2.06</v>
      </c>
      <c r="E217" s="2">
        <v>18.89</v>
      </c>
      <c r="F217" s="2">
        <v>93</v>
      </c>
      <c r="G217" s="2">
        <v>6.5</v>
      </c>
      <c r="H217" s="2">
        <v>14.29</v>
      </c>
      <c r="I217" s="2">
        <v>73.819999999999993</v>
      </c>
      <c r="J217" s="2">
        <v>0</v>
      </c>
      <c r="K217" s="3">
        <v>4.8479999999999999</v>
      </c>
      <c r="L217" s="3">
        <v>-0.19192000000000001</v>
      </c>
      <c r="N217" s="6">
        <f t="shared" si="77"/>
        <v>1.1900090666666634</v>
      </c>
      <c r="O217" s="6">
        <f t="shared" si="78"/>
        <v>11.150230933333322</v>
      </c>
      <c r="P217" s="6">
        <f t="shared" si="79"/>
        <v>1.8639999999999992</v>
      </c>
      <c r="Q217" s="6">
        <f t="shared" si="71"/>
        <v>1.6910154093206844</v>
      </c>
      <c r="R217" s="6">
        <f t="shared" si="80"/>
        <v>1.7638306799302634</v>
      </c>
      <c r="S217" s="6">
        <f t="shared" si="81"/>
        <v>1.5343753782857141</v>
      </c>
      <c r="T217" s="6">
        <f t="shared" si="82"/>
        <v>1.3137944509044719</v>
      </c>
      <c r="U217" s="6">
        <f t="shared" si="83"/>
        <v>8.0261685131410481</v>
      </c>
      <c r="X217" s="6"/>
      <c r="Y217" s="6"/>
      <c r="Z217" s="25"/>
      <c r="AA217" s="25"/>
      <c r="AB217" s="25"/>
      <c r="AC217" s="25"/>
      <c r="AD217" s="6">
        <f t="shared" si="72"/>
        <v>2.3000000000000007</v>
      </c>
      <c r="AE217" s="6">
        <f t="shared" si="73"/>
        <v>9.5900000000000034</v>
      </c>
      <c r="AF217" s="6">
        <f t="shared" si="74"/>
        <v>1.866010430233352</v>
      </c>
      <c r="AG217" s="6">
        <f t="shared" si="75"/>
        <v>1.4411432710837955</v>
      </c>
      <c r="AH217" s="6">
        <f t="shared" si="84"/>
        <v>0.21243357957477826</v>
      </c>
      <c r="AI217" s="6">
        <f t="shared" si="85"/>
        <v>1.5164269488822517E-2</v>
      </c>
      <c r="AJ217" s="6">
        <f t="shared" si="86"/>
        <v>2.037238028122124E-2</v>
      </c>
      <c r="AK217" s="6">
        <f t="shared" si="87"/>
        <v>0.19206119929355703</v>
      </c>
      <c r="AL217" s="6">
        <f t="shared" si="76"/>
        <v>0.64779999999999993</v>
      </c>
      <c r="AM217" s="6">
        <v>10</v>
      </c>
      <c r="AN217" s="6">
        <f t="shared" si="70"/>
        <v>18.639999999999993</v>
      </c>
    </row>
    <row r="218" spans="1:40" x14ac:dyDescent="0.2">
      <c r="A218" s="1">
        <f t="shared" si="69"/>
        <v>213</v>
      </c>
      <c r="B218" s="2">
        <v>19.3</v>
      </c>
      <c r="C218" s="2">
        <v>74.01468749999998</v>
      </c>
      <c r="D218" s="2">
        <v>1.05</v>
      </c>
      <c r="E218" s="2">
        <v>29.12</v>
      </c>
      <c r="F218" s="2">
        <v>100</v>
      </c>
      <c r="G218" s="2">
        <v>5.7</v>
      </c>
      <c r="H218" s="2">
        <v>10.7</v>
      </c>
      <c r="I218" s="2">
        <v>37.619999999999997</v>
      </c>
      <c r="J218" s="2">
        <v>0</v>
      </c>
      <c r="K218" s="3">
        <v>16.579999999999998</v>
      </c>
      <c r="L218" s="3">
        <v>7.1840310000000001</v>
      </c>
      <c r="N218" s="6">
        <f t="shared" si="77"/>
        <v>1.1900090666666634</v>
      </c>
      <c r="O218" s="6">
        <f t="shared" si="78"/>
        <v>11.150230933333322</v>
      </c>
      <c r="P218" s="6">
        <f t="shared" si="79"/>
        <v>1.8639999999999992</v>
      </c>
      <c r="Q218" s="6">
        <f t="shared" si="71"/>
        <v>3.6622379488230967</v>
      </c>
      <c r="R218" s="6">
        <f t="shared" si="80"/>
        <v>3.819934233440248</v>
      </c>
      <c r="S218" s="6">
        <f t="shared" si="81"/>
        <v>5.4759476571428554</v>
      </c>
      <c r="T218" s="6">
        <f t="shared" si="82"/>
        <v>4.9273259729441516</v>
      </c>
      <c r="U218" s="6">
        <f t="shared" si="83"/>
        <v>12.232214308835733</v>
      </c>
      <c r="X218" s="6"/>
      <c r="Y218" s="6"/>
      <c r="Z218" s="25"/>
      <c r="AA218" s="25"/>
      <c r="AB218" s="25"/>
      <c r="AC218" s="25"/>
      <c r="AD218" s="6">
        <f t="shared" si="72"/>
        <v>9.2100000000000009</v>
      </c>
      <c r="AE218" s="6">
        <f t="shared" si="73"/>
        <v>31.19</v>
      </c>
      <c r="AF218" s="6">
        <f t="shared" si="74"/>
        <v>3.2226687635996925</v>
      </c>
      <c r="AG218" s="6">
        <f t="shared" si="75"/>
        <v>1.1711476000623005</v>
      </c>
      <c r="AH218" s="6">
        <f t="shared" si="84"/>
        <v>1.0257605817686959</v>
      </c>
      <c r="AI218" s="6">
        <f t="shared" si="85"/>
        <v>6.9174953604406522E-2</v>
      </c>
      <c r="AJ218" s="6">
        <f t="shared" si="86"/>
        <v>0.31993472545365625</v>
      </c>
      <c r="AK218" s="6">
        <f t="shared" si="87"/>
        <v>0.70582585631503969</v>
      </c>
      <c r="AL218" s="6">
        <f t="shared" si="76"/>
        <v>0.67599999999999993</v>
      </c>
      <c r="AM218" s="6">
        <v>10</v>
      </c>
      <c r="AN218" s="6">
        <f t="shared" si="70"/>
        <v>18.639999999999993</v>
      </c>
    </row>
    <row r="219" spans="1:40" x14ac:dyDescent="0.2">
      <c r="A219" s="1">
        <f t="shared" si="69"/>
        <v>214</v>
      </c>
      <c r="B219" s="2">
        <v>19.59</v>
      </c>
      <c r="C219" s="2">
        <v>66.70416666666668</v>
      </c>
      <c r="D219" s="2">
        <v>1.3918666666666666</v>
      </c>
      <c r="E219" s="2">
        <v>29.93</v>
      </c>
      <c r="F219" s="2">
        <v>100</v>
      </c>
      <c r="G219" s="2">
        <v>5.23848</v>
      </c>
      <c r="H219" s="2">
        <v>11.9</v>
      </c>
      <c r="I219" s="2">
        <v>20.2</v>
      </c>
      <c r="J219" s="2">
        <v>0</v>
      </c>
      <c r="K219" s="3">
        <v>16.53</v>
      </c>
      <c r="L219" s="3">
        <v>6.96584</v>
      </c>
      <c r="N219" s="6">
        <f t="shared" si="77"/>
        <v>1.8608963259451941</v>
      </c>
      <c r="O219" s="6">
        <f t="shared" si="78"/>
        <v>13.242277007388131</v>
      </c>
      <c r="P219" s="6">
        <f t="shared" si="79"/>
        <v>2.2914306451612898</v>
      </c>
      <c r="Q219" s="6">
        <f t="shared" si="71"/>
        <v>4.1993203338433478</v>
      </c>
      <c r="R219" s="6">
        <f t="shared" si="80"/>
        <v>4.3801434326748048</v>
      </c>
      <c r="S219" s="6">
        <f t="shared" si="81"/>
        <v>5.4828545914285707</v>
      </c>
      <c r="T219" s="6">
        <f t="shared" si="82"/>
        <v>4.5524774150083811</v>
      </c>
      <c r="U219" s="6">
        <f t="shared" si="83"/>
        <v>12.734931308725756</v>
      </c>
      <c r="X219" s="6"/>
      <c r="Y219" s="6"/>
      <c r="Z219" s="25"/>
      <c r="AA219" s="25"/>
      <c r="AB219" s="25"/>
      <c r="AC219" s="25"/>
      <c r="AD219" s="6">
        <f t="shared" si="72"/>
        <v>9.0150000000000006</v>
      </c>
      <c r="AE219" s="6">
        <f t="shared" si="73"/>
        <v>39.9</v>
      </c>
      <c r="AF219" s="6">
        <f t="shared" si="74"/>
        <v>3.3598575594877511</v>
      </c>
      <c r="AG219" s="6">
        <f t="shared" si="75"/>
        <v>1.2559706742970831</v>
      </c>
      <c r="AH219" s="6">
        <f t="shared" si="84"/>
        <v>1.051943442595334</v>
      </c>
      <c r="AI219" s="6">
        <f t="shared" si="85"/>
        <v>7.105303355110508E-2</v>
      </c>
      <c r="AJ219" s="6">
        <f t="shared" si="86"/>
        <v>0.41972543359553827</v>
      </c>
      <c r="AK219" s="6">
        <f t="shared" si="87"/>
        <v>0.63221800899979574</v>
      </c>
      <c r="AL219" s="6">
        <f t="shared" si="76"/>
        <v>0.67889999999999995</v>
      </c>
      <c r="AM219" s="6">
        <v>11.5</v>
      </c>
      <c r="AN219" s="6">
        <f>$X$13</f>
        <v>19.925483870967739</v>
      </c>
    </row>
    <row r="220" spans="1:40" x14ac:dyDescent="0.2">
      <c r="A220" s="1">
        <f t="shared" si="69"/>
        <v>215</v>
      </c>
      <c r="B220" s="2">
        <v>20.2</v>
      </c>
      <c r="C220" s="2">
        <v>56.468854166666695</v>
      </c>
      <c r="D220" s="2">
        <v>1.3728866666666664</v>
      </c>
      <c r="E220" s="2">
        <v>30.55</v>
      </c>
      <c r="F220" s="2">
        <v>94.6</v>
      </c>
      <c r="G220" s="2">
        <v>5.0107200000000001</v>
      </c>
      <c r="H220" s="2">
        <v>9.99</v>
      </c>
      <c r="I220" s="2">
        <v>26.77</v>
      </c>
      <c r="J220" s="2">
        <v>0</v>
      </c>
      <c r="K220" s="3">
        <v>16.34</v>
      </c>
      <c r="L220" s="3">
        <v>6.8979619999999997</v>
      </c>
      <c r="N220" s="6">
        <f t="shared" si="77"/>
        <v>1.8608963259451941</v>
      </c>
      <c r="O220" s="6">
        <f t="shared" si="78"/>
        <v>13.242277007388131</v>
      </c>
      <c r="P220" s="6">
        <f t="shared" si="79"/>
        <v>2.2914306451612898</v>
      </c>
      <c r="Q220" s="6">
        <f t="shared" si="71"/>
        <v>4.5574386189613127</v>
      </c>
      <c r="R220" s="6">
        <f t="shared" si="80"/>
        <v>4.7536823222990163</v>
      </c>
      <c r="S220" s="6">
        <f t="shared" si="81"/>
        <v>5.4685311428571426</v>
      </c>
      <c r="T220" s="6">
        <f t="shared" si="82"/>
        <v>5.1204214226115052</v>
      </c>
      <c r="U220" s="6">
        <f t="shared" si="83"/>
        <v>13.835091600401656</v>
      </c>
      <c r="X220" s="6"/>
      <c r="Y220" s="6"/>
      <c r="Z220" s="25"/>
      <c r="AA220" s="25"/>
      <c r="AB220" s="25"/>
      <c r="AC220" s="25"/>
      <c r="AD220" s="6">
        <f t="shared" si="72"/>
        <v>10.280000000000001</v>
      </c>
      <c r="AE220" s="6">
        <f t="shared" si="73"/>
        <v>33.914999999999999</v>
      </c>
      <c r="AF220" s="6">
        <f t="shared" si="74"/>
        <v>3.4682783386335032</v>
      </c>
      <c r="AG220" s="6">
        <f t="shared" si="75"/>
        <v>1.1233700391610997</v>
      </c>
      <c r="AH220" s="6">
        <f t="shared" si="84"/>
        <v>1.1724541497362018</v>
      </c>
      <c r="AI220" s="6">
        <f t="shared" si="85"/>
        <v>7.8385675440517277E-2</v>
      </c>
      <c r="AJ220" s="6">
        <f t="shared" si="86"/>
        <v>0.39763782488303284</v>
      </c>
      <c r="AK220" s="6">
        <f t="shared" si="87"/>
        <v>0.77481632485316898</v>
      </c>
      <c r="AL220" s="6">
        <f t="shared" si="76"/>
        <v>0.68499999999999994</v>
      </c>
      <c r="AM220" s="6">
        <v>11.5</v>
      </c>
      <c r="AN220" s="6">
        <f t="shared" ref="AN220:AN249" si="88">$X$13</f>
        <v>19.925483870967739</v>
      </c>
    </row>
    <row r="221" spans="1:40" x14ac:dyDescent="0.2">
      <c r="A221" s="1">
        <f t="shared" si="69"/>
        <v>216</v>
      </c>
      <c r="B221" s="2">
        <v>21.7</v>
      </c>
      <c r="C221" s="2">
        <v>51.706980000000001</v>
      </c>
      <c r="D221" s="2">
        <v>1.6607500000000004</v>
      </c>
      <c r="E221" s="2">
        <v>31.18</v>
      </c>
      <c r="F221" s="2">
        <v>87.3</v>
      </c>
      <c r="G221" s="2">
        <v>7.8956800000000005</v>
      </c>
      <c r="H221" s="2">
        <v>12.57</v>
      </c>
      <c r="I221" s="2">
        <v>21.12</v>
      </c>
      <c r="J221" s="2">
        <v>0</v>
      </c>
      <c r="K221" s="3">
        <v>17.55</v>
      </c>
      <c r="L221" s="3">
        <v>8.1697199999999999</v>
      </c>
      <c r="N221" s="6">
        <f t="shared" si="77"/>
        <v>1.8608963259451941</v>
      </c>
      <c r="O221" s="6">
        <f t="shared" si="78"/>
        <v>13.242277007388131</v>
      </c>
      <c r="P221" s="6">
        <f t="shared" si="79"/>
        <v>2.2914306451612898</v>
      </c>
      <c r="Q221" s="6">
        <f t="shared" si="71"/>
        <v>4.5070871790582494</v>
      </c>
      <c r="R221" s="6">
        <f t="shared" si="80"/>
        <v>4.7011627450141678</v>
      </c>
      <c r="S221" s="6">
        <f t="shared" si="81"/>
        <v>6.0020999999999987</v>
      </c>
      <c r="T221" s="6">
        <f t="shared" si="82"/>
        <v>5.5992049956282024</v>
      </c>
      <c r="U221" s="6">
        <f t="shared" si="83"/>
        <v>16.804741302956273</v>
      </c>
      <c r="X221" s="6"/>
      <c r="Y221" s="6"/>
      <c r="Z221" s="25"/>
      <c r="AA221" s="25"/>
      <c r="AB221" s="25"/>
      <c r="AC221" s="25"/>
      <c r="AD221" s="6">
        <f t="shared" si="72"/>
        <v>9.3049999999999997</v>
      </c>
      <c r="AE221" s="6">
        <f t="shared" si="73"/>
        <v>33.089999999999996</v>
      </c>
      <c r="AF221" s="6">
        <f t="shared" si="74"/>
        <v>3.5815576918254863</v>
      </c>
      <c r="AG221" s="6">
        <f t="shared" si="75"/>
        <v>1.3056415988878651</v>
      </c>
      <c r="AH221" s="6">
        <f t="shared" si="84"/>
        <v>1.1379580464688106</v>
      </c>
      <c r="AI221" s="6">
        <f t="shared" si="85"/>
        <v>7.6682179741103321E-2</v>
      </c>
      <c r="AJ221" s="6">
        <f t="shared" si="86"/>
        <v>0.37655031757652935</v>
      </c>
      <c r="AK221" s="6">
        <f t="shared" si="87"/>
        <v>0.76140772889228125</v>
      </c>
      <c r="AL221" s="6">
        <f t="shared" si="76"/>
        <v>0.7</v>
      </c>
      <c r="AM221" s="6">
        <v>11.5</v>
      </c>
      <c r="AN221" s="6">
        <f t="shared" si="88"/>
        <v>19.925483870967739</v>
      </c>
    </row>
    <row r="222" spans="1:40" x14ac:dyDescent="0.2">
      <c r="A222" s="1">
        <f t="shared" si="69"/>
        <v>217</v>
      </c>
      <c r="B222" s="2">
        <v>21.94</v>
      </c>
      <c r="C222" s="2">
        <v>57.781350000000003</v>
      </c>
      <c r="D222" s="2">
        <v>1.4393166666666664</v>
      </c>
      <c r="E222" s="2">
        <v>31.46</v>
      </c>
      <c r="F222" s="2">
        <v>90</v>
      </c>
      <c r="G222" s="2">
        <v>6.9087199999999998</v>
      </c>
      <c r="H222" s="2">
        <v>13.14</v>
      </c>
      <c r="I222" s="2">
        <v>26.15</v>
      </c>
      <c r="J222" s="2">
        <v>0</v>
      </c>
      <c r="K222" s="3">
        <v>16.28</v>
      </c>
      <c r="L222" s="3">
        <v>7.1881890000000004</v>
      </c>
      <c r="N222" s="6">
        <f t="shared" si="77"/>
        <v>1.8608963259451941</v>
      </c>
      <c r="O222" s="6">
        <f t="shared" si="78"/>
        <v>13.242277007388131</v>
      </c>
      <c r="P222" s="6">
        <f t="shared" si="79"/>
        <v>2.2914306451612898</v>
      </c>
      <c r="Q222" s="6">
        <f t="shared" si="71"/>
        <v>4.4990029072988253</v>
      </c>
      <c r="R222" s="6">
        <f t="shared" si="80"/>
        <v>4.6927303638096145</v>
      </c>
      <c r="S222" s="6">
        <f t="shared" si="81"/>
        <v>5.5868494628571428</v>
      </c>
      <c r="T222" s="6">
        <f t="shared" si="82"/>
        <v>5.4344909288028056</v>
      </c>
      <c r="U222" s="6">
        <f t="shared" si="83"/>
        <v>17.314451709597339</v>
      </c>
      <c r="X222" s="6"/>
      <c r="Y222" s="6"/>
      <c r="Z222" s="25"/>
      <c r="AA222" s="25"/>
      <c r="AB222" s="25"/>
      <c r="AC222" s="25"/>
      <c r="AD222" s="6">
        <f t="shared" si="72"/>
        <v>9.16</v>
      </c>
      <c r="AE222" s="6">
        <f t="shared" si="73"/>
        <v>31.925000000000001</v>
      </c>
      <c r="AF222" s="6">
        <f t="shared" si="74"/>
        <v>3.6329296379417055</v>
      </c>
      <c r="AG222" s="6">
        <f t="shared" si="75"/>
        <v>1.3492496697059224</v>
      </c>
      <c r="AH222" s="6">
        <f t="shared" si="84"/>
        <v>1.1418399841178917</v>
      </c>
      <c r="AI222" s="6">
        <f t="shared" si="85"/>
        <v>7.7034330503852749E-2</v>
      </c>
      <c r="AJ222" s="6">
        <f t="shared" si="86"/>
        <v>0.36453241492963689</v>
      </c>
      <c r="AK222" s="6">
        <f t="shared" si="87"/>
        <v>0.77730756918825472</v>
      </c>
      <c r="AL222" s="6">
        <f t="shared" si="76"/>
        <v>0.70240000000000002</v>
      </c>
      <c r="AM222" s="6">
        <v>11.5</v>
      </c>
      <c r="AN222" s="6">
        <f t="shared" si="88"/>
        <v>19.925483870967739</v>
      </c>
    </row>
    <row r="223" spans="1:40" x14ac:dyDescent="0.2">
      <c r="A223" s="1">
        <f t="shared" si="69"/>
        <v>218</v>
      </c>
      <c r="B223" s="2">
        <v>22.6</v>
      </c>
      <c r="C223" s="2">
        <v>56.673958333333353</v>
      </c>
      <c r="D223" s="2">
        <v>1.4235000000000002</v>
      </c>
      <c r="E223" s="2">
        <v>31.47</v>
      </c>
      <c r="F223" s="2">
        <v>93.9</v>
      </c>
      <c r="G223" s="2">
        <v>6.3772799999999998</v>
      </c>
      <c r="H223" s="2">
        <v>14.01</v>
      </c>
      <c r="I223" s="2">
        <v>24.99</v>
      </c>
      <c r="J223" s="2">
        <v>0</v>
      </c>
      <c r="K223" s="3">
        <v>17.11</v>
      </c>
      <c r="L223" s="3">
        <v>7.7050859999999997</v>
      </c>
      <c r="N223" s="6">
        <f t="shared" si="77"/>
        <v>1.8608963259451941</v>
      </c>
      <c r="O223" s="6">
        <f t="shared" si="78"/>
        <v>13.242277007388131</v>
      </c>
      <c r="P223" s="6">
        <f t="shared" si="79"/>
        <v>2.2914306451612898</v>
      </c>
      <c r="Q223" s="6">
        <f t="shared" si="71"/>
        <v>4.4650791435700228</v>
      </c>
      <c r="R223" s="6">
        <f t="shared" si="80"/>
        <v>4.6573458398639662</v>
      </c>
      <c r="S223" s="6">
        <f t="shared" si="81"/>
        <v>5.9268551142857131</v>
      </c>
      <c r="T223" s="6">
        <f t="shared" si="82"/>
        <v>5.2066197339782923</v>
      </c>
      <c r="U223" s="6">
        <f t="shared" si="83"/>
        <v>18.782704656875509</v>
      </c>
      <c r="X223" s="6"/>
      <c r="Y223" s="6"/>
      <c r="Z223" s="25"/>
      <c r="AA223" s="25"/>
      <c r="AB223" s="25"/>
      <c r="AC223" s="25"/>
      <c r="AD223" s="6">
        <f t="shared" si="72"/>
        <v>8.73</v>
      </c>
      <c r="AE223" s="6">
        <f t="shared" si="73"/>
        <v>34.455000000000005</v>
      </c>
      <c r="AF223" s="6">
        <f t="shared" si="74"/>
        <v>3.6347761567560259</v>
      </c>
      <c r="AG223" s="6">
        <f t="shared" si="75"/>
        <v>1.4182773404163602</v>
      </c>
      <c r="AH223" s="6">
        <f t="shared" si="84"/>
        <v>1.1082494081698329</v>
      </c>
      <c r="AI223" s="6">
        <f t="shared" si="85"/>
        <v>7.5029720544616096E-2</v>
      </c>
      <c r="AJ223" s="6">
        <f t="shared" si="86"/>
        <v>0.38184733358491596</v>
      </c>
      <c r="AK223" s="6">
        <f t="shared" si="87"/>
        <v>0.7264020745849169</v>
      </c>
      <c r="AL223" s="6">
        <f t="shared" si="76"/>
        <v>0.70899999999999996</v>
      </c>
      <c r="AM223" s="6">
        <v>11.5</v>
      </c>
      <c r="AN223" s="6">
        <f t="shared" si="88"/>
        <v>19.925483870967739</v>
      </c>
    </row>
    <row r="224" spans="1:40" x14ac:dyDescent="0.2">
      <c r="A224" s="1">
        <f t="shared" si="69"/>
        <v>219</v>
      </c>
      <c r="B224" s="2">
        <v>22.47</v>
      </c>
      <c r="C224" s="2">
        <v>55.155104166666689</v>
      </c>
      <c r="D224" s="2">
        <v>1.154617</v>
      </c>
      <c r="E224" s="2">
        <v>32.130000000000003</v>
      </c>
      <c r="F224" s="2">
        <v>94.7</v>
      </c>
      <c r="G224" s="2">
        <v>5.694</v>
      </c>
      <c r="H224" s="2">
        <v>11.95</v>
      </c>
      <c r="I224" s="2">
        <v>22.25</v>
      </c>
      <c r="J224" s="2">
        <v>0</v>
      </c>
      <c r="K224" s="3">
        <v>16.02</v>
      </c>
      <c r="L224" s="3">
        <v>7.1753900000000002</v>
      </c>
      <c r="N224" s="6">
        <f t="shared" si="77"/>
        <v>1.8608963259451941</v>
      </c>
      <c r="O224" s="6">
        <f t="shared" si="78"/>
        <v>13.242277007388131</v>
      </c>
      <c r="P224" s="6">
        <f t="shared" si="79"/>
        <v>2.2914306451612898</v>
      </c>
      <c r="Q224" s="6">
        <f t="shared" si="71"/>
        <v>4.78484514432275</v>
      </c>
      <c r="R224" s="6">
        <f t="shared" si="80"/>
        <v>4.9908809924222979</v>
      </c>
      <c r="S224" s="6">
        <f t="shared" si="81"/>
        <v>5.5391072399999999</v>
      </c>
      <c r="T224" s="6">
        <f t="shared" si="82"/>
        <v>5.3167244299362597</v>
      </c>
      <c r="U224" s="6">
        <f t="shared" si="83"/>
        <v>18.487673258123042</v>
      </c>
      <c r="X224" s="6"/>
      <c r="Y224" s="6"/>
      <c r="Z224" s="25"/>
      <c r="AA224" s="25"/>
      <c r="AB224" s="25"/>
      <c r="AC224" s="25"/>
      <c r="AD224" s="6">
        <f t="shared" si="72"/>
        <v>10.090000000000002</v>
      </c>
      <c r="AE224" s="6">
        <f t="shared" si="73"/>
        <v>36.225000000000001</v>
      </c>
      <c r="AF224" s="6">
        <f t="shared" si="74"/>
        <v>3.7584680226857521</v>
      </c>
      <c r="AG224" s="6">
        <f t="shared" si="75"/>
        <v>1.2596192297957391</v>
      </c>
      <c r="AH224" s="6">
        <f t="shared" si="84"/>
        <v>1.2494243964450065</v>
      </c>
      <c r="AI224" s="6">
        <f t="shared" si="85"/>
        <v>8.3659960398977079E-2</v>
      </c>
      <c r="AJ224" s="6">
        <f t="shared" si="86"/>
        <v>0.45260398761220361</v>
      </c>
      <c r="AK224" s="6">
        <f t="shared" si="87"/>
        <v>0.79682040883280281</v>
      </c>
      <c r="AL224" s="6">
        <f t="shared" si="76"/>
        <v>0.7077</v>
      </c>
      <c r="AM224" s="6">
        <v>11.5</v>
      </c>
      <c r="AN224" s="6">
        <f t="shared" si="88"/>
        <v>19.925483870967739</v>
      </c>
    </row>
    <row r="225" spans="1:40" x14ac:dyDescent="0.2">
      <c r="A225" s="1">
        <f t="shared" si="69"/>
        <v>220</v>
      </c>
      <c r="B225" s="2">
        <v>24.2</v>
      </c>
      <c r="C225" s="2">
        <v>44.550729166666684</v>
      </c>
      <c r="D225" s="2">
        <v>1.8885099999999999</v>
      </c>
      <c r="E225" s="2">
        <v>31.94</v>
      </c>
      <c r="F225" s="2">
        <v>80.3</v>
      </c>
      <c r="G225" s="2">
        <v>8.8826400000000003</v>
      </c>
      <c r="H225" s="2">
        <v>15.83</v>
      </c>
      <c r="I225" s="2">
        <v>22.11</v>
      </c>
      <c r="J225" s="2">
        <v>0</v>
      </c>
      <c r="K225" s="3">
        <v>17.16</v>
      </c>
      <c r="L225" s="3">
        <v>7.7358919999999998</v>
      </c>
      <c r="N225" s="6">
        <f t="shared" si="77"/>
        <v>1.8608963259451941</v>
      </c>
      <c r="O225" s="6">
        <f t="shared" si="78"/>
        <v>13.242277007388131</v>
      </c>
      <c r="P225" s="6">
        <f t="shared" si="79"/>
        <v>2.2914306451612898</v>
      </c>
      <c r="Q225" s="6">
        <f t="shared" si="71"/>
        <v>4.4588487111697344</v>
      </c>
      <c r="R225" s="6">
        <f t="shared" si="80"/>
        <v>4.6508471245026</v>
      </c>
      <c r="S225" s="6">
        <f t="shared" si="81"/>
        <v>6.0783171428571423</v>
      </c>
      <c r="T225" s="6">
        <f t="shared" si="82"/>
        <v>5.6745600536994329</v>
      </c>
      <c r="U225" s="6">
        <f t="shared" si="83"/>
        <v>22.717694920907995</v>
      </c>
      <c r="X225" s="6"/>
      <c r="Y225" s="6"/>
      <c r="Z225" s="25"/>
      <c r="AA225" s="25"/>
      <c r="AB225" s="25"/>
      <c r="AC225" s="25"/>
      <c r="AD225" s="6">
        <f t="shared" si="72"/>
        <v>8.0549999999999997</v>
      </c>
      <c r="AE225" s="6">
        <f t="shared" si="73"/>
        <v>29.094999999999999</v>
      </c>
      <c r="AF225" s="6">
        <f t="shared" si="74"/>
        <v>3.7224897007056326</v>
      </c>
      <c r="AG225" s="6">
        <f t="shared" si="75"/>
        <v>1.5727860456384577</v>
      </c>
      <c r="AH225" s="6">
        <f t="shared" si="84"/>
        <v>1.0748518275335874</v>
      </c>
      <c r="AI225" s="6">
        <f t="shared" si="85"/>
        <v>7.3169607908988507E-2</v>
      </c>
      <c r="AJ225" s="6">
        <f t="shared" si="86"/>
        <v>0.31272813922089726</v>
      </c>
      <c r="AK225" s="6">
        <f t="shared" si="87"/>
        <v>0.76212368831269017</v>
      </c>
      <c r="AL225" s="6">
        <f t="shared" si="76"/>
        <v>0.72499999999999998</v>
      </c>
      <c r="AM225" s="6">
        <v>11.5</v>
      </c>
      <c r="AN225" s="6">
        <f t="shared" si="88"/>
        <v>19.925483870967739</v>
      </c>
    </row>
    <row r="226" spans="1:40" x14ac:dyDescent="0.2">
      <c r="A226" s="1">
        <f t="shared" si="69"/>
        <v>221</v>
      </c>
      <c r="B226" s="2">
        <v>23.98</v>
      </c>
      <c r="C226" s="2">
        <v>45.238020833333358</v>
      </c>
      <c r="D226" s="2">
        <v>1.6291166666666661</v>
      </c>
      <c r="E226" s="2">
        <v>33.090000000000003</v>
      </c>
      <c r="F226" s="2">
        <v>74.989999999999995</v>
      </c>
      <c r="G226" s="2">
        <v>8.0475200000000005</v>
      </c>
      <c r="H226" s="2">
        <v>13.92</v>
      </c>
      <c r="I226" s="2">
        <v>22.93</v>
      </c>
      <c r="J226" s="2">
        <v>0</v>
      </c>
      <c r="K226" s="3">
        <v>16.12</v>
      </c>
      <c r="L226" s="3">
        <v>7.3405630000000004</v>
      </c>
      <c r="N226" s="6">
        <f t="shared" si="77"/>
        <v>1.8608963259451941</v>
      </c>
      <c r="O226" s="6">
        <f t="shared" si="78"/>
        <v>13.242277007388131</v>
      </c>
      <c r="P226" s="6">
        <f t="shared" si="79"/>
        <v>2.2914306451612898</v>
      </c>
      <c r="Q226" s="6">
        <f t="shared" si="71"/>
        <v>4.83843786748103</v>
      </c>
      <c r="R226" s="6">
        <f t="shared" si="80"/>
        <v>5.0467814229012591</v>
      </c>
      <c r="S226" s="6">
        <f t="shared" si="81"/>
        <v>5.6926075885714287</v>
      </c>
      <c r="T226" s="6">
        <f t="shared" si="82"/>
        <v>6.3810019312919639</v>
      </c>
      <c r="U226" s="6">
        <f t="shared" si="83"/>
        <v>22.144620971522684</v>
      </c>
      <c r="X226" s="6"/>
      <c r="Y226" s="6"/>
      <c r="Z226" s="25"/>
      <c r="AA226" s="25"/>
      <c r="AB226" s="25"/>
      <c r="AC226" s="25"/>
      <c r="AD226" s="6">
        <f t="shared" si="72"/>
        <v>9.5850000000000009</v>
      </c>
      <c r="AE226" s="6">
        <f t="shared" si="73"/>
        <v>26.029999999999998</v>
      </c>
      <c r="AF226" s="6">
        <f t="shared" si="74"/>
        <v>3.9449206570962021</v>
      </c>
      <c r="AG226" s="6">
        <f t="shared" si="75"/>
        <v>1.4109955603367934</v>
      </c>
      <c r="AH226" s="6">
        <f t="shared" si="84"/>
        <v>1.2669625483797042</v>
      </c>
      <c r="AI226" s="6">
        <f t="shared" si="85"/>
        <v>8.5181703835940814E-2</v>
      </c>
      <c r="AJ226" s="6">
        <f t="shared" si="86"/>
        <v>0.32979035134323698</v>
      </c>
      <c r="AK226" s="6">
        <f t="shared" si="87"/>
        <v>0.93717219703646726</v>
      </c>
      <c r="AL226" s="6">
        <f t="shared" si="76"/>
        <v>0.7228</v>
      </c>
      <c r="AM226" s="6">
        <v>11.5</v>
      </c>
      <c r="AN226" s="6">
        <f t="shared" si="88"/>
        <v>19.925483870967739</v>
      </c>
    </row>
    <row r="227" spans="1:40" x14ac:dyDescent="0.2">
      <c r="A227" s="1">
        <f t="shared" si="69"/>
        <v>222</v>
      </c>
      <c r="B227" s="2">
        <v>18.46</v>
      </c>
      <c r="C227" s="2">
        <v>83.946979166666651</v>
      </c>
      <c r="D227" s="2">
        <v>1.4994200000000002</v>
      </c>
      <c r="E227" s="2">
        <v>24.32</v>
      </c>
      <c r="F227" s="2">
        <v>100</v>
      </c>
      <c r="G227" s="2">
        <v>9.6418399999999984</v>
      </c>
      <c r="H227" s="2">
        <v>13.67</v>
      </c>
      <c r="I227" s="2">
        <v>45.35</v>
      </c>
      <c r="J227" s="2">
        <v>14.22</v>
      </c>
      <c r="K227" s="3">
        <v>1.2629999999999999</v>
      </c>
      <c r="L227" s="3">
        <v>-1.075156</v>
      </c>
      <c r="N227" s="6">
        <f t="shared" si="77"/>
        <v>1.8608963259451941</v>
      </c>
      <c r="O227" s="6">
        <f t="shared" si="78"/>
        <v>13.242277007388131</v>
      </c>
      <c r="P227" s="6">
        <f t="shared" si="79"/>
        <v>2.2914306451612898</v>
      </c>
      <c r="Q227" s="6">
        <f t="shared" si="71"/>
        <v>3.1298842740657129</v>
      </c>
      <c r="R227" s="6">
        <f t="shared" si="80"/>
        <v>3.2646573631437801</v>
      </c>
      <c r="S227" s="6">
        <f t="shared" si="81"/>
        <v>0.41195307085714272</v>
      </c>
      <c r="T227" s="6">
        <f t="shared" si="82"/>
        <v>2.6418409592035346</v>
      </c>
      <c r="U227" s="6">
        <f t="shared" si="83"/>
        <v>10.855667603140756</v>
      </c>
      <c r="X227" s="6"/>
      <c r="Y227" s="6"/>
      <c r="Z227" s="25"/>
      <c r="AA227" s="25"/>
      <c r="AB227" s="25"/>
      <c r="AC227" s="25"/>
      <c r="AD227" s="6">
        <f t="shared" si="72"/>
        <v>5.3250000000000002</v>
      </c>
      <c r="AE227" s="6">
        <f t="shared" si="73"/>
        <v>27.324999999999999</v>
      </c>
      <c r="AF227" s="6">
        <f t="shared" si="74"/>
        <v>2.5055510111717036</v>
      </c>
      <c r="AG227" s="6">
        <f t="shared" si="75"/>
        <v>1.3909403967375693</v>
      </c>
      <c r="AH227" s="6">
        <f t="shared" si="84"/>
        <v>0.55730530721706717</v>
      </c>
      <c r="AI227" s="6">
        <f t="shared" si="85"/>
        <v>3.8796632958317416E-2</v>
      </c>
      <c r="AJ227" s="6">
        <f t="shared" si="86"/>
        <v>0.15228367519706359</v>
      </c>
      <c r="AK227" s="6">
        <f t="shared" si="87"/>
        <v>0.40502163202000357</v>
      </c>
      <c r="AL227" s="6">
        <f t="shared" si="76"/>
        <v>0.66759999999999997</v>
      </c>
      <c r="AM227" s="6">
        <v>11.5</v>
      </c>
      <c r="AN227" s="6">
        <f t="shared" si="88"/>
        <v>19.925483870967739</v>
      </c>
    </row>
    <row r="228" spans="1:40" x14ac:dyDescent="0.2">
      <c r="A228" s="1">
        <f t="shared" si="69"/>
        <v>223</v>
      </c>
      <c r="B228" s="2">
        <v>12.78</v>
      </c>
      <c r="C228" s="2">
        <v>86.842920000000007</v>
      </c>
      <c r="D228" s="2">
        <v>1.3444166666666668</v>
      </c>
      <c r="E228" s="2">
        <v>18.079999999999998</v>
      </c>
      <c r="F228" s="2">
        <v>100</v>
      </c>
      <c r="G228" s="2">
        <v>5.0107200000000001</v>
      </c>
      <c r="H228" s="2">
        <v>8.51</v>
      </c>
      <c r="I228" s="2">
        <v>53.53</v>
      </c>
      <c r="J228" s="2">
        <v>14.73</v>
      </c>
      <c r="K228" s="3">
        <v>10.25</v>
      </c>
      <c r="L228" s="3">
        <v>4.0922720000000004</v>
      </c>
      <c r="N228" s="6">
        <f t="shared" si="77"/>
        <v>1.8608963259451941</v>
      </c>
      <c r="O228" s="6">
        <f t="shared" si="78"/>
        <v>13.242277007388131</v>
      </c>
      <c r="P228" s="6">
        <f t="shared" si="79"/>
        <v>2.2914306451612898</v>
      </c>
      <c r="Q228" s="6">
        <f t="shared" si="71"/>
        <v>2.5021833295342626</v>
      </c>
      <c r="R228" s="6">
        <f t="shared" si="80"/>
        <v>2.6099275613434849</v>
      </c>
      <c r="S228" s="6">
        <f t="shared" si="81"/>
        <v>3.0587991428571426</v>
      </c>
      <c r="T228" s="6">
        <f t="shared" si="82"/>
        <v>2.0392383560884393</v>
      </c>
      <c r="U228" s="6">
        <f t="shared" si="83"/>
        <v>4.0350285423756391</v>
      </c>
      <c r="X228" s="6"/>
      <c r="Y228" s="6"/>
      <c r="Z228" s="25"/>
      <c r="AA228" s="25"/>
      <c r="AB228" s="25"/>
      <c r="AC228" s="25"/>
      <c r="AD228" s="6">
        <f t="shared" si="72"/>
        <v>4.7849999999999993</v>
      </c>
      <c r="AE228" s="6">
        <f t="shared" si="73"/>
        <v>23.234999999999999</v>
      </c>
      <c r="AF228" s="6">
        <f t="shared" si="74"/>
        <v>1.784074105626523</v>
      </c>
      <c r="AG228" s="6">
        <f t="shared" si="75"/>
        <v>1.0292564375229374</v>
      </c>
      <c r="AH228" s="6">
        <f t="shared" si="84"/>
        <v>0.37740883405179282</v>
      </c>
      <c r="AI228" s="6">
        <f t="shared" si="85"/>
        <v>2.6390538633174587E-2</v>
      </c>
      <c r="AJ228" s="6">
        <f t="shared" si="86"/>
        <v>8.7690942591934051E-2</v>
      </c>
      <c r="AK228" s="6">
        <f t="shared" si="87"/>
        <v>0.28971789145985877</v>
      </c>
      <c r="AL228" s="6">
        <f t="shared" si="76"/>
        <v>0.61080000000000001</v>
      </c>
      <c r="AM228" s="6">
        <v>11.5</v>
      </c>
      <c r="AN228" s="6">
        <f t="shared" si="88"/>
        <v>19.925483870967739</v>
      </c>
    </row>
    <row r="229" spans="1:40" x14ac:dyDescent="0.2">
      <c r="A229" s="1">
        <f t="shared" si="69"/>
        <v>224</v>
      </c>
      <c r="B229" s="2">
        <v>13.07</v>
      </c>
      <c r="C229" s="2">
        <v>72.078649999999996</v>
      </c>
      <c r="D229" s="2">
        <v>0.70542333333333329</v>
      </c>
      <c r="E229" s="2">
        <v>22.6</v>
      </c>
      <c r="F229" s="2">
        <v>100</v>
      </c>
      <c r="G229" s="2">
        <v>4.4033600000000002</v>
      </c>
      <c r="H229" s="2">
        <v>4.3070000000000004</v>
      </c>
      <c r="I229" s="2">
        <v>27.21</v>
      </c>
      <c r="J229" s="2">
        <v>0.254</v>
      </c>
      <c r="K229" s="3">
        <v>18.12</v>
      </c>
      <c r="L229" s="3">
        <v>7.1465649999999998</v>
      </c>
      <c r="N229" s="6">
        <f t="shared" si="77"/>
        <v>1.8608963259451941</v>
      </c>
      <c r="O229" s="6">
        <f t="shared" si="78"/>
        <v>13.242277007388131</v>
      </c>
      <c r="P229" s="6">
        <f t="shared" si="79"/>
        <v>2.2914306451612898</v>
      </c>
      <c r="Q229" s="6">
        <f t="shared" si="71"/>
        <v>3.4922455533743255</v>
      </c>
      <c r="R229" s="6">
        <f t="shared" si="80"/>
        <v>3.6426219506575435</v>
      </c>
      <c r="S229" s="6">
        <f t="shared" si="81"/>
        <v>5.4330334971428558</v>
      </c>
      <c r="T229" s="6">
        <f t="shared" si="82"/>
        <v>3.713403954006063</v>
      </c>
      <c r="U229" s="6">
        <f t="shared" si="83"/>
        <v>4.2991473605659341</v>
      </c>
      <c r="X229" s="6"/>
      <c r="Y229" s="6"/>
      <c r="Z229" s="25"/>
      <c r="AA229" s="25"/>
      <c r="AB229" s="25"/>
      <c r="AC229" s="25"/>
      <c r="AD229" s="6">
        <f t="shared" si="72"/>
        <v>9.1464999999999996</v>
      </c>
      <c r="AE229" s="6">
        <f t="shared" si="73"/>
        <v>36.394999999999996</v>
      </c>
      <c r="AF229" s="6">
        <f t="shared" si="74"/>
        <v>2.2849140521524474</v>
      </c>
      <c r="AG229" s="6">
        <f t="shared" si="75"/>
        <v>0.79873322223150156</v>
      </c>
      <c r="AH229" s="6">
        <f t="shared" si="84"/>
        <v>0.7430904149604729</v>
      </c>
      <c r="AI229" s="6">
        <f t="shared" si="85"/>
        <v>5.0138149850795316E-2</v>
      </c>
      <c r="AJ229" s="6">
        <f t="shared" si="86"/>
        <v>0.27044775652486408</v>
      </c>
      <c r="AK229" s="6">
        <f t="shared" si="87"/>
        <v>0.47264265843560882</v>
      </c>
      <c r="AL229" s="6">
        <f t="shared" si="76"/>
        <v>0.61370000000000002</v>
      </c>
      <c r="AM229" s="6">
        <v>11.5</v>
      </c>
      <c r="AN229" s="6">
        <f t="shared" si="88"/>
        <v>19.925483870967739</v>
      </c>
    </row>
    <row r="230" spans="1:40" x14ac:dyDescent="0.2">
      <c r="A230" s="1">
        <f t="shared" ref="A230:A293" si="89">A229+1</f>
        <v>225</v>
      </c>
      <c r="B230" s="2">
        <v>14.63</v>
      </c>
      <c r="C230" s="2">
        <v>58.822187500000005</v>
      </c>
      <c r="D230" s="2">
        <v>1.6449333333333331</v>
      </c>
      <c r="E230" s="2">
        <v>22.63</v>
      </c>
      <c r="F230" s="2">
        <v>97.1</v>
      </c>
      <c r="G230" s="2">
        <v>6.225439999999999</v>
      </c>
      <c r="H230" s="2">
        <v>7.7469999999999999</v>
      </c>
      <c r="I230" s="2">
        <v>18.649999999999999</v>
      </c>
      <c r="J230" s="2">
        <v>0</v>
      </c>
      <c r="K230" s="3">
        <v>18.23</v>
      </c>
      <c r="L230" s="3">
        <v>7.1640009999999998</v>
      </c>
      <c r="N230" s="6">
        <f t="shared" si="77"/>
        <v>1.8608963259451941</v>
      </c>
      <c r="O230" s="6">
        <f t="shared" si="78"/>
        <v>13.242277007388131</v>
      </c>
      <c r="P230" s="6">
        <f t="shared" si="79"/>
        <v>2.2914306451612898</v>
      </c>
      <c r="Q230" s="6">
        <f t="shared" si="71"/>
        <v>3.309160760735173</v>
      </c>
      <c r="R230" s="6">
        <f t="shared" si="80"/>
        <v>3.4516535109226649</v>
      </c>
      <c r="S230" s="6">
        <f t="shared" si="81"/>
        <v>5.6049593399999997</v>
      </c>
      <c r="T230" s="6">
        <f t="shared" si="82"/>
        <v>3.380302870662856</v>
      </c>
      <c r="U230" s="6">
        <f t="shared" si="83"/>
        <v>5.8482287060596745</v>
      </c>
      <c r="X230" s="6"/>
      <c r="Y230" s="6"/>
      <c r="Z230" s="25"/>
      <c r="AA230" s="25"/>
      <c r="AB230" s="25"/>
      <c r="AC230" s="25"/>
      <c r="AD230" s="6">
        <f t="shared" si="72"/>
        <v>7.4414999999999996</v>
      </c>
      <c r="AE230" s="6">
        <f t="shared" si="73"/>
        <v>39.224999999999994</v>
      </c>
      <c r="AF230" s="6">
        <f t="shared" si="74"/>
        <v>2.2886116946299206</v>
      </c>
      <c r="AG230" s="6">
        <f t="shared" si="75"/>
        <v>0.98350618240396159</v>
      </c>
      <c r="AH230" s="6">
        <f t="shared" si="84"/>
        <v>0.65255275611297958</v>
      </c>
      <c r="AI230" s="6">
        <f t="shared" si="85"/>
        <v>4.4644950669746254E-2</v>
      </c>
      <c r="AJ230" s="6">
        <f t="shared" si="86"/>
        <v>0.25596381858531619</v>
      </c>
      <c r="AK230" s="6">
        <f t="shared" si="87"/>
        <v>0.39658893752766339</v>
      </c>
      <c r="AL230" s="6">
        <f t="shared" si="76"/>
        <v>0.62929999999999997</v>
      </c>
      <c r="AM230" s="6">
        <v>11.5</v>
      </c>
      <c r="AN230" s="6">
        <f t="shared" si="88"/>
        <v>19.925483870967739</v>
      </c>
    </row>
    <row r="231" spans="1:40" x14ac:dyDescent="0.2">
      <c r="A231" s="1">
        <f t="shared" si="89"/>
        <v>226</v>
      </c>
      <c r="B231" s="2">
        <v>13.44</v>
      </c>
      <c r="C231" s="2">
        <v>62.952916666666653</v>
      </c>
      <c r="D231" s="2">
        <v>2.198516666666666</v>
      </c>
      <c r="E231" s="2">
        <v>21.49</v>
      </c>
      <c r="F231" s="2">
        <v>85.6</v>
      </c>
      <c r="G231" s="2">
        <v>7.8197600000000005</v>
      </c>
      <c r="H231" s="2">
        <v>7.6520000000000001</v>
      </c>
      <c r="I231" s="2">
        <v>35.08</v>
      </c>
      <c r="J231" s="2">
        <v>0</v>
      </c>
      <c r="K231" s="3">
        <v>18.7</v>
      </c>
      <c r="L231" s="3">
        <v>6.7797489999999998</v>
      </c>
      <c r="N231" s="6">
        <f t="shared" si="77"/>
        <v>1.8608963259451941</v>
      </c>
      <c r="O231" s="6">
        <f t="shared" si="78"/>
        <v>13.242277007388131</v>
      </c>
      <c r="P231" s="6">
        <f t="shared" si="79"/>
        <v>2.2914306451612898</v>
      </c>
      <c r="Q231" s="6">
        <f t="shared" si="71"/>
        <v>3.0737841350553152</v>
      </c>
      <c r="R231" s="6">
        <f t="shared" si="80"/>
        <v>3.2061415472680141</v>
      </c>
      <c r="S231" s="6">
        <f t="shared" si="81"/>
        <v>5.6407427999999982</v>
      </c>
      <c r="T231" s="6">
        <f t="shared" si="82"/>
        <v>3.6447013644896495</v>
      </c>
      <c r="U231" s="6">
        <f t="shared" si="83"/>
        <v>4.645459862166736</v>
      </c>
      <c r="X231" s="6"/>
      <c r="Y231" s="6"/>
      <c r="Z231" s="25"/>
      <c r="AA231" s="25"/>
      <c r="AB231" s="25"/>
      <c r="AC231" s="25"/>
      <c r="AD231" s="6">
        <f t="shared" si="72"/>
        <v>6.9189999999999987</v>
      </c>
      <c r="AE231" s="6">
        <f t="shared" si="73"/>
        <v>25.259999999999998</v>
      </c>
      <c r="AF231" s="6">
        <f t="shared" si="74"/>
        <v>2.1517229442253352</v>
      </c>
      <c r="AG231" s="6">
        <f t="shared" si="75"/>
        <v>0.97793722716520004</v>
      </c>
      <c r="AH231" s="6">
        <f t="shared" si="84"/>
        <v>0.58689285853006756</v>
      </c>
      <c r="AI231" s="6">
        <f t="shared" si="85"/>
        <v>4.0324768402165458E-2</v>
      </c>
      <c r="AJ231" s="6">
        <f t="shared" si="86"/>
        <v>0.14824913606469506</v>
      </c>
      <c r="AK231" s="6">
        <f t="shared" si="87"/>
        <v>0.43864372246537253</v>
      </c>
      <c r="AL231" s="6">
        <f t="shared" si="76"/>
        <v>0.61739999999999995</v>
      </c>
      <c r="AM231" s="6">
        <v>11.5</v>
      </c>
      <c r="AN231" s="6">
        <f t="shared" si="88"/>
        <v>19.925483870967739</v>
      </c>
    </row>
    <row r="232" spans="1:40" x14ac:dyDescent="0.2">
      <c r="A232" s="1">
        <f t="shared" si="89"/>
        <v>227</v>
      </c>
      <c r="B232" s="2">
        <v>15.47</v>
      </c>
      <c r="C232" s="2">
        <v>65.824375000000018</v>
      </c>
      <c r="D232" s="2">
        <v>0.85726333333333327</v>
      </c>
      <c r="E232" s="2">
        <v>28.11</v>
      </c>
      <c r="F232" s="2">
        <v>100</v>
      </c>
      <c r="G232" s="2">
        <v>3.5682399999999999</v>
      </c>
      <c r="H232" s="2">
        <v>5.0259999999999998</v>
      </c>
      <c r="I232" s="2">
        <v>23.75</v>
      </c>
      <c r="J232" s="2">
        <v>0</v>
      </c>
      <c r="K232" s="3">
        <v>17.8</v>
      </c>
      <c r="L232" s="3">
        <v>7.158868</v>
      </c>
      <c r="N232" s="6">
        <f t="shared" si="77"/>
        <v>1.8608963259451941</v>
      </c>
      <c r="O232" s="6">
        <f t="shared" si="78"/>
        <v>13.242277007388131</v>
      </c>
      <c r="P232" s="6">
        <f t="shared" si="79"/>
        <v>2.2914306451612898</v>
      </c>
      <c r="Q232" s="6">
        <f t="shared" si="71"/>
        <v>4.2279905705935317</v>
      </c>
      <c r="R232" s="6">
        <f t="shared" si="80"/>
        <v>4.4100482123131837</v>
      </c>
      <c r="S232" s="6">
        <f t="shared" si="81"/>
        <v>5.5458035999999993</v>
      </c>
      <c r="T232" s="6">
        <f t="shared" si="82"/>
        <v>4.6798592896180589</v>
      </c>
      <c r="U232" s="6">
        <f t="shared" si="83"/>
        <v>6.788184141993467</v>
      </c>
      <c r="X232" s="6"/>
      <c r="Y232" s="6"/>
      <c r="Z232" s="25"/>
      <c r="AA232" s="25"/>
      <c r="AB232" s="25"/>
      <c r="AC232" s="25"/>
      <c r="AD232" s="6">
        <f t="shared" si="72"/>
        <v>11.542</v>
      </c>
      <c r="AE232" s="6">
        <f t="shared" si="73"/>
        <v>38.125</v>
      </c>
      <c r="AF232" s="6">
        <f t="shared" si="74"/>
        <v>3.0584665593311642</v>
      </c>
      <c r="AG232" s="6">
        <f t="shared" si="75"/>
        <v>0.8345952647195416</v>
      </c>
      <c r="AH232" s="6">
        <f t="shared" si="84"/>
        <v>1.1119356473058113</v>
      </c>
      <c r="AI232" s="6">
        <f t="shared" si="85"/>
        <v>7.3587532572587419E-2</v>
      </c>
      <c r="AJ232" s="6">
        <f t="shared" si="86"/>
        <v>0.42392546553534055</v>
      </c>
      <c r="AK232" s="6">
        <f t="shared" si="87"/>
        <v>0.68801018177047069</v>
      </c>
      <c r="AL232" s="6">
        <f t="shared" si="76"/>
        <v>0.63769999999999993</v>
      </c>
      <c r="AM232" s="6">
        <v>11.5</v>
      </c>
      <c r="AN232" s="6">
        <f t="shared" si="88"/>
        <v>19.925483870967739</v>
      </c>
    </row>
    <row r="233" spans="1:40" x14ac:dyDescent="0.2">
      <c r="A233" s="1">
        <f t="shared" si="89"/>
        <v>228</v>
      </c>
      <c r="B233" s="2">
        <v>20.28</v>
      </c>
      <c r="C233" s="2">
        <v>60.293750000000017</v>
      </c>
      <c r="D233" s="2">
        <v>1.5025833333333336</v>
      </c>
      <c r="E233" s="2">
        <v>31.85</v>
      </c>
      <c r="F233" s="2">
        <v>96.6</v>
      </c>
      <c r="G233" s="2">
        <v>5.0107200000000001</v>
      </c>
      <c r="H233" s="2">
        <v>9.18</v>
      </c>
      <c r="I233" s="2">
        <v>28.51</v>
      </c>
      <c r="J233" s="2">
        <v>0</v>
      </c>
      <c r="K233" s="3">
        <v>18.11</v>
      </c>
      <c r="L233" s="3">
        <v>8.3418919999999996</v>
      </c>
      <c r="N233" s="6">
        <f t="shared" si="77"/>
        <v>1.8608963259451941</v>
      </c>
      <c r="O233" s="6">
        <f t="shared" si="78"/>
        <v>13.242277007388131</v>
      </c>
      <c r="P233" s="6">
        <f t="shared" si="79"/>
        <v>2.2914306451612898</v>
      </c>
      <c r="Q233" s="6">
        <f t="shared" si="71"/>
        <v>4.7956599005529483</v>
      </c>
      <c r="R233" s="6">
        <f t="shared" si="80"/>
        <v>5.0021614329964343</v>
      </c>
      <c r="S233" s="6">
        <f t="shared" si="81"/>
        <v>6.0679779942857142</v>
      </c>
      <c r="T233" s="6">
        <f t="shared" si="82"/>
        <v>5.7483808721865586</v>
      </c>
      <c r="U233" s="6">
        <f t="shared" si="83"/>
        <v>13.981561374948617</v>
      </c>
      <c r="X233" s="6"/>
      <c r="Y233" s="6"/>
      <c r="Z233" s="25"/>
      <c r="AA233" s="25"/>
      <c r="AB233" s="25"/>
      <c r="AC233" s="25"/>
      <c r="AD233" s="6">
        <f t="shared" si="72"/>
        <v>11.335000000000001</v>
      </c>
      <c r="AE233" s="6">
        <f t="shared" si="73"/>
        <v>34.044999999999995</v>
      </c>
      <c r="AF233" s="6">
        <f t="shared" si="74"/>
        <v>3.7055522566442769</v>
      </c>
      <c r="AG233" s="6">
        <f t="shared" si="75"/>
        <v>1.0709650047874348</v>
      </c>
      <c r="AH233" s="6">
        <f t="shared" si="84"/>
        <v>1.3172936259284209</v>
      </c>
      <c r="AI233" s="6">
        <f t="shared" si="85"/>
        <v>8.7323275385528171E-2</v>
      </c>
      <c r="AJ233" s="6">
        <f t="shared" si="86"/>
        <v>0.44847261494733082</v>
      </c>
      <c r="AK233" s="6">
        <f t="shared" si="87"/>
        <v>0.8688210109810901</v>
      </c>
      <c r="AL233" s="6">
        <f t="shared" si="76"/>
        <v>0.68579999999999997</v>
      </c>
      <c r="AM233" s="6">
        <v>11.5</v>
      </c>
      <c r="AN233" s="6">
        <f t="shared" si="88"/>
        <v>19.925483870967739</v>
      </c>
    </row>
    <row r="234" spans="1:40" x14ac:dyDescent="0.2">
      <c r="A234" s="1">
        <f t="shared" si="89"/>
        <v>229</v>
      </c>
      <c r="B234" s="2">
        <v>22.5</v>
      </c>
      <c r="C234" s="2">
        <v>57.908854166666657</v>
      </c>
      <c r="D234" s="2">
        <v>1.39503</v>
      </c>
      <c r="E234" s="2">
        <v>33.299999999999997</v>
      </c>
      <c r="F234" s="2">
        <v>94.2</v>
      </c>
      <c r="G234" s="2">
        <v>4.0237600000000002</v>
      </c>
      <c r="H234" s="2">
        <v>12.57</v>
      </c>
      <c r="I234" s="2">
        <v>22.32</v>
      </c>
      <c r="J234" s="2">
        <v>0</v>
      </c>
      <c r="K234" s="3">
        <v>18.100000000000001</v>
      </c>
      <c r="L234" s="3">
        <v>8.2059650000000008</v>
      </c>
      <c r="N234" s="6">
        <f t="shared" si="77"/>
        <v>1.8608963259451941</v>
      </c>
      <c r="O234" s="6">
        <f t="shared" si="78"/>
        <v>13.242277007388131</v>
      </c>
      <c r="P234" s="6">
        <f t="shared" si="79"/>
        <v>2.2914306451612898</v>
      </c>
      <c r="Q234" s="6">
        <f t="shared" si="71"/>
        <v>4.8532244131282702</v>
      </c>
      <c r="R234" s="6">
        <f t="shared" si="80"/>
        <v>5.0622046784902013</v>
      </c>
      <c r="S234" s="6">
        <f t="shared" si="81"/>
        <v>6.2609451428571425</v>
      </c>
      <c r="T234" s="6">
        <f t="shared" si="82"/>
        <v>5.5277269821010124</v>
      </c>
      <c r="U234" s="6">
        <f t="shared" si="83"/>
        <v>18.554156006965197</v>
      </c>
      <c r="X234" s="6"/>
      <c r="Y234" s="6"/>
      <c r="Z234" s="25"/>
      <c r="AA234" s="25"/>
      <c r="AB234" s="25"/>
      <c r="AC234" s="25"/>
      <c r="AD234" s="6">
        <f t="shared" si="72"/>
        <v>10.364999999999998</v>
      </c>
      <c r="AE234" s="6">
        <f t="shared" si="73"/>
        <v>35.94</v>
      </c>
      <c r="AF234" s="6">
        <f t="shared" si="74"/>
        <v>3.9867634365677822</v>
      </c>
      <c r="AG234" s="6">
        <f t="shared" si="75"/>
        <v>1.3056415988878651</v>
      </c>
      <c r="AH234" s="6">
        <f t="shared" si="84"/>
        <v>1.3405609188399585</v>
      </c>
      <c r="AI234" s="6">
        <f t="shared" si="85"/>
        <v>8.9563124397346136E-2</v>
      </c>
      <c r="AJ234" s="6">
        <f t="shared" si="86"/>
        <v>0.48179759423108109</v>
      </c>
      <c r="AK234" s="6">
        <f t="shared" si="87"/>
        <v>0.8587633246088775</v>
      </c>
      <c r="AL234" s="6">
        <f t="shared" si="76"/>
        <v>0.70799999999999996</v>
      </c>
      <c r="AM234" s="6">
        <v>11.5</v>
      </c>
      <c r="AN234" s="6">
        <f t="shared" si="88"/>
        <v>19.925483870967739</v>
      </c>
    </row>
    <row r="235" spans="1:40" x14ac:dyDescent="0.2">
      <c r="A235" s="1">
        <f t="shared" si="89"/>
        <v>230</v>
      </c>
      <c r="B235" s="2">
        <v>22.49</v>
      </c>
      <c r="C235" s="2">
        <v>55.546149999999997</v>
      </c>
      <c r="D235" s="2">
        <v>1.4551333333333334</v>
      </c>
      <c r="E235" s="2">
        <v>33.869999999999997</v>
      </c>
      <c r="F235" s="2">
        <v>96</v>
      </c>
      <c r="G235" s="2">
        <v>5.7699199999999999</v>
      </c>
      <c r="H235" s="2">
        <v>12.38</v>
      </c>
      <c r="I235" s="2">
        <v>14.28</v>
      </c>
      <c r="J235" s="2">
        <v>0</v>
      </c>
      <c r="K235" s="3">
        <v>17.809999999999999</v>
      </c>
      <c r="L235" s="3">
        <v>7.5607230000000003</v>
      </c>
      <c r="N235" s="6">
        <f t="shared" si="77"/>
        <v>1.8608963259451941</v>
      </c>
      <c r="O235" s="6">
        <f t="shared" si="78"/>
        <v>13.242277007388131</v>
      </c>
      <c r="P235" s="6">
        <f t="shared" si="79"/>
        <v>2.2914306451612898</v>
      </c>
      <c r="Q235" s="6">
        <f t="shared" si="71"/>
        <v>4.9401615537464627</v>
      </c>
      <c r="R235" s="6">
        <f t="shared" si="80"/>
        <v>5.1528853399451906</v>
      </c>
      <c r="S235" s="6">
        <f t="shared" si="81"/>
        <v>6.1597615114285711</v>
      </c>
      <c r="T235" s="6">
        <f t="shared" si="82"/>
        <v>5.7264162480156555</v>
      </c>
      <c r="U235" s="6">
        <f t="shared" si="83"/>
        <v>18.532759378237778</v>
      </c>
      <c r="X235" s="6"/>
      <c r="Y235" s="6"/>
      <c r="Z235" s="25"/>
      <c r="AA235" s="25"/>
      <c r="AB235" s="25"/>
      <c r="AC235" s="25"/>
      <c r="AD235" s="6">
        <f t="shared" si="72"/>
        <v>10.744999999999997</v>
      </c>
      <c r="AE235" s="6">
        <f t="shared" si="73"/>
        <v>40.86</v>
      </c>
      <c r="AF235" s="6">
        <f t="shared" si="74"/>
        <v>4.1022891405868602</v>
      </c>
      <c r="AG235" s="6">
        <f t="shared" si="75"/>
        <v>1.2913834369486838</v>
      </c>
      <c r="AH235" s="6">
        <f t="shared" si="84"/>
        <v>1.4054528518190881</v>
      </c>
      <c r="AI235" s="6">
        <f t="shared" si="85"/>
        <v>9.3611085421526491E-2</v>
      </c>
      <c r="AJ235" s="6">
        <f t="shared" si="86"/>
        <v>0.57426803525327941</v>
      </c>
      <c r="AK235" s="6">
        <f t="shared" si="87"/>
        <v>0.83118481656580867</v>
      </c>
      <c r="AL235" s="6">
        <f t="shared" si="76"/>
        <v>0.70789999999999997</v>
      </c>
      <c r="AM235" s="6">
        <v>11.5</v>
      </c>
      <c r="AN235" s="6">
        <f t="shared" si="88"/>
        <v>19.925483870967739</v>
      </c>
    </row>
    <row r="236" spans="1:40" x14ac:dyDescent="0.2">
      <c r="A236" s="1">
        <f t="shared" si="89"/>
        <v>231</v>
      </c>
      <c r="B236" s="2">
        <v>22.51</v>
      </c>
      <c r="C236" s="2">
        <v>52.634059999999998</v>
      </c>
      <c r="D236" s="2">
        <v>1.2558433333333332</v>
      </c>
      <c r="E236" s="2">
        <v>34.07</v>
      </c>
      <c r="F236" s="2">
        <v>93.5</v>
      </c>
      <c r="G236" s="2">
        <v>4.7070400000000001</v>
      </c>
      <c r="H236" s="2">
        <v>11.67</v>
      </c>
      <c r="I236" s="2">
        <v>19.72</v>
      </c>
      <c r="J236" s="2">
        <v>0</v>
      </c>
      <c r="K236" s="3">
        <v>18.62</v>
      </c>
      <c r="L236" s="3">
        <v>8.1878960000000003</v>
      </c>
      <c r="N236" s="6">
        <f t="shared" si="77"/>
        <v>1.8608963259451941</v>
      </c>
      <c r="O236" s="6">
        <f t="shared" si="78"/>
        <v>13.242277007388131</v>
      </c>
      <c r="P236" s="6">
        <f t="shared" si="79"/>
        <v>2.2914306451612898</v>
      </c>
      <c r="Q236" s="6">
        <f t="shared" si="71"/>
        <v>5.0461770453607349</v>
      </c>
      <c r="R236" s="6">
        <f t="shared" si="80"/>
        <v>5.2634658678495825</v>
      </c>
      <c r="S236" s="6">
        <f t="shared" si="81"/>
        <v>6.4417273199999991</v>
      </c>
      <c r="T236" s="6">
        <f t="shared" si="82"/>
        <v>5.980546609844291</v>
      </c>
      <c r="U236" s="6">
        <f t="shared" si="83"/>
        <v>18.579717911484245</v>
      </c>
      <c r="X236" s="6"/>
      <c r="Y236" s="6"/>
      <c r="Z236" s="25"/>
      <c r="AA236" s="25"/>
      <c r="AB236" s="25"/>
      <c r="AC236" s="25"/>
      <c r="AD236" s="6">
        <f t="shared" si="72"/>
        <v>11.2</v>
      </c>
      <c r="AE236" s="6">
        <f t="shared" si="73"/>
        <v>36.89</v>
      </c>
      <c r="AF236" s="6">
        <f t="shared" si="74"/>
        <v>4.1435088935592912</v>
      </c>
      <c r="AG236" s="6">
        <f t="shared" si="75"/>
        <v>1.2393067173127066</v>
      </c>
      <c r="AH236" s="6">
        <f t="shared" si="84"/>
        <v>1.4521010881232923</v>
      </c>
      <c r="AI236" s="6">
        <f t="shared" si="85"/>
        <v>9.6364266227210366E-2</v>
      </c>
      <c r="AJ236" s="6">
        <f t="shared" si="86"/>
        <v>0.53568009140868256</v>
      </c>
      <c r="AK236" s="6">
        <f t="shared" si="87"/>
        <v>0.91642099671460975</v>
      </c>
      <c r="AL236" s="6">
        <f t="shared" si="76"/>
        <v>0.70809999999999995</v>
      </c>
      <c r="AM236" s="6">
        <v>11.5</v>
      </c>
      <c r="AN236" s="6">
        <f t="shared" si="88"/>
        <v>19.925483870967739</v>
      </c>
    </row>
    <row r="237" spans="1:40" x14ac:dyDescent="0.2">
      <c r="A237" s="1">
        <f t="shared" si="89"/>
        <v>232</v>
      </c>
      <c r="B237" s="2">
        <v>23.43</v>
      </c>
      <c r="C237" s="2">
        <v>49.45677083333333</v>
      </c>
      <c r="D237" s="2">
        <v>1.3570699999999998</v>
      </c>
      <c r="E237" s="2">
        <v>34.46</v>
      </c>
      <c r="F237" s="2">
        <v>90.3</v>
      </c>
      <c r="G237" s="2">
        <v>4.4792800000000002</v>
      </c>
      <c r="H237" s="2">
        <v>12.82</v>
      </c>
      <c r="I237" s="2">
        <v>17.940000000000001</v>
      </c>
      <c r="J237" s="2">
        <v>0</v>
      </c>
      <c r="K237" s="3">
        <v>18.420000000000002</v>
      </c>
      <c r="L237" s="3">
        <v>8.1850500000000004</v>
      </c>
      <c r="N237" s="6">
        <f t="shared" si="77"/>
        <v>1.8608963259451941</v>
      </c>
      <c r="O237" s="6">
        <f t="shared" si="78"/>
        <v>13.242277007388131</v>
      </c>
      <c r="P237" s="6">
        <f t="shared" si="79"/>
        <v>2.2914306451612898</v>
      </c>
      <c r="Q237" s="6">
        <f t="shared" si="71"/>
        <v>5.0730324391260799</v>
      </c>
      <c r="R237" s="6">
        <f t="shared" si="80"/>
        <v>5.2914776572063404</v>
      </c>
      <c r="S237" s="6">
        <f t="shared" si="81"/>
        <v>6.4553311028571434</v>
      </c>
      <c r="T237" s="6">
        <f t="shared" si="82"/>
        <v>5.9393227130646107</v>
      </c>
      <c r="U237" s="6">
        <f t="shared" si="83"/>
        <v>20.756754939176254</v>
      </c>
      <c r="X237" s="6"/>
      <c r="Y237" s="6"/>
      <c r="Z237" s="25"/>
      <c r="AA237" s="25"/>
      <c r="AB237" s="25"/>
      <c r="AC237" s="25"/>
      <c r="AD237" s="6">
        <f t="shared" si="72"/>
        <v>10.82</v>
      </c>
      <c r="AE237" s="6">
        <f t="shared" si="73"/>
        <v>36.18</v>
      </c>
      <c r="AF237" s="6">
        <f t="shared" si="74"/>
        <v>4.2249245650501379</v>
      </c>
      <c r="AG237" s="6">
        <f t="shared" si="75"/>
        <v>1.324613028579479</v>
      </c>
      <c r="AH237" s="6">
        <f t="shared" si="84"/>
        <v>1.4501557682353294</v>
      </c>
      <c r="AI237" s="6">
        <f t="shared" si="85"/>
        <v>9.6530168323610402E-2</v>
      </c>
      <c r="AJ237" s="6">
        <f t="shared" si="86"/>
        <v>0.52466635694754216</v>
      </c>
      <c r="AK237" s="6">
        <f t="shared" si="87"/>
        <v>0.92548941128778728</v>
      </c>
      <c r="AL237" s="6">
        <f t="shared" si="76"/>
        <v>0.71730000000000005</v>
      </c>
      <c r="AM237" s="6">
        <v>11.5</v>
      </c>
      <c r="AN237" s="6">
        <f t="shared" si="88"/>
        <v>19.925483870967739</v>
      </c>
    </row>
    <row r="238" spans="1:40" x14ac:dyDescent="0.2">
      <c r="A238" s="1">
        <f t="shared" si="89"/>
        <v>233</v>
      </c>
      <c r="B238" s="2">
        <v>23.68</v>
      </c>
      <c r="C238" s="2">
        <v>51.622083333333343</v>
      </c>
      <c r="D238" s="2">
        <v>1.5120733333333332</v>
      </c>
      <c r="E238" s="2">
        <v>34.549999999999997</v>
      </c>
      <c r="F238" s="2">
        <v>86.8</v>
      </c>
      <c r="G238" s="2">
        <v>6.6050399999999989</v>
      </c>
      <c r="H238" s="2">
        <v>13.53</v>
      </c>
      <c r="I238" s="2">
        <v>15.06</v>
      </c>
      <c r="J238" s="2">
        <v>0</v>
      </c>
      <c r="K238" s="3">
        <v>18.559999999999999</v>
      </c>
      <c r="L238" s="3">
        <v>7.8640850000000002</v>
      </c>
      <c r="N238" s="6">
        <f t="shared" si="77"/>
        <v>1.8608963259451941</v>
      </c>
      <c r="O238" s="6">
        <f t="shared" si="78"/>
        <v>13.242277007388131</v>
      </c>
      <c r="P238" s="6">
        <f t="shared" si="79"/>
        <v>2.2914306451612898</v>
      </c>
      <c r="Q238" s="6">
        <f t="shared" si="71"/>
        <v>5.0301481925031108</v>
      </c>
      <c r="R238" s="6">
        <f t="shared" si="80"/>
        <v>5.2467468111937219</v>
      </c>
      <c r="S238" s="6">
        <f t="shared" si="81"/>
        <v>6.5270641371428555</v>
      </c>
      <c r="T238" s="6">
        <f t="shared" si="82"/>
        <v>6.3344215403413138</v>
      </c>
      <c r="U238" s="6">
        <f t="shared" si="83"/>
        <v>21.377116013030768</v>
      </c>
      <c r="X238" s="6"/>
      <c r="Y238" s="6"/>
      <c r="Z238" s="25"/>
      <c r="AA238" s="25"/>
      <c r="AB238" s="25"/>
      <c r="AC238" s="25"/>
      <c r="AD238" s="6">
        <f t="shared" si="72"/>
        <v>10.509999999999998</v>
      </c>
      <c r="AE238" s="6">
        <f t="shared" si="73"/>
        <v>35.869999999999997</v>
      </c>
      <c r="AF238" s="6">
        <f t="shared" si="74"/>
        <v>4.2439091297432698</v>
      </c>
      <c r="AG238" s="6">
        <f t="shared" si="75"/>
        <v>1.379819237149706</v>
      </c>
      <c r="AH238" s="6">
        <f t="shared" si="84"/>
        <v>1.4320449462967819</v>
      </c>
      <c r="AI238" s="6">
        <f t="shared" si="85"/>
        <v>9.5563258024304237E-2</v>
      </c>
      <c r="AJ238" s="6">
        <f t="shared" si="86"/>
        <v>0.51367452223665566</v>
      </c>
      <c r="AK238" s="6">
        <f t="shared" si="87"/>
        <v>0.91837042406012626</v>
      </c>
      <c r="AL238" s="6">
        <f t="shared" si="76"/>
        <v>0.7198</v>
      </c>
      <c r="AM238" s="6">
        <v>11.5</v>
      </c>
      <c r="AN238" s="6">
        <f t="shared" si="88"/>
        <v>19.925483870967739</v>
      </c>
    </row>
    <row r="239" spans="1:40" x14ac:dyDescent="0.2">
      <c r="A239" s="1">
        <f t="shared" si="89"/>
        <v>234</v>
      </c>
      <c r="B239" s="2">
        <v>22.75</v>
      </c>
      <c r="C239" s="2">
        <v>60.789687500000035</v>
      </c>
      <c r="D239" s="2">
        <v>1.417173333333333</v>
      </c>
      <c r="E239" s="2">
        <v>33.44</v>
      </c>
      <c r="F239" s="2">
        <v>98.2</v>
      </c>
      <c r="G239" s="2">
        <v>6.3013600000000007</v>
      </c>
      <c r="H239" s="2">
        <v>14.3</v>
      </c>
      <c r="I239" s="2">
        <v>20.88</v>
      </c>
      <c r="J239" s="2">
        <v>0</v>
      </c>
      <c r="K239" s="3">
        <v>17.82</v>
      </c>
      <c r="L239" s="3">
        <v>7.6790710000000004</v>
      </c>
      <c r="N239" s="6">
        <f t="shared" si="77"/>
        <v>1.8608963259451941</v>
      </c>
      <c r="O239" s="6">
        <f t="shared" si="78"/>
        <v>13.242277007388131</v>
      </c>
      <c r="P239" s="6">
        <f t="shared" si="79"/>
        <v>2.2914306451612898</v>
      </c>
      <c r="Q239" s="6">
        <f t="shared" si="71"/>
        <v>4.6923187013388823</v>
      </c>
      <c r="R239" s="6">
        <f t="shared" si="80"/>
        <v>4.8943703527556108</v>
      </c>
      <c r="S239" s="6">
        <f t="shared" si="81"/>
        <v>6.1858565999999993</v>
      </c>
      <c r="T239" s="6">
        <f t="shared" si="82"/>
        <v>5.6076209063499025</v>
      </c>
      <c r="U239" s="6">
        <f t="shared" si="83"/>
        <v>19.126009866478348</v>
      </c>
      <c r="X239" s="6"/>
      <c r="Y239" s="6"/>
      <c r="Z239" s="25"/>
      <c r="AA239" s="25"/>
      <c r="AB239" s="25"/>
      <c r="AC239" s="25"/>
      <c r="AD239" s="6">
        <f t="shared" si="72"/>
        <v>9.5699999999999985</v>
      </c>
      <c r="AE239" s="6">
        <f t="shared" si="73"/>
        <v>38.660000000000004</v>
      </c>
      <c r="AF239" s="6">
        <f t="shared" si="74"/>
        <v>4.0148726744385588</v>
      </c>
      <c r="AG239" s="6">
        <f t="shared" si="75"/>
        <v>1.4419658640582365</v>
      </c>
      <c r="AH239" s="6">
        <f t="shared" si="84"/>
        <v>1.2864534051901613</v>
      </c>
      <c r="AI239" s="6">
        <f t="shared" si="85"/>
        <v>8.6502643746923055E-2</v>
      </c>
      <c r="AJ239" s="6">
        <f t="shared" si="86"/>
        <v>0.49734288644651642</v>
      </c>
      <c r="AK239" s="6">
        <f t="shared" si="87"/>
        <v>0.78911051874364491</v>
      </c>
      <c r="AL239" s="6">
        <f t="shared" si="76"/>
        <v>0.71050000000000002</v>
      </c>
      <c r="AM239" s="6">
        <v>11.5</v>
      </c>
      <c r="AN239" s="6">
        <f t="shared" si="88"/>
        <v>19.925483870967739</v>
      </c>
    </row>
    <row r="240" spans="1:40" x14ac:dyDescent="0.2">
      <c r="A240" s="1">
        <f t="shared" si="89"/>
        <v>235</v>
      </c>
      <c r="B240" s="2">
        <v>24.23</v>
      </c>
      <c r="C240" s="2">
        <v>45.575416666666662</v>
      </c>
      <c r="D240" s="2">
        <v>1.714526666666667</v>
      </c>
      <c r="E240" s="2">
        <v>34.74</v>
      </c>
      <c r="F240" s="2">
        <v>87.3</v>
      </c>
      <c r="G240" s="2">
        <v>7.8956800000000005</v>
      </c>
      <c r="H240" s="2">
        <v>13.49</v>
      </c>
      <c r="I240" s="2">
        <v>16.3</v>
      </c>
      <c r="J240" s="2">
        <v>0</v>
      </c>
      <c r="K240" s="3">
        <v>19.170000000000002</v>
      </c>
      <c r="L240" s="3">
        <v>8.5547629999999995</v>
      </c>
      <c r="N240" s="6">
        <f t="shared" si="77"/>
        <v>1.8608963259451941</v>
      </c>
      <c r="O240" s="6">
        <f t="shared" si="78"/>
        <v>13.242277007388131</v>
      </c>
      <c r="P240" s="6">
        <f t="shared" si="79"/>
        <v>2.2914306451612898</v>
      </c>
      <c r="Q240" s="6">
        <f t="shared" si="71"/>
        <v>5.1246538230667644</v>
      </c>
      <c r="R240" s="6">
        <f t="shared" si="80"/>
        <v>5.3453218624295298</v>
      </c>
      <c r="S240" s="6">
        <f t="shared" si="81"/>
        <v>6.793097631428572</v>
      </c>
      <c r="T240" s="6">
        <f t="shared" si="82"/>
        <v>6.6867332082809687</v>
      </c>
      <c r="U240" s="6">
        <f t="shared" si="83"/>
        <v>22.796001585559956</v>
      </c>
      <c r="X240" s="6"/>
      <c r="Y240" s="6"/>
      <c r="Z240" s="25"/>
      <c r="AA240" s="25"/>
      <c r="AB240" s="25"/>
      <c r="AC240" s="25"/>
      <c r="AD240" s="6">
        <f t="shared" si="72"/>
        <v>10.625</v>
      </c>
      <c r="AE240" s="6">
        <f t="shared" si="73"/>
        <v>35.5</v>
      </c>
      <c r="AF240" s="6">
        <f t="shared" si="74"/>
        <v>4.2842314048701926</v>
      </c>
      <c r="AG240" s="6">
        <f t="shared" si="75"/>
        <v>1.3766561443756868</v>
      </c>
      <c r="AH240" s="6">
        <f t="shared" si="84"/>
        <v>1.4537876302472528</v>
      </c>
      <c r="AI240" s="6">
        <f t="shared" si="85"/>
        <v>9.6924212152813355E-2</v>
      </c>
      <c r="AJ240" s="6">
        <f t="shared" si="86"/>
        <v>0.51609460873777468</v>
      </c>
      <c r="AK240" s="6">
        <f t="shared" si="87"/>
        <v>0.93769302150947809</v>
      </c>
      <c r="AL240" s="6">
        <f t="shared" si="76"/>
        <v>0.72530000000000006</v>
      </c>
      <c r="AM240" s="6">
        <v>11.5</v>
      </c>
      <c r="AN240" s="6">
        <f t="shared" si="88"/>
        <v>19.925483870967739</v>
      </c>
    </row>
    <row r="241" spans="1:40" x14ac:dyDescent="0.2">
      <c r="A241" s="1">
        <f t="shared" si="89"/>
        <v>236</v>
      </c>
      <c r="B241" s="2">
        <v>25.59</v>
      </c>
      <c r="C241" s="2">
        <v>41.313541666666673</v>
      </c>
      <c r="D241" s="2">
        <v>2.1921899999999996</v>
      </c>
      <c r="E241" s="2">
        <v>35.64</v>
      </c>
      <c r="F241" s="2">
        <v>78.489999999999995</v>
      </c>
      <c r="G241" s="2">
        <v>12.83048</v>
      </c>
      <c r="H241" s="2">
        <v>15.21</v>
      </c>
      <c r="I241" s="2">
        <v>16.16</v>
      </c>
      <c r="J241" s="2">
        <v>0</v>
      </c>
      <c r="K241" s="3">
        <v>16.920000000000002</v>
      </c>
      <c r="L241" s="3">
        <v>6.8618370000000004</v>
      </c>
      <c r="N241" s="6">
        <f t="shared" si="77"/>
        <v>1.8608963259451941</v>
      </c>
      <c r="O241" s="6">
        <f t="shared" si="78"/>
        <v>13.242277007388131</v>
      </c>
      <c r="P241" s="6">
        <f t="shared" si="79"/>
        <v>2.2914306451612898</v>
      </c>
      <c r="Q241" s="6">
        <f t="shared" si="71"/>
        <v>5.1873972780921465</v>
      </c>
      <c r="R241" s="6">
        <f t="shared" si="80"/>
        <v>5.41076705608572</v>
      </c>
      <c r="S241" s="6">
        <f t="shared" si="81"/>
        <v>6.1082118514285719</v>
      </c>
      <c r="T241" s="6">
        <f t="shared" si="82"/>
        <v>7.4792799074371343</v>
      </c>
      <c r="U241" s="6">
        <f t="shared" si="83"/>
        <v>26.59439214259486</v>
      </c>
      <c r="X241" s="6"/>
      <c r="Y241" s="6"/>
      <c r="Z241" s="25"/>
      <c r="AA241" s="25"/>
      <c r="AB241" s="25"/>
      <c r="AC241" s="25"/>
      <c r="AD241" s="6">
        <f t="shared" si="72"/>
        <v>10.215</v>
      </c>
      <c r="AE241" s="6">
        <f t="shared" si="73"/>
        <v>31.164999999999999</v>
      </c>
      <c r="AF241" s="6">
        <f t="shared" si="74"/>
        <v>4.4797910436580395</v>
      </c>
      <c r="AG241" s="6">
        <f t="shared" si="75"/>
        <v>1.5185698886977972</v>
      </c>
      <c r="AH241" s="6">
        <f t="shared" si="84"/>
        <v>1.480610577480121</v>
      </c>
      <c r="AI241" s="6">
        <f t="shared" si="85"/>
        <v>9.9039800081036286E-2</v>
      </c>
      <c r="AJ241" s="6">
        <f t="shared" si="86"/>
        <v>0.46143228647167972</v>
      </c>
      <c r="AK241" s="6">
        <f t="shared" si="87"/>
        <v>1.0191782910084413</v>
      </c>
      <c r="AL241" s="6">
        <f t="shared" si="76"/>
        <v>0.7389</v>
      </c>
      <c r="AM241" s="6">
        <v>11.5</v>
      </c>
      <c r="AN241" s="6">
        <f t="shared" si="88"/>
        <v>19.925483870967739</v>
      </c>
    </row>
    <row r="242" spans="1:40" x14ac:dyDescent="0.2">
      <c r="A242" s="1">
        <f t="shared" si="89"/>
        <v>237</v>
      </c>
      <c r="B242" s="2">
        <v>19</v>
      </c>
      <c r="C242" s="2">
        <v>80.598439999999997</v>
      </c>
      <c r="D242" s="2">
        <v>1.758813</v>
      </c>
      <c r="E242" s="2">
        <v>27.73</v>
      </c>
      <c r="F242" s="2">
        <v>100</v>
      </c>
      <c r="G242" s="2">
        <v>15.335839999999999</v>
      </c>
      <c r="H242" s="2">
        <v>15.45</v>
      </c>
      <c r="I242" s="2">
        <v>47.37</v>
      </c>
      <c r="J242" s="2">
        <v>7.3659999999999997</v>
      </c>
      <c r="K242" s="3">
        <v>12.18</v>
      </c>
      <c r="L242" s="3">
        <v>4.8892870000000004</v>
      </c>
      <c r="N242" s="6">
        <f t="shared" si="77"/>
        <v>1.8608963259451941</v>
      </c>
      <c r="O242" s="6">
        <f t="shared" si="78"/>
        <v>13.242277007388131</v>
      </c>
      <c r="P242" s="6">
        <f t="shared" si="79"/>
        <v>2.2914306451612898</v>
      </c>
      <c r="Q242" s="6">
        <f t="shared" si="71"/>
        <v>3.4109289919738872</v>
      </c>
      <c r="R242" s="6">
        <f t="shared" si="80"/>
        <v>3.5578038910503018</v>
      </c>
      <c r="S242" s="6">
        <f t="shared" si="81"/>
        <v>4.0048883999999996</v>
      </c>
      <c r="T242" s="6">
        <f t="shared" si="82"/>
        <v>4.3283991915521627</v>
      </c>
      <c r="U242" s="6">
        <f t="shared" si="83"/>
        <v>11.726729433178033</v>
      </c>
      <c r="X242" s="6"/>
      <c r="Y242" s="6"/>
      <c r="Z242" s="25"/>
      <c r="AA242" s="25"/>
      <c r="AB242" s="25"/>
      <c r="AC242" s="25"/>
      <c r="AD242" s="6">
        <f t="shared" si="72"/>
        <v>6.1400000000000006</v>
      </c>
      <c r="AE242" s="6">
        <f t="shared" si="73"/>
        <v>26.315000000000001</v>
      </c>
      <c r="AF242" s="6">
        <f t="shared" si="74"/>
        <v>2.998604551253278</v>
      </c>
      <c r="AG242" s="6">
        <f t="shared" si="75"/>
        <v>1.5393589871120761</v>
      </c>
      <c r="AH242" s="6">
        <f t="shared" si="84"/>
        <v>0.72962278207060094</v>
      </c>
      <c r="AI242" s="6">
        <f t="shared" si="85"/>
        <v>5.0452938017086633E-2</v>
      </c>
      <c r="AJ242" s="6">
        <f t="shared" si="86"/>
        <v>0.19200023510187866</v>
      </c>
      <c r="AK242" s="6">
        <f t="shared" si="87"/>
        <v>0.53762254696872225</v>
      </c>
      <c r="AL242" s="6">
        <f t="shared" si="76"/>
        <v>0.67300000000000004</v>
      </c>
      <c r="AM242" s="6">
        <v>11.5</v>
      </c>
      <c r="AN242" s="6">
        <f t="shared" si="88"/>
        <v>19.925483870967739</v>
      </c>
    </row>
    <row r="243" spans="1:40" x14ac:dyDescent="0.2">
      <c r="A243" s="1">
        <f t="shared" si="89"/>
        <v>238</v>
      </c>
      <c r="B243" s="2">
        <v>14.22</v>
      </c>
      <c r="C243" s="2">
        <v>94.588539999999995</v>
      </c>
      <c r="D243" s="2">
        <v>1.4140099999999998</v>
      </c>
      <c r="E243" s="2">
        <v>16.79</v>
      </c>
      <c r="F243" s="2">
        <v>100</v>
      </c>
      <c r="G243" s="2">
        <v>5.9976799999999999</v>
      </c>
      <c r="H243" s="2">
        <v>12.18</v>
      </c>
      <c r="I243" s="2">
        <v>80.099999999999994</v>
      </c>
      <c r="J243" s="2">
        <v>2.54</v>
      </c>
      <c r="K243" s="3">
        <v>2.202</v>
      </c>
      <c r="L243" s="3">
        <v>-4.4207379999999998E-2</v>
      </c>
      <c r="N243" s="6">
        <f t="shared" si="77"/>
        <v>1.8608963259451941</v>
      </c>
      <c r="O243" s="6">
        <f t="shared" si="78"/>
        <v>13.242277007388131</v>
      </c>
      <c r="P243" s="6">
        <f t="shared" si="79"/>
        <v>2.2914306451612898</v>
      </c>
      <c r="Q243" s="6">
        <f t="shared" si="71"/>
        <v>1.8184336804236252</v>
      </c>
      <c r="R243" s="6">
        <f t="shared" si="80"/>
        <v>1.8967355928697163</v>
      </c>
      <c r="S243" s="6">
        <f t="shared" si="81"/>
        <v>0.6726115954285713</v>
      </c>
      <c r="T243" s="6">
        <f t="shared" si="82"/>
        <v>1.0967525727786538</v>
      </c>
      <c r="U243" s="6">
        <f t="shared" si="83"/>
        <v>5.4056255742445583</v>
      </c>
      <c r="X243" s="6"/>
      <c r="Y243" s="6"/>
      <c r="Z243" s="25"/>
      <c r="AA243" s="25"/>
      <c r="AB243" s="25"/>
      <c r="AC243" s="25"/>
      <c r="AD243" s="6">
        <f t="shared" si="72"/>
        <v>2.3049999999999997</v>
      </c>
      <c r="AE243" s="6">
        <f t="shared" si="73"/>
        <v>9.9500000000000028</v>
      </c>
      <c r="AF243" s="6">
        <f t="shared" si="74"/>
        <v>1.6600861671051874</v>
      </c>
      <c r="AG243" s="6">
        <f t="shared" si="75"/>
        <v>1.2765228698080016</v>
      </c>
      <c r="AH243" s="6">
        <f t="shared" si="84"/>
        <v>0.19178164864859293</v>
      </c>
      <c r="AI243" s="6">
        <f t="shared" si="85"/>
        <v>1.3689489365330246E-2</v>
      </c>
      <c r="AJ243" s="6">
        <f t="shared" si="86"/>
        <v>1.9082274040535002E-2</v>
      </c>
      <c r="AK243" s="6">
        <f t="shared" si="87"/>
        <v>0.17269937460805793</v>
      </c>
      <c r="AL243" s="6">
        <f t="shared" si="76"/>
        <v>0.62519999999999998</v>
      </c>
      <c r="AM243" s="6">
        <v>11.5</v>
      </c>
      <c r="AN243" s="6">
        <f t="shared" si="88"/>
        <v>19.925483870967739</v>
      </c>
    </row>
    <row r="244" spans="1:40" x14ac:dyDescent="0.2">
      <c r="A244" s="1">
        <f t="shared" si="89"/>
        <v>239</v>
      </c>
      <c r="B244" s="2">
        <v>14.04</v>
      </c>
      <c r="C244" s="2">
        <v>61.840937500000003</v>
      </c>
      <c r="D244" s="2">
        <v>1.9233066666666665</v>
      </c>
      <c r="E244" s="2">
        <v>20.68</v>
      </c>
      <c r="F244" s="2">
        <v>97.1</v>
      </c>
      <c r="G244" s="2">
        <v>8.1234399999999987</v>
      </c>
      <c r="H244" s="2">
        <v>8.75</v>
      </c>
      <c r="I244" s="2">
        <v>30.26</v>
      </c>
      <c r="J244" s="2">
        <v>0</v>
      </c>
      <c r="K244" s="3">
        <v>22.18</v>
      </c>
      <c r="L244" s="3">
        <v>9.9050659999999997</v>
      </c>
      <c r="N244" s="6">
        <f t="shared" si="77"/>
        <v>1.8608963259451941</v>
      </c>
      <c r="O244" s="6">
        <f t="shared" si="78"/>
        <v>13.242277007388131</v>
      </c>
      <c r="P244" s="6">
        <f t="shared" si="79"/>
        <v>2.2914306451612898</v>
      </c>
      <c r="Q244" s="6">
        <f t="shared" si="71"/>
        <v>2.9088341301752352</v>
      </c>
      <c r="R244" s="6">
        <f t="shared" si="80"/>
        <v>3.0340887808304746</v>
      </c>
      <c r="S244" s="6">
        <f t="shared" si="81"/>
        <v>6.7554830057142849</v>
      </c>
      <c r="T244" s="6">
        <f t="shared" si="82"/>
        <v>3.1596996949593321</v>
      </c>
      <c r="U244" s="6">
        <f t="shared" si="83"/>
        <v>5.2327140416607998</v>
      </c>
      <c r="X244" s="6"/>
      <c r="Y244" s="6"/>
      <c r="Z244" s="25"/>
      <c r="AA244" s="25"/>
      <c r="AB244" s="25"/>
      <c r="AC244" s="25"/>
      <c r="AD244" s="6">
        <f t="shared" si="72"/>
        <v>5.9649999999999999</v>
      </c>
      <c r="AE244" s="6">
        <f t="shared" si="73"/>
        <v>33.419999999999995</v>
      </c>
      <c r="AF244" s="6">
        <f t="shared" si="74"/>
        <v>2.0588661856578008</v>
      </c>
      <c r="AG244" s="6">
        <f t="shared" si="75"/>
        <v>1.0440293849987414</v>
      </c>
      <c r="AH244" s="6">
        <f t="shared" si="84"/>
        <v>0.50741840032952967</v>
      </c>
      <c r="AI244" s="6">
        <f t="shared" si="85"/>
        <v>3.5138151272187411E-2</v>
      </c>
      <c r="AJ244" s="6">
        <f t="shared" si="86"/>
        <v>0.16957922939012879</v>
      </c>
      <c r="AK244" s="6">
        <f t="shared" si="87"/>
        <v>0.33783917093940086</v>
      </c>
      <c r="AL244" s="6">
        <f t="shared" si="76"/>
        <v>0.62339999999999995</v>
      </c>
      <c r="AM244" s="6">
        <v>11.5</v>
      </c>
      <c r="AN244" s="6">
        <f t="shared" si="88"/>
        <v>19.925483870967739</v>
      </c>
    </row>
    <row r="245" spans="1:40" x14ac:dyDescent="0.2">
      <c r="A245" s="1">
        <f t="shared" si="89"/>
        <v>240</v>
      </c>
      <c r="B245" s="2">
        <v>14.67</v>
      </c>
      <c r="C245" s="2">
        <v>57.637812499999995</v>
      </c>
      <c r="D245" s="2">
        <v>1.597483</v>
      </c>
      <c r="E245" s="2">
        <v>26.14</v>
      </c>
      <c r="F245" s="2">
        <v>95.2</v>
      </c>
      <c r="G245" s="2">
        <v>6.8327999999999998</v>
      </c>
      <c r="H245" s="2">
        <v>4.1630000000000003</v>
      </c>
      <c r="I245" s="2">
        <v>19.649999999999999</v>
      </c>
      <c r="J245" s="2">
        <v>0</v>
      </c>
      <c r="K245" s="3">
        <v>22.21</v>
      </c>
      <c r="L245" s="3">
        <v>8.7731010000000005</v>
      </c>
      <c r="N245" s="6">
        <f t="shared" si="77"/>
        <v>1.8608963259451941</v>
      </c>
      <c r="O245" s="6">
        <f t="shared" si="78"/>
        <v>13.242277007388131</v>
      </c>
      <c r="P245" s="6">
        <f t="shared" si="79"/>
        <v>2.2914306451612898</v>
      </c>
      <c r="Q245" s="6">
        <f t="shared" si="71"/>
        <v>4.0261705618472599</v>
      </c>
      <c r="R245" s="6">
        <f t="shared" si="80"/>
        <v>4.1995378164360284</v>
      </c>
      <c r="S245" s="6">
        <f t="shared" si="81"/>
        <v>6.832982648571428</v>
      </c>
      <c r="T245" s="6">
        <f t="shared" si="82"/>
        <v>5.088073489703266</v>
      </c>
      <c r="U245" s="6">
        <f t="shared" si="83"/>
        <v>5.8916720340019531</v>
      </c>
      <c r="X245" s="6"/>
      <c r="Y245" s="6"/>
      <c r="Z245" s="25"/>
      <c r="AA245" s="25"/>
      <c r="AB245" s="25"/>
      <c r="AC245" s="25"/>
      <c r="AD245" s="6">
        <f t="shared" si="72"/>
        <v>10.9885</v>
      </c>
      <c r="AE245" s="6">
        <f t="shared" si="73"/>
        <v>37.775000000000006</v>
      </c>
      <c r="AF245" s="6">
        <f t="shared" si="74"/>
        <v>2.75907406087045</v>
      </c>
      <c r="AG245" s="6">
        <f t="shared" si="75"/>
        <v>0.79171655739294011</v>
      </c>
      <c r="AH245" s="6">
        <f t="shared" si="84"/>
        <v>0.98367875173875496</v>
      </c>
      <c r="AI245" s="6">
        <f t="shared" si="85"/>
        <v>6.5390105027167036E-2</v>
      </c>
      <c r="AJ245" s="6">
        <f t="shared" si="86"/>
        <v>0.37158464846931472</v>
      </c>
      <c r="AK245" s="6">
        <f t="shared" si="87"/>
        <v>0.61209410326944025</v>
      </c>
      <c r="AL245" s="6">
        <f t="shared" si="76"/>
        <v>0.62969999999999993</v>
      </c>
      <c r="AM245" s="6">
        <v>11.5</v>
      </c>
      <c r="AN245" s="6">
        <f t="shared" si="88"/>
        <v>19.925483870967739</v>
      </c>
    </row>
    <row r="246" spans="1:40" x14ac:dyDescent="0.2">
      <c r="A246" s="1">
        <f t="shared" si="89"/>
        <v>241</v>
      </c>
      <c r="B246" s="2">
        <v>17.29</v>
      </c>
      <c r="C246" s="2">
        <v>67.106666666666669</v>
      </c>
      <c r="D246" s="2">
        <v>1.654423</v>
      </c>
      <c r="E246" s="2">
        <v>27.63</v>
      </c>
      <c r="F246" s="2">
        <v>100</v>
      </c>
      <c r="G246" s="2">
        <v>6.3377280000000003</v>
      </c>
      <c r="H246" s="2">
        <v>6.8879999999999999</v>
      </c>
      <c r="I246" s="2">
        <v>37.31</v>
      </c>
      <c r="J246" s="2">
        <v>0</v>
      </c>
      <c r="K246" s="3">
        <v>20.34</v>
      </c>
      <c r="L246" s="3">
        <v>8.9541749999999993</v>
      </c>
      <c r="N246" s="6">
        <f t="shared" si="77"/>
        <v>1.8608963259451941</v>
      </c>
      <c r="O246" s="6">
        <f t="shared" si="78"/>
        <v>13.242277007388131</v>
      </c>
      <c r="P246" s="6">
        <f t="shared" si="79"/>
        <v>2.2914306451612898</v>
      </c>
      <c r="Q246" s="6">
        <f t="shared" si="71"/>
        <v>4.2270205534841505</v>
      </c>
      <c r="R246" s="6">
        <f t="shared" si="80"/>
        <v>4.4090364261827011</v>
      </c>
      <c r="S246" s="6">
        <f t="shared" si="81"/>
        <v>6.5180343599999988</v>
      </c>
      <c r="T246" s="6">
        <f t="shared" si="82"/>
        <v>5.3574093210956732</v>
      </c>
      <c r="U246" s="6">
        <f t="shared" si="83"/>
        <v>9.1249382971320454</v>
      </c>
      <c r="X246" s="6"/>
      <c r="Y246" s="6"/>
      <c r="Z246" s="25"/>
      <c r="AA246" s="25"/>
      <c r="AB246" s="25"/>
      <c r="AC246" s="25"/>
      <c r="AD246" s="6">
        <f t="shared" si="72"/>
        <v>10.370999999999999</v>
      </c>
      <c r="AE246" s="6">
        <f t="shared" si="73"/>
        <v>31.344999999999999</v>
      </c>
      <c r="AF246" s="6">
        <f t="shared" si="74"/>
        <v>2.9830223194536853</v>
      </c>
      <c r="AG246" s="6">
        <f t="shared" si="75"/>
        <v>0.93415171357051396</v>
      </c>
      <c r="AH246" s="6">
        <f t="shared" si="84"/>
        <v>1.0244353029415856</v>
      </c>
      <c r="AI246" s="6">
        <f t="shared" si="85"/>
        <v>6.8439397081151279E-2</v>
      </c>
      <c r="AJ246" s="6">
        <f t="shared" si="86"/>
        <v>0.32110924570704003</v>
      </c>
      <c r="AK246" s="6">
        <f t="shared" si="87"/>
        <v>0.70332605723454555</v>
      </c>
      <c r="AL246" s="6">
        <f t="shared" si="76"/>
        <v>0.65589999999999993</v>
      </c>
      <c r="AM246" s="6">
        <v>11.5</v>
      </c>
      <c r="AN246" s="6">
        <f t="shared" si="88"/>
        <v>19.925483870967739</v>
      </c>
    </row>
    <row r="247" spans="1:40" x14ac:dyDescent="0.2">
      <c r="A247" s="1">
        <f t="shared" si="89"/>
        <v>242</v>
      </c>
      <c r="B247" s="2">
        <v>20.75</v>
      </c>
      <c r="C247" s="2">
        <v>63.739375000000024</v>
      </c>
      <c r="D247" s="2">
        <v>1.12931</v>
      </c>
      <c r="E247" s="2">
        <v>31.61</v>
      </c>
      <c r="F247" s="2">
        <v>100</v>
      </c>
      <c r="G247" s="2">
        <v>4.0996800000000002</v>
      </c>
      <c r="H247" s="2">
        <v>10.61</v>
      </c>
      <c r="I247" s="2">
        <v>29.54</v>
      </c>
      <c r="J247" s="2">
        <v>0</v>
      </c>
      <c r="K247" s="3">
        <v>19.34</v>
      </c>
      <c r="L247" s="3">
        <v>9.3028619999999993</v>
      </c>
      <c r="N247" s="6">
        <f t="shared" si="77"/>
        <v>1.8608963259451941</v>
      </c>
      <c r="O247" s="6">
        <f t="shared" si="78"/>
        <v>13.242277007388131</v>
      </c>
      <c r="P247" s="6">
        <f t="shared" si="79"/>
        <v>2.2914306451612898</v>
      </c>
      <c r="Q247" s="6">
        <f t="shared" si="71"/>
        <v>4.6726118509224843</v>
      </c>
      <c r="R247" s="6">
        <f t="shared" si="80"/>
        <v>4.8738149236461838</v>
      </c>
      <c r="S247" s="6">
        <f t="shared" si="81"/>
        <v>6.5245147714285698</v>
      </c>
      <c r="T247" s="6">
        <f t="shared" si="82"/>
        <v>5.4976965314031743</v>
      </c>
      <c r="U247" s="6">
        <f t="shared" si="83"/>
        <v>14.873154420734636</v>
      </c>
      <c r="X247" s="6"/>
      <c r="Y247" s="6"/>
      <c r="Z247" s="25"/>
      <c r="AA247" s="25"/>
      <c r="AB247" s="25"/>
      <c r="AC247" s="25"/>
      <c r="AD247" s="6">
        <f t="shared" si="72"/>
        <v>10.5</v>
      </c>
      <c r="AE247" s="6">
        <f t="shared" si="73"/>
        <v>35.230000000000004</v>
      </c>
      <c r="AF247" s="6">
        <f t="shared" si="74"/>
        <v>3.6607133721997642</v>
      </c>
      <c r="AG247" s="6">
        <f t="shared" si="75"/>
        <v>1.1649940147048969</v>
      </c>
      <c r="AH247" s="6">
        <f t="shared" si="84"/>
        <v>1.2478596787474336</v>
      </c>
      <c r="AI247" s="6">
        <f t="shared" si="85"/>
        <v>8.32789233471984E-2</v>
      </c>
      <c r="AJ247" s="6">
        <f t="shared" si="86"/>
        <v>0.43962096482272095</v>
      </c>
      <c r="AK247" s="6">
        <f t="shared" si="87"/>
        <v>0.80823871392471269</v>
      </c>
      <c r="AL247" s="6">
        <f t="shared" si="76"/>
        <v>0.6905</v>
      </c>
      <c r="AM247" s="6">
        <v>11.5</v>
      </c>
      <c r="AN247" s="6">
        <f t="shared" si="88"/>
        <v>19.925483870967739</v>
      </c>
    </row>
    <row r="248" spans="1:40" x14ac:dyDescent="0.2">
      <c r="A248" s="1">
        <f t="shared" si="89"/>
        <v>243</v>
      </c>
      <c r="B248" s="2">
        <v>22.72</v>
      </c>
      <c r="C248" s="2">
        <v>53.880729166666647</v>
      </c>
      <c r="D248" s="2">
        <v>1.1211557000000001</v>
      </c>
      <c r="E248" s="2">
        <v>32.53</v>
      </c>
      <c r="F248" s="2">
        <v>95.4</v>
      </c>
      <c r="G248" s="2">
        <v>4.7070400000000001</v>
      </c>
      <c r="H248" s="2">
        <v>13.38</v>
      </c>
      <c r="I248" s="2">
        <v>21.36</v>
      </c>
      <c r="J248" s="2">
        <v>0</v>
      </c>
      <c r="K248" s="3">
        <v>20.59</v>
      </c>
      <c r="L248" s="3">
        <v>9.3363420000000001</v>
      </c>
      <c r="N248" s="6">
        <f t="shared" si="77"/>
        <v>1.8608963259451941</v>
      </c>
      <c r="O248" s="6">
        <f t="shared" si="78"/>
        <v>13.242277007388131</v>
      </c>
      <c r="P248" s="6">
        <f t="shared" si="79"/>
        <v>2.2914306451612898</v>
      </c>
      <c r="Q248" s="6">
        <f t="shared" si="71"/>
        <v>4.6900719172824417</v>
      </c>
      <c r="R248" s="6">
        <f t="shared" si="80"/>
        <v>4.8920268219822747</v>
      </c>
      <c r="S248" s="6">
        <f t="shared" si="81"/>
        <v>7.1443887942857129</v>
      </c>
      <c r="T248" s="6">
        <f t="shared" si="82"/>
        <v>5.6561111297101663</v>
      </c>
      <c r="U248" s="6">
        <f t="shared" si="83"/>
        <v>19.0603367336983</v>
      </c>
      <c r="X248" s="6"/>
      <c r="Y248" s="6"/>
      <c r="Z248" s="25"/>
      <c r="AA248" s="25"/>
      <c r="AB248" s="25"/>
      <c r="AC248" s="25"/>
      <c r="AD248" s="6">
        <f t="shared" si="72"/>
        <v>9.5749999999999993</v>
      </c>
      <c r="AE248" s="6">
        <f t="shared" si="73"/>
        <v>37.020000000000003</v>
      </c>
      <c r="AF248" s="6">
        <f t="shared" si="74"/>
        <v>3.835202719583009</v>
      </c>
      <c r="AG248" s="6">
        <f t="shared" si="75"/>
        <v>1.3679904600623585</v>
      </c>
      <c r="AH248" s="6">
        <f t="shared" si="84"/>
        <v>1.2336061297603251</v>
      </c>
      <c r="AI248" s="6">
        <f t="shared" si="85"/>
        <v>8.2945770707130259E-2</v>
      </c>
      <c r="AJ248" s="6">
        <f t="shared" si="86"/>
        <v>0.45668098923727241</v>
      </c>
      <c r="AK248" s="6">
        <f t="shared" si="87"/>
        <v>0.77692514052305273</v>
      </c>
      <c r="AL248" s="6">
        <f t="shared" si="76"/>
        <v>0.71019999999999994</v>
      </c>
      <c r="AM248" s="6">
        <v>11.5</v>
      </c>
      <c r="AN248" s="6">
        <f t="shared" si="88"/>
        <v>19.925483870967739</v>
      </c>
    </row>
    <row r="249" spans="1:40" x14ac:dyDescent="0.2">
      <c r="A249" s="1">
        <f t="shared" si="89"/>
        <v>244</v>
      </c>
      <c r="B249" s="2">
        <v>23.01</v>
      </c>
      <c r="C249" s="2">
        <v>44.856250000000003</v>
      </c>
      <c r="D249" s="2">
        <v>1.12931</v>
      </c>
      <c r="E249" s="2">
        <v>33.01</v>
      </c>
      <c r="F249" s="2">
        <v>81.5</v>
      </c>
      <c r="G249" s="2">
        <v>4.0996800000000002</v>
      </c>
      <c r="H249" s="2">
        <v>12.57</v>
      </c>
      <c r="I249" s="2">
        <v>18.899999999999999</v>
      </c>
      <c r="J249" s="2">
        <v>0</v>
      </c>
      <c r="K249" s="3">
        <v>20.79</v>
      </c>
      <c r="L249" s="3">
        <v>9.2283729999999995</v>
      </c>
      <c r="N249" s="6">
        <f t="shared" si="77"/>
        <v>1.8608963259451941</v>
      </c>
      <c r="O249" s="6">
        <f t="shared" si="78"/>
        <v>13.242277007388131</v>
      </c>
      <c r="P249" s="6">
        <f t="shared" si="79"/>
        <v>2.2914306451612898</v>
      </c>
      <c r="Q249" s="6">
        <f t="shared" si="71"/>
        <v>4.8801448968788943</v>
      </c>
      <c r="R249" s="6">
        <f t="shared" si="80"/>
        <v>5.0902843606126655</v>
      </c>
      <c r="S249" s="6">
        <f t="shared" si="81"/>
        <v>7.2432419399999999</v>
      </c>
      <c r="T249" s="6">
        <f t="shared" si="82"/>
        <v>6.0641820374322792</v>
      </c>
      <c r="U249" s="6">
        <f t="shared" si="83"/>
        <v>19.744684914098372</v>
      </c>
      <c r="X249" s="6"/>
      <c r="Y249" s="6"/>
      <c r="Z249" s="25"/>
      <c r="AA249" s="25"/>
      <c r="AB249" s="25"/>
      <c r="AC249" s="25"/>
      <c r="AD249" s="6">
        <f t="shared" si="72"/>
        <v>10.219999999999999</v>
      </c>
      <c r="AE249" s="6">
        <f t="shared" si="73"/>
        <v>31.3</v>
      </c>
      <c r="AF249" s="6">
        <f t="shared" si="74"/>
        <v>3.9290813656711592</v>
      </c>
      <c r="AG249" s="6">
        <f t="shared" si="75"/>
        <v>1.3056415988878651</v>
      </c>
      <c r="AH249" s="6">
        <f t="shared" si="84"/>
        <v>1.311719883391647</v>
      </c>
      <c r="AI249" s="6">
        <f t="shared" si="85"/>
        <v>8.7738956129010656E-2</v>
      </c>
      <c r="AJ249" s="6">
        <f t="shared" si="86"/>
        <v>0.41056832350158551</v>
      </c>
      <c r="AK249" s="6">
        <f t="shared" si="87"/>
        <v>0.90115155989006146</v>
      </c>
      <c r="AL249" s="6">
        <f t="shared" si="76"/>
        <v>0.71310000000000007</v>
      </c>
      <c r="AM249" s="6">
        <v>11.5</v>
      </c>
      <c r="AN249" s="6">
        <f t="shared" si="88"/>
        <v>19.925483870967739</v>
      </c>
    </row>
    <row r="250" spans="1:40" x14ac:dyDescent="0.2">
      <c r="A250" s="1">
        <f t="shared" si="89"/>
        <v>245</v>
      </c>
      <c r="B250" s="2">
        <v>23.8</v>
      </c>
      <c r="C250" s="2">
        <v>45.889479166666689</v>
      </c>
      <c r="D250" s="2">
        <v>1.5310533333333332</v>
      </c>
      <c r="E250" s="2">
        <v>35.03</v>
      </c>
      <c r="F250" s="2">
        <v>93.4</v>
      </c>
      <c r="G250" s="2">
        <v>6.7568799999999998</v>
      </c>
      <c r="H250" s="2">
        <v>11.62</v>
      </c>
      <c r="I250" s="2">
        <v>15.41</v>
      </c>
      <c r="J250" s="2">
        <v>0</v>
      </c>
      <c r="K250" s="3">
        <v>20.329999999999998</v>
      </c>
      <c r="L250" s="3">
        <v>9.3229140000000008</v>
      </c>
      <c r="N250" s="6">
        <f t="shared" si="77"/>
        <v>3.9790983225185168</v>
      </c>
      <c r="O250" s="6">
        <f t="shared" si="78"/>
        <v>21.6282598997037</v>
      </c>
      <c r="P250" s="6">
        <f t="shared" si="79"/>
        <v>3.3497099999999995</v>
      </c>
      <c r="Q250" s="6">
        <f t="shared" si="71"/>
        <v>6.2496492202670071</v>
      </c>
      <c r="R250" s="6">
        <f t="shared" si="80"/>
        <v>6.5187596592851218</v>
      </c>
      <c r="S250" s="6">
        <f t="shared" si="81"/>
        <v>7.1614457999999983</v>
      </c>
      <c r="T250" s="6">
        <f t="shared" si="82"/>
        <v>6.7202977647052968</v>
      </c>
      <c r="U250" s="6">
        <f t="shared" si="83"/>
        <v>21.683619453780516</v>
      </c>
      <c r="X250" s="6"/>
      <c r="Y250" s="6"/>
      <c r="Z250" s="25"/>
      <c r="AA250" s="25"/>
      <c r="AB250" s="25"/>
      <c r="AC250" s="25"/>
      <c r="AD250" s="6">
        <f t="shared" si="72"/>
        <v>11.705000000000002</v>
      </c>
      <c r="AE250" s="6">
        <f t="shared" si="73"/>
        <v>38.995000000000005</v>
      </c>
      <c r="AF250" s="6">
        <f t="shared" si="74"/>
        <v>4.3464181252957177</v>
      </c>
      <c r="AG250" s="6">
        <f t="shared" si="75"/>
        <v>1.2357099500507682</v>
      </c>
      <c r="AH250" s="6">
        <f t="shared" si="84"/>
        <v>1.5553540876224747</v>
      </c>
      <c r="AI250" s="6">
        <f t="shared" si="85"/>
        <v>0.10279810134085916</v>
      </c>
      <c r="AJ250" s="6">
        <f t="shared" si="86"/>
        <v>0.6065103264683841</v>
      </c>
      <c r="AK250" s="6">
        <f t="shared" si="87"/>
        <v>0.94884376115409064</v>
      </c>
      <c r="AL250" s="6">
        <f t="shared" si="76"/>
        <v>0.72099999999999997</v>
      </c>
      <c r="AM250" s="6">
        <v>13.5</v>
      </c>
      <c r="AN250" s="6">
        <f>$X$14</f>
        <v>24.812666666666662</v>
      </c>
    </row>
    <row r="251" spans="1:40" x14ac:dyDescent="0.2">
      <c r="A251" s="1">
        <f t="shared" si="89"/>
        <v>246</v>
      </c>
      <c r="B251" s="2">
        <v>24.03</v>
      </c>
      <c r="C251" s="2">
        <v>46.80802083333333</v>
      </c>
      <c r="D251" s="2">
        <v>1.4235</v>
      </c>
      <c r="E251" s="2">
        <v>34.06</v>
      </c>
      <c r="F251" s="2">
        <v>79.33</v>
      </c>
      <c r="G251" s="2">
        <v>7.5919999999999996</v>
      </c>
      <c r="H251" s="2">
        <v>14.34</v>
      </c>
      <c r="I251" s="2">
        <v>20.440000000000001</v>
      </c>
      <c r="J251" s="2">
        <v>0</v>
      </c>
      <c r="K251" s="3">
        <v>16.55</v>
      </c>
      <c r="L251" s="3">
        <v>7.0052329999999996</v>
      </c>
      <c r="N251" s="6">
        <f t="shared" si="77"/>
        <v>3.9790983225185168</v>
      </c>
      <c r="O251" s="6">
        <f t="shared" si="78"/>
        <v>21.6282598997037</v>
      </c>
      <c r="P251" s="6">
        <f t="shared" si="79"/>
        <v>3.3497099999999995</v>
      </c>
      <c r="Q251" s="6">
        <f t="shared" si="71"/>
        <v>5.7677034716049311</v>
      </c>
      <c r="R251" s="6">
        <f t="shared" si="80"/>
        <v>6.0160612847660984</v>
      </c>
      <c r="S251" s="6">
        <f t="shared" si="81"/>
        <v>5.8485004714285722</v>
      </c>
      <c r="T251" s="6">
        <f t="shared" si="82"/>
        <v>6.4153457724029721</v>
      </c>
      <c r="U251" s="6">
        <f t="shared" si="83"/>
        <v>22.272896506155195</v>
      </c>
      <c r="X251" s="6"/>
      <c r="Y251" s="6"/>
      <c r="Z251" s="25"/>
      <c r="AA251" s="25"/>
      <c r="AB251" s="25"/>
      <c r="AC251" s="25"/>
      <c r="AD251" s="6">
        <f t="shared" si="72"/>
        <v>9.8600000000000012</v>
      </c>
      <c r="AE251" s="6">
        <f t="shared" si="73"/>
        <v>29.445</v>
      </c>
      <c r="AF251" s="6">
        <f t="shared" si="74"/>
        <v>4.1414393834323908</v>
      </c>
      <c r="AG251" s="6">
        <f t="shared" si="75"/>
        <v>1.4452603605007281</v>
      </c>
      <c r="AH251" s="6">
        <f t="shared" si="84"/>
        <v>1.3480895114658313</v>
      </c>
      <c r="AI251" s="6">
        <f t="shared" si="85"/>
        <v>9.0434535186640061E-2</v>
      </c>
      <c r="AJ251" s="6">
        <f t="shared" si="86"/>
        <v>0.39694495665111407</v>
      </c>
      <c r="AK251" s="6">
        <f t="shared" si="87"/>
        <v>0.95114455481471727</v>
      </c>
      <c r="AL251" s="6">
        <f t="shared" si="76"/>
        <v>0.72330000000000005</v>
      </c>
      <c r="AM251" s="6">
        <v>13.5</v>
      </c>
      <c r="AN251" s="6">
        <f t="shared" ref="AN251:AN279" si="90">$X$14</f>
        <v>24.812666666666662</v>
      </c>
    </row>
    <row r="252" spans="1:40" x14ac:dyDescent="0.2">
      <c r="A252" s="1">
        <f t="shared" si="89"/>
        <v>247</v>
      </c>
      <c r="B252" s="2">
        <v>24.5</v>
      </c>
      <c r="C252" s="2">
        <v>50.106770833333336</v>
      </c>
      <c r="D252" s="2">
        <v>1.4772766666666668</v>
      </c>
      <c r="E252" s="2">
        <v>35.130000000000003</v>
      </c>
      <c r="F252" s="2">
        <v>91.7</v>
      </c>
      <c r="G252" s="2">
        <v>5.7699199999999999</v>
      </c>
      <c r="H252" s="2">
        <v>14.87</v>
      </c>
      <c r="I252" s="2">
        <v>17.05</v>
      </c>
      <c r="J252" s="2">
        <v>0</v>
      </c>
      <c r="K252" s="3">
        <v>18.8</v>
      </c>
      <c r="L252" s="3">
        <v>8.2030940000000001</v>
      </c>
      <c r="N252" s="6">
        <f t="shared" si="77"/>
        <v>3.9790983225185168</v>
      </c>
      <c r="O252" s="6">
        <f t="shared" si="78"/>
        <v>21.6282598997037</v>
      </c>
      <c r="P252" s="6">
        <f t="shared" si="79"/>
        <v>3.3497099999999995</v>
      </c>
      <c r="Q252" s="6">
        <f t="shared" si="71"/>
        <v>5.9118266698778053</v>
      </c>
      <c r="R252" s="6">
        <f t="shared" si="80"/>
        <v>6.1663904404924139</v>
      </c>
      <c r="S252" s="6">
        <f t="shared" si="81"/>
        <v>6.6867839999999994</v>
      </c>
      <c r="T252" s="6">
        <f t="shared" si="82"/>
        <v>6.1651974868296167</v>
      </c>
      <c r="U252" s="6">
        <f t="shared" si="83"/>
        <v>23.512637263730674</v>
      </c>
      <c r="X252" s="6"/>
      <c r="Y252" s="6"/>
      <c r="Z252" s="25"/>
      <c r="AA252" s="25"/>
      <c r="AB252" s="25"/>
      <c r="AC252" s="25"/>
      <c r="AD252" s="6">
        <f t="shared" si="72"/>
        <v>10.130000000000003</v>
      </c>
      <c r="AE252" s="6">
        <f t="shared" si="73"/>
        <v>37.325000000000003</v>
      </c>
      <c r="AF252" s="6">
        <f t="shared" si="74"/>
        <v>4.3680430118281572</v>
      </c>
      <c r="AG252" s="6">
        <f t="shared" si="75"/>
        <v>1.489540614894032</v>
      </c>
      <c r="AH252" s="6">
        <f t="shared" si="84"/>
        <v>1.4392511984670626</v>
      </c>
      <c r="AI252" s="6">
        <f t="shared" si="85"/>
        <v>9.6339379226532199E-2</v>
      </c>
      <c r="AJ252" s="6">
        <f t="shared" si="86"/>
        <v>0.53720050982783119</v>
      </c>
      <c r="AK252" s="6">
        <f t="shared" si="87"/>
        <v>0.90205068863923143</v>
      </c>
      <c r="AL252" s="6">
        <f t="shared" si="76"/>
        <v>0.72799999999999998</v>
      </c>
      <c r="AM252" s="6">
        <v>13.5</v>
      </c>
      <c r="AN252" s="6">
        <f t="shared" si="90"/>
        <v>24.812666666666662</v>
      </c>
    </row>
    <row r="253" spans="1:40" x14ac:dyDescent="0.2">
      <c r="A253" s="1">
        <f t="shared" si="89"/>
        <v>248</v>
      </c>
      <c r="B253" s="2">
        <v>25.87</v>
      </c>
      <c r="C253" s="2">
        <v>42.20239583333332</v>
      </c>
      <c r="D253" s="2">
        <v>1.4424800000000002</v>
      </c>
      <c r="E253" s="2">
        <v>36.630000000000003</v>
      </c>
      <c r="F253" s="2">
        <v>85.3</v>
      </c>
      <c r="G253" s="2">
        <v>5.694</v>
      </c>
      <c r="H253" s="2">
        <v>14.78</v>
      </c>
      <c r="I253" s="2">
        <v>13.15</v>
      </c>
      <c r="J253" s="2">
        <v>0</v>
      </c>
      <c r="K253" s="3">
        <v>18.91</v>
      </c>
      <c r="L253" s="3">
        <v>7.8735559999999998</v>
      </c>
      <c r="N253" s="6">
        <f t="shared" si="77"/>
        <v>3.9790983225185168</v>
      </c>
      <c r="O253" s="6">
        <f t="shared" si="78"/>
        <v>21.6282598997037</v>
      </c>
      <c r="P253" s="6">
        <f t="shared" si="79"/>
        <v>3.3497099999999995</v>
      </c>
      <c r="Q253" s="6">
        <f t="shared" si="71"/>
        <v>6.3382668125793797</v>
      </c>
      <c r="R253" s="6">
        <f t="shared" si="80"/>
        <v>6.6111931328304081</v>
      </c>
      <c r="S253" s="6">
        <f t="shared" si="81"/>
        <v>6.8524815342857135</v>
      </c>
      <c r="T253" s="6">
        <f t="shared" si="82"/>
        <v>6.697104926196638</v>
      </c>
      <c r="U253" s="6">
        <f t="shared" si="83"/>
        <v>27.430200508065074</v>
      </c>
      <c r="X253" s="6"/>
      <c r="Y253" s="6"/>
      <c r="Z253" s="25"/>
      <c r="AA253" s="25"/>
      <c r="AB253" s="25"/>
      <c r="AC253" s="25"/>
      <c r="AD253" s="6">
        <f t="shared" si="72"/>
        <v>10.925000000000001</v>
      </c>
      <c r="AE253" s="6">
        <f t="shared" si="73"/>
        <v>36.074999999999996</v>
      </c>
      <c r="AF253" s="6">
        <f t="shared" si="74"/>
        <v>4.7038237949752428</v>
      </c>
      <c r="AG253" s="6">
        <f t="shared" si="75"/>
        <v>1.4819384209360269</v>
      </c>
      <c r="AH253" s="6">
        <f t="shared" si="84"/>
        <v>1.610942687019608</v>
      </c>
      <c r="AI253" s="6">
        <f t="shared" si="85"/>
        <v>0.10714230985865457</v>
      </c>
      <c r="AJ253" s="6">
        <f t="shared" si="86"/>
        <v>0.58114757434232356</v>
      </c>
      <c r="AK253" s="6">
        <f t="shared" si="87"/>
        <v>1.0297951126772844</v>
      </c>
      <c r="AL253" s="6">
        <f t="shared" si="76"/>
        <v>0.74170000000000003</v>
      </c>
      <c r="AM253" s="6">
        <v>13.5</v>
      </c>
      <c r="AN253" s="6">
        <f t="shared" si="90"/>
        <v>24.812666666666662</v>
      </c>
    </row>
    <row r="254" spans="1:40" x14ac:dyDescent="0.2">
      <c r="A254" s="1">
        <f t="shared" si="89"/>
        <v>249</v>
      </c>
      <c r="B254" s="2">
        <v>24.25</v>
      </c>
      <c r="C254" s="2">
        <v>48.603958333333338</v>
      </c>
      <c r="D254" s="2">
        <v>2.1985166666666669</v>
      </c>
      <c r="E254" s="2">
        <v>33.49</v>
      </c>
      <c r="F254" s="2">
        <v>78.180000000000007</v>
      </c>
      <c r="G254" s="2">
        <v>8.3512000000000004</v>
      </c>
      <c r="H254" s="2">
        <v>16.989999999999998</v>
      </c>
      <c r="I254" s="2">
        <v>25.16</v>
      </c>
      <c r="J254" s="2">
        <v>0</v>
      </c>
      <c r="K254" s="3">
        <v>17.39</v>
      </c>
      <c r="L254" s="3">
        <v>6.7517399999999999</v>
      </c>
      <c r="N254" s="6">
        <f t="shared" si="77"/>
        <v>3.9790983225185168</v>
      </c>
      <c r="O254" s="6">
        <f t="shared" si="78"/>
        <v>21.6282598997037</v>
      </c>
      <c r="P254" s="6">
        <f t="shared" si="79"/>
        <v>3.3497099999999995</v>
      </c>
      <c r="Q254" s="6">
        <f t="shared" si="71"/>
        <v>5.3035855265544765</v>
      </c>
      <c r="R254" s="6">
        <f t="shared" si="80"/>
        <v>5.5319583806328723</v>
      </c>
      <c r="S254" s="6">
        <f t="shared" si="81"/>
        <v>6.1640345571428563</v>
      </c>
      <c r="T254" s="6">
        <f t="shared" si="82"/>
        <v>6.1839363539047847</v>
      </c>
      <c r="U254" s="6">
        <f t="shared" si="83"/>
        <v>22.84690181329022</v>
      </c>
      <c r="X254" s="6"/>
      <c r="Y254" s="6"/>
      <c r="Z254" s="25"/>
      <c r="AA254" s="25"/>
      <c r="AB254" s="25"/>
      <c r="AC254" s="25"/>
      <c r="AD254" s="6">
        <f t="shared" si="72"/>
        <v>8.2500000000000018</v>
      </c>
      <c r="AE254" s="6">
        <f t="shared" si="73"/>
        <v>26.510000000000005</v>
      </c>
      <c r="AF254" s="6">
        <f t="shared" si="74"/>
        <v>4.0249533910366475</v>
      </c>
      <c r="AG254" s="6">
        <f t="shared" si="75"/>
        <v>1.6787993963245231</v>
      </c>
      <c r="AH254" s="6">
        <f t="shared" si="84"/>
        <v>1.1730769973560622</v>
      </c>
      <c r="AI254" s="6">
        <f t="shared" si="85"/>
        <v>7.97294183883452E-2</v>
      </c>
      <c r="AJ254" s="6">
        <f t="shared" si="86"/>
        <v>0.31098271199909211</v>
      </c>
      <c r="AK254" s="6">
        <f t="shared" si="87"/>
        <v>0.86209428535697008</v>
      </c>
      <c r="AL254" s="6">
        <f t="shared" si="76"/>
        <v>0.72550000000000003</v>
      </c>
      <c r="AM254" s="6">
        <v>13.5</v>
      </c>
      <c r="AN254" s="6">
        <f t="shared" si="90"/>
        <v>24.812666666666662</v>
      </c>
    </row>
    <row r="255" spans="1:40" x14ac:dyDescent="0.2">
      <c r="A255" s="1">
        <f t="shared" si="89"/>
        <v>250</v>
      </c>
      <c r="B255" s="2">
        <v>21.36</v>
      </c>
      <c r="C255" s="2">
        <v>67.176562500000003</v>
      </c>
      <c r="D255" s="2">
        <v>1.49942</v>
      </c>
      <c r="E255" s="2">
        <v>29.74</v>
      </c>
      <c r="F255" s="2">
        <v>87.1</v>
      </c>
      <c r="G255" s="2">
        <v>5.9976799999999999</v>
      </c>
      <c r="H255" s="2">
        <v>15.45</v>
      </c>
      <c r="I255" s="2">
        <v>40.53</v>
      </c>
      <c r="J255" s="2">
        <v>0</v>
      </c>
      <c r="K255" s="3">
        <v>16.510000000000002</v>
      </c>
      <c r="L255" s="3">
        <v>6.0752189999999997</v>
      </c>
      <c r="N255" s="6">
        <f t="shared" si="77"/>
        <v>3.9790983225185168</v>
      </c>
      <c r="O255" s="6">
        <f t="shared" si="78"/>
        <v>21.6282598997037</v>
      </c>
      <c r="P255" s="6">
        <f t="shared" si="79"/>
        <v>3.3497099999999995</v>
      </c>
      <c r="Q255" s="6">
        <f t="shared" si="71"/>
        <v>4.5964273699391747</v>
      </c>
      <c r="R255" s="6">
        <f t="shared" si="80"/>
        <v>4.7943499322852201</v>
      </c>
      <c r="S255" s="6">
        <f t="shared" si="81"/>
        <v>5.6189945314285712</v>
      </c>
      <c r="T255" s="6">
        <f t="shared" si="82"/>
        <v>4.8453464546344875</v>
      </c>
      <c r="U255" s="6">
        <f t="shared" si="83"/>
        <v>16.088795959713647</v>
      </c>
      <c r="X255" s="6"/>
      <c r="Y255" s="6"/>
      <c r="Z255" s="25"/>
      <c r="AA255" s="25"/>
      <c r="AB255" s="25"/>
      <c r="AC255" s="25"/>
      <c r="AD255" s="6">
        <f t="shared" si="72"/>
        <v>7.1449999999999996</v>
      </c>
      <c r="AE255" s="6">
        <f t="shared" si="73"/>
        <v>23.284999999999997</v>
      </c>
      <c r="AF255" s="6">
        <f t="shared" si="74"/>
        <v>3.3272287261025766</v>
      </c>
      <c r="AG255" s="6">
        <f t="shared" si="75"/>
        <v>1.5393589871120761</v>
      </c>
      <c r="AH255" s="6">
        <f t="shared" si="84"/>
        <v>0.89393486949525025</v>
      </c>
      <c r="AI255" s="6">
        <f t="shared" si="85"/>
        <v>6.1307769408688977E-2</v>
      </c>
      <c r="AJ255" s="6">
        <f t="shared" si="86"/>
        <v>0.20815273436196902</v>
      </c>
      <c r="AK255" s="6">
        <f t="shared" si="87"/>
        <v>0.68578213513328123</v>
      </c>
      <c r="AL255" s="6">
        <f t="shared" si="76"/>
        <v>0.6966</v>
      </c>
      <c r="AM255" s="6">
        <v>13.5</v>
      </c>
      <c r="AN255" s="6">
        <f t="shared" si="90"/>
        <v>24.812666666666662</v>
      </c>
    </row>
    <row r="256" spans="1:40" x14ac:dyDescent="0.2">
      <c r="A256" s="1">
        <f t="shared" si="89"/>
        <v>251</v>
      </c>
      <c r="B256" s="2">
        <v>24.43</v>
      </c>
      <c r="C256" s="2">
        <v>61.964060000000003</v>
      </c>
      <c r="D256" s="2">
        <v>1.293803</v>
      </c>
      <c r="E256" s="2">
        <v>36.49</v>
      </c>
      <c r="F256" s="2">
        <v>100</v>
      </c>
      <c r="G256" s="2">
        <v>5.16256</v>
      </c>
      <c r="H256" s="2">
        <v>13.91</v>
      </c>
      <c r="I256" s="2">
        <v>22.67</v>
      </c>
      <c r="J256" s="2">
        <v>0</v>
      </c>
      <c r="K256" s="3">
        <v>17.79</v>
      </c>
      <c r="L256" s="3">
        <v>7.6745419999999998</v>
      </c>
      <c r="N256" s="6">
        <f t="shared" si="77"/>
        <v>3.9790983225185168</v>
      </c>
      <c r="O256" s="6">
        <f t="shared" si="78"/>
        <v>21.6282598997037</v>
      </c>
      <c r="P256" s="6">
        <f t="shared" si="79"/>
        <v>3.3497099999999995</v>
      </c>
      <c r="Q256" s="6">
        <f t="shared" si="71"/>
        <v>6.2308121016811615</v>
      </c>
      <c r="R256" s="6">
        <f t="shared" si="80"/>
        <v>6.4991114127345204</v>
      </c>
      <c r="S256" s="6">
        <f t="shared" si="81"/>
        <v>6.3214630199999977</v>
      </c>
      <c r="T256" s="6">
        <f t="shared" si="82"/>
        <v>6.3023031740367994</v>
      </c>
      <c r="U256" s="6">
        <f t="shared" si="83"/>
        <v>23.3173234681074</v>
      </c>
      <c r="X256" s="6"/>
      <c r="Y256" s="6"/>
      <c r="Z256" s="25"/>
      <c r="AA256" s="25"/>
      <c r="AB256" s="25"/>
      <c r="AC256" s="25"/>
      <c r="AD256" s="6">
        <f t="shared" si="72"/>
        <v>11.290000000000001</v>
      </c>
      <c r="AE256" s="6">
        <f t="shared" si="73"/>
        <v>38.664999999999999</v>
      </c>
      <c r="AF256" s="6">
        <f t="shared" si="74"/>
        <v>4.6715632940484593</v>
      </c>
      <c r="AG256" s="6">
        <f t="shared" si="75"/>
        <v>1.4101885041641657</v>
      </c>
      <c r="AH256" s="6">
        <f t="shared" si="84"/>
        <v>1.6306873949421468</v>
      </c>
      <c r="AI256" s="6">
        <f t="shared" si="85"/>
        <v>0.10813725959684622</v>
      </c>
      <c r="AJ256" s="6">
        <f t="shared" si="86"/>
        <v>0.6305052812543811</v>
      </c>
      <c r="AK256" s="6">
        <f t="shared" si="87"/>
        <v>1.0001821136877656</v>
      </c>
      <c r="AL256" s="6">
        <f t="shared" si="76"/>
        <v>0.72729999999999995</v>
      </c>
      <c r="AM256" s="6">
        <v>13.5</v>
      </c>
      <c r="AN256" s="6">
        <f t="shared" si="90"/>
        <v>24.812666666666662</v>
      </c>
    </row>
    <row r="257" spans="1:40" x14ac:dyDescent="0.2">
      <c r="A257" s="1">
        <f t="shared" si="89"/>
        <v>252</v>
      </c>
      <c r="B257" s="2">
        <v>27.06</v>
      </c>
      <c r="C257" s="2">
        <v>48.299169999999997</v>
      </c>
      <c r="D257" s="2">
        <v>1.2463533333333332</v>
      </c>
      <c r="E257" s="2">
        <v>36.49</v>
      </c>
      <c r="F257" s="2">
        <v>86.9</v>
      </c>
      <c r="G257" s="2">
        <v>5.54216</v>
      </c>
      <c r="H257" s="2">
        <v>17.03</v>
      </c>
      <c r="I257" s="2">
        <v>18.22</v>
      </c>
      <c r="J257" s="2">
        <v>0</v>
      </c>
      <c r="K257" s="3">
        <v>16.850000000000001</v>
      </c>
      <c r="L257" s="3">
        <v>7.5190840000000003</v>
      </c>
      <c r="N257" s="6">
        <f t="shared" si="77"/>
        <v>3.9790983225185168</v>
      </c>
      <c r="O257" s="6">
        <f t="shared" si="78"/>
        <v>21.6282598997037</v>
      </c>
      <c r="P257" s="6">
        <f t="shared" si="79"/>
        <v>3.3497099999999995</v>
      </c>
      <c r="Q257" s="6">
        <f t="shared" si="71"/>
        <v>6.1445812561784185</v>
      </c>
      <c r="R257" s="6">
        <f t="shared" si="80"/>
        <v>6.4091674595240855</v>
      </c>
      <c r="S257" s="6">
        <f t="shared" si="81"/>
        <v>6.203958171428571</v>
      </c>
      <c r="T257" s="6">
        <f t="shared" si="82"/>
        <v>6.1902809624589175</v>
      </c>
      <c r="U257" s="6">
        <f t="shared" si="83"/>
        <v>31.20311901680255</v>
      </c>
      <c r="X257" s="6"/>
      <c r="Y257" s="6"/>
      <c r="Z257" s="25"/>
      <c r="AA257" s="25"/>
      <c r="AB257" s="25"/>
      <c r="AC257" s="25"/>
      <c r="AD257" s="6">
        <f t="shared" si="72"/>
        <v>9.73</v>
      </c>
      <c r="AE257" s="6">
        <f t="shared" si="73"/>
        <v>34.340000000000003</v>
      </c>
      <c r="AF257" s="6">
        <f t="shared" si="74"/>
        <v>4.6715632940484593</v>
      </c>
      <c r="AG257" s="6">
        <f t="shared" si="75"/>
        <v>1.6825641615274316</v>
      </c>
      <c r="AH257" s="6">
        <f t="shared" si="84"/>
        <v>1.4944995662605138</v>
      </c>
      <c r="AI257" s="6">
        <f t="shared" si="85"/>
        <v>0.10036177892845752</v>
      </c>
      <c r="AJ257" s="6">
        <f t="shared" si="86"/>
        <v>0.5132111510538605</v>
      </c>
      <c r="AK257" s="6">
        <f t="shared" si="87"/>
        <v>0.98128841520665333</v>
      </c>
      <c r="AL257" s="6">
        <f t="shared" si="76"/>
        <v>0.75360000000000005</v>
      </c>
      <c r="AM257" s="6">
        <v>13.5</v>
      </c>
      <c r="AN257" s="6">
        <f t="shared" si="90"/>
        <v>24.812666666666662</v>
      </c>
    </row>
    <row r="258" spans="1:40" x14ac:dyDescent="0.2">
      <c r="A258" s="1">
        <f t="shared" si="89"/>
        <v>253</v>
      </c>
      <c r="B258" s="2">
        <v>27.16</v>
      </c>
      <c r="C258" s="2">
        <v>40.908333333333339</v>
      </c>
      <c r="D258" s="7">
        <v>1.6797299999999999</v>
      </c>
      <c r="E258" s="2">
        <v>36.770000000000003</v>
      </c>
      <c r="F258" s="2">
        <v>75.92</v>
      </c>
      <c r="G258" s="2">
        <v>5.7699199999999999</v>
      </c>
      <c r="H258" s="2">
        <v>18.329999999999998</v>
      </c>
      <c r="I258" s="2">
        <v>14.86</v>
      </c>
      <c r="J258" s="2">
        <v>0</v>
      </c>
      <c r="K258" s="3">
        <v>17.91</v>
      </c>
      <c r="L258" s="3">
        <v>7.1123010000000004</v>
      </c>
      <c r="N258" s="6">
        <f t="shared" si="77"/>
        <v>3.9790983225185168</v>
      </c>
      <c r="O258" s="6">
        <f t="shared" si="78"/>
        <v>21.6282598997037</v>
      </c>
      <c r="P258" s="6">
        <f t="shared" si="79"/>
        <v>3.3497099999999995</v>
      </c>
      <c r="Q258" s="6">
        <f t="shared" si="71"/>
        <v>5.9947125800175085</v>
      </c>
      <c r="R258" s="6">
        <f t="shared" si="80"/>
        <v>6.2528454251321346</v>
      </c>
      <c r="S258" s="6">
        <f t="shared" si="81"/>
        <v>6.6029871599999987</v>
      </c>
      <c r="T258" s="6">
        <f t="shared" si="82"/>
        <v>6.5330974789888785</v>
      </c>
      <c r="U258" s="6">
        <f t="shared" si="83"/>
        <v>31.542797362088709</v>
      </c>
      <c r="X258" s="6"/>
      <c r="Y258" s="6"/>
      <c r="Z258" s="25"/>
      <c r="AA258" s="25"/>
      <c r="AB258" s="25"/>
      <c r="AC258" s="25"/>
      <c r="AD258" s="6">
        <f t="shared" si="72"/>
        <v>9.2200000000000024</v>
      </c>
      <c r="AE258" s="6">
        <f t="shared" si="73"/>
        <v>30.53</v>
      </c>
      <c r="AF258" s="6">
        <f t="shared" si="74"/>
        <v>4.7362776437640788</v>
      </c>
      <c r="AG258" s="6">
        <f t="shared" si="75"/>
        <v>1.8090198377402238</v>
      </c>
      <c r="AH258" s="6">
        <f t="shared" si="84"/>
        <v>1.4636289030119274</v>
      </c>
      <c r="AI258" s="6">
        <f t="shared" si="85"/>
        <v>9.8695786686764098E-2</v>
      </c>
      <c r="AJ258" s="6">
        <f t="shared" si="86"/>
        <v>0.44684590408954145</v>
      </c>
      <c r="AK258" s="6">
        <f t="shared" si="87"/>
        <v>1.016782998922386</v>
      </c>
      <c r="AL258" s="6">
        <f t="shared" si="76"/>
        <v>0.75459999999999994</v>
      </c>
      <c r="AM258" s="6">
        <v>13.5</v>
      </c>
      <c r="AN258" s="6">
        <f t="shared" si="90"/>
        <v>24.812666666666662</v>
      </c>
    </row>
    <row r="259" spans="1:40" x14ac:dyDescent="0.2">
      <c r="A259" s="1">
        <f t="shared" si="89"/>
        <v>254</v>
      </c>
      <c r="B259" s="2">
        <v>26.11</v>
      </c>
      <c r="C259" s="2">
        <v>39.987604166666671</v>
      </c>
      <c r="D259" s="7">
        <v>1.29064</v>
      </c>
      <c r="E259" s="2">
        <v>35.619999999999997</v>
      </c>
      <c r="F259" s="2">
        <v>74.86</v>
      </c>
      <c r="G259" s="2">
        <v>5.0866400000000001</v>
      </c>
      <c r="H259" s="2">
        <v>15.6</v>
      </c>
      <c r="I259" s="2">
        <v>18.079999999999998</v>
      </c>
      <c r="J259" s="2">
        <v>0</v>
      </c>
      <c r="K259" s="3">
        <v>18.78</v>
      </c>
      <c r="L259" s="3">
        <v>7.7999159999999996</v>
      </c>
      <c r="N259" s="6">
        <f t="shared" si="77"/>
        <v>3.9790983225185168</v>
      </c>
      <c r="O259" s="6">
        <f t="shared" si="78"/>
        <v>21.6282598997037</v>
      </c>
      <c r="P259" s="6">
        <f t="shared" si="79"/>
        <v>3.3497099999999995</v>
      </c>
      <c r="Q259" s="6">
        <f t="shared" si="71"/>
        <v>6.1003826633870748</v>
      </c>
      <c r="R259" s="6">
        <f t="shared" si="80"/>
        <v>6.3630656714827607</v>
      </c>
      <c r="S259" s="6">
        <f t="shared" si="81"/>
        <v>6.8273938799999998</v>
      </c>
      <c r="T259" s="6">
        <f t="shared" si="82"/>
        <v>6.5929888698480896</v>
      </c>
      <c r="U259" s="6">
        <f t="shared" si="83"/>
        <v>28.164149650067422</v>
      </c>
      <c r="X259" s="6"/>
      <c r="Y259" s="6"/>
      <c r="Z259" s="25"/>
      <c r="AA259" s="25"/>
      <c r="AB259" s="25"/>
      <c r="AC259" s="25"/>
      <c r="AD259" s="6">
        <f t="shared" si="72"/>
        <v>10.009999999999998</v>
      </c>
      <c r="AE259" s="6">
        <f t="shared" si="73"/>
        <v>28.39</v>
      </c>
      <c r="AF259" s="6">
        <f t="shared" si="74"/>
        <v>4.4753624135078827</v>
      </c>
      <c r="AG259" s="6">
        <f t="shared" si="75"/>
        <v>1.5524786411859186</v>
      </c>
      <c r="AH259" s="6">
        <f t="shared" si="84"/>
        <v>1.4614418861609821</v>
      </c>
      <c r="AI259" s="6">
        <f t="shared" si="85"/>
        <v>9.7919716991637346E-2</v>
      </c>
      <c r="AJ259" s="6">
        <f t="shared" si="86"/>
        <v>0.41490335148110286</v>
      </c>
      <c r="AK259" s="6">
        <f t="shared" si="87"/>
        <v>1.0465385346798792</v>
      </c>
      <c r="AL259" s="6">
        <f t="shared" si="76"/>
        <v>0.74409999999999998</v>
      </c>
      <c r="AM259" s="6">
        <v>13.5</v>
      </c>
      <c r="AN259" s="6">
        <f t="shared" si="90"/>
        <v>24.812666666666662</v>
      </c>
    </row>
    <row r="260" spans="1:40" x14ac:dyDescent="0.2">
      <c r="A260" s="1">
        <f t="shared" si="89"/>
        <v>255</v>
      </c>
      <c r="B260" s="2">
        <v>26.46</v>
      </c>
      <c r="C260" s="2">
        <v>38.497604166666683</v>
      </c>
      <c r="D260" s="2">
        <v>1.4235</v>
      </c>
      <c r="E260" s="2">
        <v>36.29</v>
      </c>
      <c r="F260" s="2">
        <v>75.64</v>
      </c>
      <c r="G260" s="2">
        <v>7.5919999999999996</v>
      </c>
      <c r="H260" s="2">
        <v>15.59</v>
      </c>
      <c r="I260" s="2">
        <v>14.31</v>
      </c>
      <c r="J260" s="2">
        <v>0</v>
      </c>
      <c r="K260" s="3">
        <v>20.55</v>
      </c>
      <c r="L260" s="3">
        <v>8.8504079999999998</v>
      </c>
      <c r="N260" s="6">
        <f t="shared" si="77"/>
        <v>3.9790983225185168</v>
      </c>
      <c r="O260" s="6">
        <f t="shared" si="78"/>
        <v>21.6282598997037</v>
      </c>
      <c r="P260" s="6">
        <f t="shared" si="79"/>
        <v>3.3497099999999995</v>
      </c>
      <c r="Q260" s="6">
        <f t="shared" si="71"/>
        <v>6.2525645910738339</v>
      </c>
      <c r="R260" s="6">
        <f t="shared" si="80"/>
        <v>6.5218005662124696</v>
      </c>
      <c r="S260" s="6">
        <f t="shared" si="81"/>
        <v>7.5060108000000003</v>
      </c>
      <c r="T260" s="6">
        <f t="shared" si="82"/>
        <v>7.4229918014455478</v>
      </c>
      <c r="U260" s="6">
        <f t="shared" si="83"/>
        <v>29.259600316198313</v>
      </c>
      <c r="X260" s="6"/>
      <c r="Y260" s="6"/>
      <c r="Z260" s="25"/>
      <c r="AA260" s="25"/>
      <c r="AB260" s="25"/>
      <c r="AC260" s="25"/>
      <c r="AD260" s="6">
        <f t="shared" si="72"/>
        <v>10.35</v>
      </c>
      <c r="AE260" s="6">
        <f t="shared" si="73"/>
        <v>30.664999999999999</v>
      </c>
      <c r="AF260" s="6">
        <f t="shared" si="74"/>
        <v>4.6258103500776215</v>
      </c>
      <c r="AG260" s="6">
        <f t="shared" si="75"/>
        <v>1.5516009547738201</v>
      </c>
      <c r="AH260" s="6">
        <f t="shared" si="84"/>
        <v>1.5371046976519007</v>
      </c>
      <c r="AI260" s="6">
        <f t="shared" si="85"/>
        <v>0.10270669145167463</v>
      </c>
      <c r="AJ260" s="6">
        <f t="shared" si="86"/>
        <v>0.47135315553495538</v>
      </c>
      <c r="AK260" s="6">
        <f t="shared" si="87"/>
        <v>1.0657515421169452</v>
      </c>
      <c r="AL260" s="6">
        <f t="shared" si="76"/>
        <v>0.74760000000000004</v>
      </c>
      <c r="AM260" s="6">
        <v>13.5</v>
      </c>
      <c r="AN260" s="6">
        <f t="shared" si="90"/>
        <v>24.812666666666662</v>
      </c>
    </row>
    <row r="261" spans="1:40" x14ac:dyDescent="0.2">
      <c r="A261" s="1">
        <f t="shared" si="89"/>
        <v>256</v>
      </c>
      <c r="B261" s="2">
        <v>26.52</v>
      </c>
      <c r="C261" s="2">
        <v>33.521562500000009</v>
      </c>
      <c r="D261" s="2">
        <v>1.742996666666667</v>
      </c>
      <c r="E261" s="2">
        <v>36.49</v>
      </c>
      <c r="F261" s="2">
        <v>62.91</v>
      </c>
      <c r="G261" s="2">
        <v>7.5919999999999996</v>
      </c>
      <c r="H261" s="2">
        <v>16.079999999999998</v>
      </c>
      <c r="I261" s="2">
        <v>13.87</v>
      </c>
      <c r="J261" s="2">
        <v>0</v>
      </c>
      <c r="K261" s="3">
        <v>21.85</v>
      </c>
      <c r="L261" s="3">
        <v>9.1283840000000005</v>
      </c>
      <c r="N261" s="6">
        <f t="shared" si="77"/>
        <v>3.9790983225185168</v>
      </c>
      <c r="O261" s="6">
        <f t="shared" si="78"/>
        <v>21.6282598997037</v>
      </c>
      <c r="P261" s="6">
        <f t="shared" si="79"/>
        <v>3.3497099999999995</v>
      </c>
      <c r="Q261" s="6">
        <f t="shared" si="71"/>
        <v>6.2170285047620109</v>
      </c>
      <c r="R261" s="6">
        <f t="shared" si="80"/>
        <v>6.4847342929331369</v>
      </c>
      <c r="S261" s="6">
        <f t="shared" si="81"/>
        <v>7.9872487714285718</v>
      </c>
      <c r="T261" s="6">
        <f t="shared" si="82"/>
        <v>8.0245774815361983</v>
      </c>
      <c r="U261" s="6">
        <f t="shared" si="83"/>
        <v>29.453824829856327</v>
      </c>
      <c r="X261" s="6"/>
      <c r="Y261" s="6"/>
      <c r="Z261" s="25"/>
      <c r="AA261" s="25"/>
      <c r="AB261" s="25"/>
      <c r="AC261" s="25"/>
      <c r="AD261" s="6">
        <f t="shared" si="72"/>
        <v>10.205000000000002</v>
      </c>
      <c r="AE261" s="6">
        <f t="shared" si="73"/>
        <v>24.52</v>
      </c>
      <c r="AF261" s="6">
        <f t="shared" si="74"/>
        <v>4.6715632940484593</v>
      </c>
      <c r="AG261" s="6">
        <f t="shared" si="75"/>
        <v>1.5951233355395307</v>
      </c>
      <c r="AH261" s="6">
        <f t="shared" si="84"/>
        <v>1.5382199792544644</v>
      </c>
      <c r="AI261" s="6">
        <f t="shared" si="85"/>
        <v>0.10290167600472017</v>
      </c>
      <c r="AJ261" s="6">
        <f t="shared" si="86"/>
        <v>0.37717153891319471</v>
      </c>
      <c r="AK261" s="6">
        <f t="shared" si="87"/>
        <v>1.1610484403412697</v>
      </c>
      <c r="AL261" s="6">
        <f t="shared" si="76"/>
        <v>0.74819999999999998</v>
      </c>
      <c r="AM261" s="6">
        <v>13.5</v>
      </c>
      <c r="AN261" s="6">
        <f t="shared" si="90"/>
        <v>24.812666666666662</v>
      </c>
    </row>
    <row r="262" spans="1:40" x14ac:dyDescent="0.2">
      <c r="A262" s="1">
        <f t="shared" si="89"/>
        <v>257</v>
      </c>
      <c r="B262" s="2">
        <v>26</v>
      </c>
      <c r="C262" s="2">
        <v>35.982187499999988</v>
      </c>
      <c r="D262" s="2">
        <v>2.0118800000000001</v>
      </c>
      <c r="E262" s="2">
        <v>36.200000000000003</v>
      </c>
      <c r="F262" s="2">
        <v>63.94</v>
      </c>
      <c r="G262" s="2">
        <v>9.1104000000000003</v>
      </c>
      <c r="H262" s="2">
        <v>15.84</v>
      </c>
      <c r="I262" s="2">
        <v>15.82</v>
      </c>
      <c r="J262" s="2">
        <v>0</v>
      </c>
      <c r="K262" s="3">
        <v>18.34</v>
      </c>
      <c r="L262" s="3">
        <v>6.963292</v>
      </c>
      <c r="N262" s="6">
        <f t="shared" si="77"/>
        <v>3.9790983225185168</v>
      </c>
      <c r="O262" s="6">
        <f t="shared" si="78"/>
        <v>21.6282598997037</v>
      </c>
      <c r="P262" s="6">
        <f t="shared" si="79"/>
        <v>3.3497099999999995</v>
      </c>
      <c r="Q262" s="6">
        <f t="shared" ref="Q262:Q325" si="91">0.0023*(SQRT(E262-H262))*(17.8+B262)*AM262</f>
        <v>6.1365545878804006</v>
      </c>
      <c r="R262" s="6">
        <f t="shared" si="80"/>
        <v>6.4007951621909962</v>
      </c>
      <c r="S262" s="6">
        <f t="shared" si="81"/>
        <v>6.6575771999999986</v>
      </c>
      <c r="T262" s="6">
        <f t="shared" si="82"/>
        <v>7.8449410569866105</v>
      </c>
      <c r="U262" s="6">
        <f t="shared" si="83"/>
        <v>27.829314513405805</v>
      </c>
      <c r="X262" s="6"/>
      <c r="Y262" s="6"/>
      <c r="Z262" s="25"/>
      <c r="AA262" s="25"/>
      <c r="AB262" s="25"/>
      <c r="AC262" s="25"/>
      <c r="AD262" s="6">
        <f t="shared" ref="AD262:AD325" si="92">(E262-H262)/2</f>
        <v>10.180000000000001</v>
      </c>
      <c r="AE262" s="6">
        <f t="shared" ref="AE262:AE325" si="93">(F262-I262)/2</f>
        <v>24.06</v>
      </c>
      <c r="AF262" s="6">
        <f t="shared" ref="AF262:AF325" si="94">0.611*10^((7.5*E262)/(273.3+E262))</f>
        <v>4.605348869744911</v>
      </c>
      <c r="AG262" s="6">
        <f t="shared" ref="AG262:AG325" si="95">0.611*10^((7.5*H262)/(273.3+H262))</f>
        <v>1.5736742389491769</v>
      </c>
      <c r="AH262" s="6">
        <f t="shared" si="84"/>
        <v>1.515837315397867</v>
      </c>
      <c r="AI262" s="6">
        <f t="shared" si="85"/>
        <v>0.1014248404669098</v>
      </c>
      <c r="AJ262" s="6">
        <f t="shared" si="86"/>
        <v>0.3647104580847268</v>
      </c>
      <c r="AK262" s="6">
        <f t="shared" si="87"/>
        <v>1.1511268573131401</v>
      </c>
      <c r="AL262" s="6">
        <f t="shared" ref="AL262:AL325" si="96">IF(0&lt;B262&lt;16,0.407+0.0145*B262,0.483+0.01*B262)</f>
        <v>0.74299999999999999</v>
      </c>
      <c r="AM262" s="6">
        <v>13.5</v>
      </c>
      <c r="AN262" s="6">
        <f t="shared" si="90"/>
        <v>24.812666666666662</v>
      </c>
    </row>
    <row r="263" spans="1:40" x14ac:dyDescent="0.2">
      <c r="A263" s="1">
        <f t="shared" si="89"/>
        <v>258</v>
      </c>
      <c r="B263" s="2">
        <v>27.61</v>
      </c>
      <c r="C263" s="2">
        <v>35.828960000000002</v>
      </c>
      <c r="D263" s="2">
        <v>2.3471929999999999</v>
      </c>
      <c r="E263" s="2">
        <v>33.69</v>
      </c>
      <c r="F263" s="2">
        <v>53.26</v>
      </c>
      <c r="G263" s="2">
        <v>8.5030400000000004</v>
      </c>
      <c r="H263" s="2">
        <v>19.53</v>
      </c>
      <c r="I263" s="2">
        <v>23.14</v>
      </c>
      <c r="J263" s="2">
        <v>0</v>
      </c>
      <c r="K263" s="3">
        <v>15.13</v>
      </c>
      <c r="L263" s="3">
        <v>5.0332400000000002</v>
      </c>
      <c r="N263" s="6">
        <f t="shared" ref="N263:N326" si="97">IF(0&lt;AN263&lt;26.5,16*(((10*AN263)/$Z$6)^$Z$6)/30,((-415.85)+(32.24*AN263)-(0.43*AN263^2))/30)</f>
        <v>3.9790983225185168</v>
      </c>
      <c r="O263" s="6">
        <f t="shared" ref="O263:O326" si="98">IF(0&lt;AN263&lt;26.5,(16*((10*AN263)/$Z$6)/30),(-415.85+32.24*AN263-(-0.43*(AN263^2)))/30)</f>
        <v>21.6282598997037</v>
      </c>
      <c r="P263" s="6">
        <f t="shared" ref="P263:P326" si="99">(0.01*AN263*AM263)</f>
        <v>3.3497099999999995</v>
      </c>
      <c r="Q263" s="6">
        <f t="shared" si="91"/>
        <v>5.3057249596058336</v>
      </c>
      <c r="R263" s="6">
        <f t="shared" ref="R263:R326" si="100">Q263*$W$1</f>
        <v>5.5341899378575077</v>
      </c>
      <c r="S263" s="6">
        <f t="shared" ref="S263:S326" si="101">1.26*AL263*((K263*0.95)/2.45)</f>
        <v>5.6113322657142852</v>
      </c>
      <c r="T263" s="6">
        <f t="shared" ref="T263:T326" si="102">((0.408*AI263)*(K263*0.95) + ((0.063*900*G263*AK263)/((AD263+273))))/(AI263+0.063*(1+0.34*G263))</f>
        <v>6.245745930684838</v>
      </c>
      <c r="U263" s="6">
        <f t="shared" ref="U263:U326" si="103">1.21*(10^((7.45*B263)/(234.7+B263)))*((1-0.01*(C263/100))+(0.21*B263)-2.3)</f>
        <v>33.085224784250777</v>
      </c>
      <c r="X263" s="6"/>
      <c r="Y263" s="6"/>
      <c r="Z263" s="25"/>
      <c r="AA263" s="25"/>
      <c r="AB263" s="25"/>
      <c r="AC263" s="25"/>
      <c r="AD263" s="6">
        <f t="shared" si="92"/>
        <v>7.0799999999999983</v>
      </c>
      <c r="AE263" s="6">
        <f t="shared" si="93"/>
        <v>15.059999999999999</v>
      </c>
      <c r="AF263" s="6">
        <f t="shared" si="94"/>
        <v>4.0654967949667036</v>
      </c>
      <c r="AG263" s="6">
        <f t="shared" si="95"/>
        <v>1.933063440802901</v>
      </c>
      <c r="AH263" s="6">
        <f t="shared" ref="AH263:AH326" si="104">(AF263-AG263)/2</f>
        <v>1.0662166770819013</v>
      </c>
      <c r="AI263" s="6">
        <f t="shared" ref="AI263:AI326" si="105">(4098*AH263)/((237.3+AD263)^2)</f>
        <v>7.3162090165203836E-2</v>
      </c>
      <c r="AJ263" s="6">
        <f t="shared" ref="AJ263:AJ326" si="106">(AE263*AH263)/100</f>
        <v>0.16057223156853431</v>
      </c>
      <c r="AK263" s="6">
        <f t="shared" ref="AK263:AK326" si="107">AH263-AJ263</f>
        <v>0.90564444551336698</v>
      </c>
      <c r="AL263" s="6">
        <f t="shared" si="96"/>
        <v>0.7591</v>
      </c>
      <c r="AM263" s="6">
        <v>13.5</v>
      </c>
      <c r="AN263" s="6">
        <f t="shared" si="90"/>
        <v>24.812666666666662</v>
      </c>
    </row>
    <row r="264" spans="1:40" x14ac:dyDescent="0.2">
      <c r="A264" s="1">
        <f t="shared" si="89"/>
        <v>259</v>
      </c>
      <c r="B264" s="2">
        <v>23.08</v>
      </c>
      <c r="C264" s="2">
        <v>63.752809999999997</v>
      </c>
      <c r="D264" s="2">
        <v>2.79955</v>
      </c>
      <c r="E264" s="2">
        <v>31.47</v>
      </c>
      <c r="F264" s="2">
        <v>84.3</v>
      </c>
      <c r="G264" s="2">
        <v>9.0344800000000003</v>
      </c>
      <c r="H264" s="2">
        <v>18.47</v>
      </c>
      <c r="I264" s="2">
        <v>36.49</v>
      </c>
      <c r="J264" s="2">
        <v>0</v>
      </c>
      <c r="K264" s="3">
        <v>16.809999999999999</v>
      </c>
      <c r="L264" s="3">
        <v>7.0918320000000001</v>
      </c>
      <c r="N264" s="6">
        <f t="shared" si="97"/>
        <v>3.9790983225185168</v>
      </c>
      <c r="O264" s="6">
        <f t="shared" si="98"/>
        <v>21.6282598997037</v>
      </c>
      <c r="P264" s="6">
        <f t="shared" si="99"/>
        <v>3.3497099999999995</v>
      </c>
      <c r="Q264" s="6">
        <f t="shared" si="91"/>
        <v>4.5766127671770516</v>
      </c>
      <c r="R264" s="6">
        <f t="shared" si="100"/>
        <v>4.773682111004689</v>
      </c>
      <c r="S264" s="6">
        <f t="shared" si="101"/>
        <v>5.8623578228571418</v>
      </c>
      <c r="T264" s="6">
        <f t="shared" si="102"/>
        <v>5.2362443467379958</v>
      </c>
      <c r="U264" s="6">
        <f t="shared" si="103"/>
        <v>19.900632553723984</v>
      </c>
      <c r="X264" s="6"/>
      <c r="Y264" s="6"/>
      <c r="Z264" s="25"/>
      <c r="AA264" s="25"/>
      <c r="AB264" s="25"/>
      <c r="AC264" s="25"/>
      <c r="AD264" s="6">
        <f t="shared" si="92"/>
        <v>6.5</v>
      </c>
      <c r="AE264" s="6">
        <f t="shared" si="93"/>
        <v>23.904999999999998</v>
      </c>
      <c r="AF264" s="6">
        <f t="shared" si="94"/>
        <v>3.6347761567560259</v>
      </c>
      <c r="AG264" s="6">
        <f t="shared" si="95"/>
        <v>1.8231225444110515</v>
      </c>
      <c r="AH264" s="6">
        <f t="shared" si="104"/>
        <v>0.90582680617248723</v>
      </c>
      <c r="AI264" s="6">
        <f t="shared" si="105"/>
        <v>6.2452484481336529E-2</v>
      </c>
      <c r="AJ264" s="6">
        <f t="shared" si="106"/>
        <v>0.21653789801553305</v>
      </c>
      <c r="AK264" s="6">
        <f t="shared" si="107"/>
        <v>0.68928890815695421</v>
      </c>
      <c r="AL264" s="6">
        <f t="shared" si="96"/>
        <v>0.71379999999999999</v>
      </c>
      <c r="AM264" s="6">
        <v>13.5</v>
      </c>
      <c r="AN264" s="6">
        <f t="shared" si="90"/>
        <v>24.812666666666662</v>
      </c>
    </row>
    <row r="265" spans="1:40" x14ac:dyDescent="0.2">
      <c r="A265" s="1">
        <f t="shared" si="89"/>
        <v>260</v>
      </c>
      <c r="B265" s="2">
        <v>17.98</v>
      </c>
      <c r="C265" s="2">
        <v>90.049999999999969</v>
      </c>
      <c r="D265" s="2">
        <v>2.0688199999999997</v>
      </c>
      <c r="E265" s="2">
        <v>19.71</v>
      </c>
      <c r="F265" s="2">
        <v>100</v>
      </c>
      <c r="G265" s="2">
        <v>7.7438399999999996</v>
      </c>
      <c r="H265" s="2">
        <v>16.5</v>
      </c>
      <c r="I265" s="2">
        <v>80.5</v>
      </c>
      <c r="J265" s="2">
        <v>2.032</v>
      </c>
      <c r="K265" s="3">
        <v>3.6909999999999998</v>
      </c>
      <c r="L265" s="3">
        <v>7.0918320000000001</v>
      </c>
      <c r="N265" s="6">
        <f t="shared" si="97"/>
        <v>3.9790983225185168</v>
      </c>
      <c r="O265" s="6">
        <f t="shared" si="98"/>
        <v>21.6282598997037</v>
      </c>
      <c r="P265" s="6">
        <f t="shared" si="99"/>
        <v>3.3497099999999995</v>
      </c>
      <c r="Q265" s="6">
        <f t="shared" si="91"/>
        <v>1.9904645944765789</v>
      </c>
      <c r="R265" s="6">
        <f t="shared" si="100"/>
        <v>2.0761741730450094</v>
      </c>
      <c r="S265" s="6">
        <f t="shared" si="101"/>
        <v>1.1952386022857142</v>
      </c>
      <c r="T265" s="6">
        <f t="shared" si="102"/>
        <v>1.0259607703936908</v>
      </c>
      <c r="U265" s="6">
        <f t="shared" si="103"/>
        <v>10.116715372944048</v>
      </c>
      <c r="X265" s="6"/>
      <c r="Y265" s="6"/>
      <c r="Z265" s="25"/>
      <c r="AA265" s="25"/>
      <c r="AB265" s="25"/>
      <c r="AC265" s="25"/>
      <c r="AD265" s="6">
        <f t="shared" si="92"/>
        <v>1.6050000000000004</v>
      </c>
      <c r="AE265" s="6">
        <f t="shared" si="93"/>
        <v>9.75</v>
      </c>
      <c r="AF265" s="6">
        <f t="shared" si="94"/>
        <v>1.9522982992488185</v>
      </c>
      <c r="AG265" s="6">
        <f t="shared" si="95"/>
        <v>1.6332769904493172</v>
      </c>
      <c r="AH265" s="6">
        <f t="shared" si="104"/>
        <v>0.15951065439975065</v>
      </c>
      <c r="AI265" s="6">
        <f t="shared" si="105"/>
        <v>1.1452786705643833E-2</v>
      </c>
      <c r="AJ265" s="6">
        <f t="shared" si="106"/>
        <v>1.5552288803975689E-2</v>
      </c>
      <c r="AK265" s="6">
        <f t="shared" si="107"/>
        <v>0.14395836559577496</v>
      </c>
      <c r="AL265" s="6">
        <f t="shared" si="96"/>
        <v>0.66280000000000006</v>
      </c>
      <c r="AM265" s="6">
        <v>13.5</v>
      </c>
      <c r="AN265" s="6">
        <f t="shared" si="90"/>
        <v>24.812666666666662</v>
      </c>
    </row>
    <row r="266" spans="1:40" x14ac:dyDescent="0.2">
      <c r="A266" s="1">
        <f t="shared" si="89"/>
        <v>261</v>
      </c>
      <c r="B266" s="2">
        <v>19.34</v>
      </c>
      <c r="C266" s="2">
        <v>70.948750000000032</v>
      </c>
      <c r="D266" s="2">
        <v>3.3626233333333331</v>
      </c>
      <c r="E266" s="2">
        <v>26.72</v>
      </c>
      <c r="F266" s="2">
        <v>94</v>
      </c>
      <c r="G266" s="2">
        <v>10.47696</v>
      </c>
      <c r="H266" s="2">
        <v>14.39</v>
      </c>
      <c r="I266" s="2">
        <v>44.5</v>
      </c>
      <c r="J266" s="2">
        <v>0</v>
      </c>
      <c r="K266" s="3">
        <v>22.62</v>
      </c>
      <c r="L266" s="3">
        <v>10.38883</v>
      </c>
      <c r="N266" s="6">
        <f t="shared" si="97"/>
        <v>3.9790983225185168</v>
      </c>
      <c r="O266" s="6">
        <f t="shared" si="98"/>
        <v>21.6282598997037</v>
      </c>
      <c r="P266" s="6">
        <f t="shared" si="99"/>
        <v>3.3497099999999995</v>
      </c>
      <c r="Q266" s="6">
        <f t="shared" si="91"/>
        <v>4.0493474468826411</v>
      </c>
      <c r="R266" s="6">
        <f t="shared" si="100"/>
        <v>4.2237127001569545</v>
      </c>
      <c r="S266" s="6">
        <f t="shared" si="101"/>
        <v>7.4752249371428574</v>
      </c>
      <c r="T266" s="6">
        <f t="shared" si="102"/>
        <v>4.5874322241648846</v>
      </c>
      <c r="U266" s="6">
        <f t="shared" si="103"/>
        <v>12.301668182821683</v>
      </c>
      <c r="X266" s="6"/>
      <c r="Y266" s="6"/>
      <c r="Z266" s="25"/>
      <c r="AA266" s="25"/>
      <c r="AB266" s="25"/>
      <c r="AC266" s="25"/>
      <c r="AD266" s="6">
        <f t="shared" si="92"/>
        <v>6.1649999999999991</v>
      </c>
      <c r="AE266" s="6">
        <f t="shared" si="93"/>
        <v>24.75</v>
      </c>
      <c r="AF266" s="6">
        <f t="shared" si="94"/>
        <v>2.8444393620137771</v>
      </c>
      <c r="AG266" s="6">
        <f t="shared" si="95"/>
        <v>1.4493877744871311</v>
      </c>
      <c r="AH266" s="6">
        <f t="shared" si="104"/>
        <v>0.69752579376332302</v>
      </c>
      <c r="AI266" s="6">
        <f t="shared" si="105"/>
        <v>4.822354716054128E-2</v>
      </c>
      <c r="AJ266" s="6">
        <f t="shared" si="106"/>
        <v>0.17263763395642243</v>
      </c>
      <c r="AK266" s="6">
        <f t="shared" si="107"/>
        <v>0.52488815980690062</v>
      </c>
      <c r="AL266" s="6">
        <f t="shared" si="96"/>
        <v>0.6764</v>
      </c>
      <c r="AM266" s="6">
        <v>13.5</v>
      </c>
      <c r="AN266" s="6">
        <f t="shared" si="90"/>
        <v>24.812666666666662</v>
      </c>
    </row>
    <row r="267" spans="1:40" x14ac:dyDescent="0.2">
      <c r="A267" s="1">
        <f t="shared" si="89"/>
        <v>262</v>
      </c>
      <c r="B267" s="2">
        <v>20.350000000000001</v>
      </c>
      <c r="C267" s="2">
        <v>69.749166666666696</v>
      </c>
      <c r="D267" s="2">
        <v>1.6765666666666663</v>
      </c>
      <c r="E267" s="2">
        <v>27.53</v>
      </c>
      <c r="F267" s="2">
        <v>92.5</v>
      </c>
      <c r="G267" s="2">
        <v>9.4140800000000002</v>
      </c>
      <c r="H267" s="2">
        <v>13.97</v>
      </c>
      <c r="I267" s="2">
        <v>45.63</v>
      </c>
      <c r="J267" s="2">
        <v>0</v>
      </c>
      <c r="K267" s="3">
        <v>16.61</v>
      </c>
      <c r="L267" s="3">
        <v>6.3903619999999997</v>
      </c>
      <c r="N267" s="6">
        <f t="shared" si="97"/>
        <v>3.9790983225185168</v>
      </c>
      <c r="O267" s="6">
        <f t="shared" si="98"/>
        <v>21.6282598997037</v>
      </c>
      <c r="P267" s="6">
        <f t="shared" si="99"/>
        <v>3.3497099999999995</v>
      </c>
      <c r="Q267" s="6">
        <f t="shared" si="91"/>
        <v>4.3620033177581092</v>
      </c>
      <c r="R267" s="6">
        <f t="shared" si="100"/>
        <v>4.5498315600270738</v>
      </c>
      <c r="S267" s="6">
        <f t="shared" si="101"/>
        <v>5.5710651857142857</v>
      </c>
      <c r="T267" s="6">
        <f t="shared" si="102"/>
        <v>4.6460271882910735</v>
      </c>
      <c r="U267" s="6">
        <f t="shared" si="103"/>
        <v>14.107694853179789</v>
      </c>
      <c r="X267" s="6"/>
      <c r="Y267" s="6"/>
      <c r="Z267" s="25"/>
      <c r="AA267" s="25"/>
      <c r="AB267" s="25"/>
      <c r="AC267" s="25"/>
      <c r="AD267" s="6">
        <f t="shared" si="92"/>
        <v>6.78</v>
      </c>
      <c r="AE267" s="6">
        <f t="shared" si="93"/>
        <v>23.434999999999999</v>
      </c>
      <c r="AF267" s="6">
        <f t="shared" si="94"/>
        <v>2.9675107818153306</v>
      </c>
      <c r="AG267" s="6">
        <f t="shared" si="95"/>
        <v>1.4150369292321694</v>
      </c>
      <c r="AH267" s="6">
        <f t="shared" si="104"/>
        <v>0.77623692629158059</v>
      </c>
      <c r="AI267" s="6">
        <f t="shared" si="105"/>
        <v>5.3395156465088328E-2</v>
      </c>
      <c r="AJ267" s="6">
        <f t="shared" si="106"/>
        <v>0.18191112367643189</v>
      </c>
      <c r="AK267" s="6">
        <f t="shared" si="107"/>
        <v>0.59432580261514867</v>
      </c>
      <c r="AL267" s="6">
        <f t="shared" si="96"/>
        <v>0.6865</v>
      </c>
      <c r="AM267" s="6">
        <v>13.5</v>
      </c>
      <c r="AN267" s="6">
        <f t="shared" si="90"/>
        <v>24.812666666666662</v>
      </c>
    </row>
    <row r="268" spans="1:40" x14ac:dyDescent="0.2">
      <c r="A268" s="1">
        <f t="shared" si="89"/>
        <v>263</v>
      </c>
      <c r="B268" s="2">
        <v>23.05</v>
      </c>
      <c r="C268" s="2">
        <v>69.910729166666655</v>
      </c>
      <c r="D268" s="2">
        <v>1.5025833333333334</v>
      </c>
      <c r="E268" s="2">
        <v>33.299999999999997</v>
      </c>
      <c r="F268" s="2">
        <v>100</v>
      </c>
      <c r="G268" s="2">
        <v>6.4531999999999998</v>
      </c>
      <c r="H268" s="2">
        <v>13.96</v>
      </c>
      <c r="I268" s="2">
        <v>36.29</v>
      </c>
      <c r="J268" s="2">
        <v>0</v>
      </c>
      <c r="K268" s="3">
        <v>19.39</v>
      </c>
      <c r="L268" s="3">
        <v>8.7462879999999998</v>
      </c>
      <c r="N268" s="6">
        <f t="shared" si="97"/>
        <v>3.9790983225185168</v>
      </c>
      <c r="O268" s="6">
        <f t="shared" si="98"/>
        <v>21.6282598997037</v>
      </c>
      <c r="P268" s="6">
        <f t="shared" si="99"/>
        <v>3.3497099999999995</v>
      </c>
      <c r="Q268" s="6">
        <f t="shared" si="91"/>
        <v>5.578043544886313</v>
      </c>
      <c r="R268" s="6">
        <f t="shared" si="100"/>
        <v>5.8182345851063886</v>
      </c>
      <c r="S268" s="6">
        <f t="shared" si="101"/>
        <v>6.7592709000000006</v>
      </c>
      <c r="T268" s="6">
        <f t="shared" si="102"/>
        <v>6.2023753535395478</v>
      </c>
      <c r="U268" s="6">
        <f t="shared" si="103"/>
        <v>19.825686140757607</v>
      </c>
      <c r="X268" s="6"/>
      <c r="Y268" s="6"/>
      <c r="Z268" s="25"/>
      <c r="AA268" s="25"/>
      <c r="AB268" s="25"/>
      <c r="AC268" s="25"/>
      <c r="AD268" s="6">
        <f t="shared" si="92"/>
        <v>9.6699999999999982</v>
      </c>
      <c r="AE268" s="6">
        <f t="shared" si="93"/>
        <v>31.855</v>
      </c>
      <c r="AF268" s="6">
        <f t="shared" si="94"/>
        <v>3.9867634365677822</v>
      </c>
      <c r="AG268" s="6">
        <f t="shared" si="95"/>
        <v>1.4142278431363131</v>
      </c>
      <c r="AH268" s="6">
        <f t="shared" si="104"/>
        <v>1.2862677967157345</v>
      </c>
      <c r="AI268" s="6">
        <f t="shared" si="105"/>
        <v>8.6420136366501824E-2</v>
      </c>
      <c r="AJ268" s="6">
        <f t="shared" si="106"/>
        <v>0.4097406066437973</v>
      </c>
      <c r="AK268" s="6">
        <f t="shared" si="107"/>
        <v>0.87652719007193725</v>
      </c>
      <c r="AL268" s="6">
        <f t="shared" si="96"/>
        <v>0.71350000000000002</v>
      </c>
      <c r="AM268" s="6">
        <v>13.5</v>
      </c>
      <c r="AN268" s="6">
        <f t="shared" si="90"/>
        <v>24.812666666666662</v>
      </c>
    </row>
    <row r="269" spans="1:40" x14ac:dyDescent="0.2">
      <c r="A269" s="1">
        <f t="shared" si="89"/>
        <v>264</v>
      </c>
      <c r="B269" s="2">
        <v>26.34</v>
      </c>
      <c r="C269" s="2">
        <v>58.251458333333353</v>
      </c>
      <c r="D269" s="2">
        <v>2.0150429999999999</v>
      </c>
      <c r="E269" s="2">
        <v>37.25</v>
      </c>
      <c r="F269" s="2">
        <v>97</v>
      </c>
      <c r="G269" s="2">
        <v>17.537520000000001</v>
      </c>
      <c r="H269" s="2">
        <v>17.03</v>
      </c>
      <c r="I269" s="2">
        <v>23.15</v>
      </c>
      <c r="J269" s="2">
        <v>3.81</v>
      </c>
      <c r="K269" s="3">
        <v>20.34</v>
      </c>
      <c r="L269" s="3">
        <v>9.5750209999999996</v>
      </c>
      <c r="N269" s="6">
        <f t="shared" si="97"/>
        <v>3.9790983225185168</v>
      </c>
      <c r="O269" s="6">
        <f t="shared" si="98"/>
        <v>21.6282598997037</v>
      </c>
      <c r="P269" s="6">
        <f t="shared" si="99"/>
        <v>3.3497099999999995</v>
      </c>
      <c r="Q269" s="6">
        <f t="shared" si="91"/>
        <v>6.1628913167121473</v>
      </c>
      <c r="R269" s="6">
        <f t="shared" si="100"/>
        <v>6.4282659528570028</v>
      </c>
      <c r="S269" s="6">
        <f t="shared" si="101"/>
        <v>7.4173819885714281</v>
      </c>
      <c r="T269" s="6">
        <f t="shared" si="102"/>
        <v>7.9742124128252518</v>
      </c>
      <c r="U269" s="6">
        <f t="shared" si="103"/>
        <v>28.867324619731168</v>
      </c>
      <c r="X269" s="6"/>
      <c r="Y269" s="6"/>
      <c r="Z269" s="25"/>
      <c r="AA269" s="25"/>
      <c r="AB269" s="25"/>
      <c r="AC269" s="25"/>
      <c r="AD269" s="6">
        <f t="shared" si="92"/>
        <v>10.11</v>
      </c>
      <c r="AE269" s="6">
        <f t="shared" si="93"/>
        <v>36.924999999999997</v>
      </c>
      <c r="AF269" s="6">
        <f t="shared" si="94"/>
        <v>4.8490291962968426</v>
      </c>
      <c r="AG269" s="6">
        <f t="shared" si="95"/>
        <v>1.6825641615274316</v>
      </c>
      <c r="AH269" s="6">
        <f t="shared" si="104"/>
        <v>1.5832325173847055</v>
      </c>
      <c r="AI269" s="6">
        <f t="shared" si="105"/>
        <v>0.10599421348679081</v>
      </c>
      <c r="AJ269" s="6">
        <f t="shared" si="106"/>
        <v>0.58460860704430251</v>
      </c>
      <c r="AK269" s="6">
        <f t="shared" si="107"/>
        <v>0.99862391034040299</v>
      </c>
      <c r="AL269" s="6">
        <f t="shared" si="96"/>
        <v>0.74639999999999995</v>
      </c>
      <c r="AM269" s="6">
        <v>13.5</v>
      </c>
      <c r="AN269" s="6">
        <f t="shared" si="90"/>
        <v>24.812666666666662</v>
      </c>
    </row>
    <row r="270" spans="1:40" x14ac:dyDescent="0.2">
      <c r="A270" s="1">
        <f t="shared" si="89"/>
        <v>265</v>
      </c>
      <c r="B270" s="2">
        <v>22.65</v>
      </c>
      <c r="C270" s="2">
        <v>73.964380000000006</v>
      </c>
      <c r="D270" s="2">
        <v>1.236863</v>
      </c>
      <c r="E270" s="2">
        <v>29.79</v>
      </c>
      <c r="F270" s="2">
        <v>100</v>
      </c>
      <c r="G270" s="2">
        <v>5.23848</v>
      </c>
      <c r="H270" s="2">
        <v>17.03</v>
      </c>
      <c r="I270" s="2">
        <v>42.58</v>
      </c>
      <c r="J270" s="2">
        <v>0</v>
      </c>
      <c r="K270" s="3">
        <v>14.22</v>
      </c>
      <c r="L270" s="3">
        <v>6.9670209999999999</v>
      </c>
      <c r="N270" s="6">
        <f t="shared" si="97"/>
        <v>3.9790983225185168</v>
      </c>
      <c r="O270" s="6">
        <f t="shared" si="98"/>
        <v>21.6282598997037</v>
      </c>
      <c r="P270" s="6">
        <f t="shared" si="99"/>
        <v>3.3497099999999995</v>
      </c>
      <c r="Q270" s="6">
        <f t="shared" si="91"/>
        <v>4.4864772270512807</v>
      </c>
      <c r="R270" s="6">
        <f t="shared" si="100"/>
        <v>4.6796653266811292</v>
      </c>
      <c r="S270" s="6">
        <f t="shared" si="101"/>
        <v>4.9292411142857144</v>
      </c>
      <c r="T270" s="6">
        <f t="shared" si="102"/>
        <v>4.0512667574819812</v>
      </c>
      <c r="U270" s="6">
        <f t="shared" si="103"/>
        <v>18.887924643930301</v>
      </c>
      <c r="X270" s="6"/>
      <c r="Y270" s="6"/>
      <c r="Z270" s="25"/>
      <c r="AA270" s="25"/>
      <c r="AB270" s="25"/>
      <c r="AC270" s="25"/>
      <c r="AD270" s="6">
        <f t="shared" si="92"/>
        <v>6.379999999999999</v>
      </c>
      <c r="AE270" s="6">
        <f t="shared" si="93"/>
        <v>28.71</v>
      </c>
      <c r="AF270" s="6">
        <f t="shared" si="94"/>
        <v>3.3357883703707811</v>
      </c>
      <c r="AG270" s="6">
        <f t="shared" si="95"/>
        <v>1.6825641615274316</v>
      </c>
      <c r="AH270" s="6">
        <f t="shared" si="104"/>
        <v>0.82661210442167476</v>
      </c>
      <c r="AI270" s="6">
        <f t="shared" si="105"/>
        <v>5.7047148700501656E-2</v>
      </c>
      <c r="AJ270" s="6">
        <f t="shared" si="106"/>
        <v>0.23732033517946285</v>
      </c>
      <c r="AK270" s="6">
        <f t="shared" si="107"/>
        <v>0.58929176924221194</v>
      </c>
      <c r="AL270" s="6">
        <f t="shared" si="96"/>
        <v>0.70950000000000002</v>
      </c>
      <c r="AM270" s="6">
        <v>13.5</v>
      </c>
      <c r="AN270" s="6">
        <f t="shared" si="90"/>
        <v>24.812666666666662</v>
      </c>
    </row>
    <row r="271" spans="1:40" x14ac:dyDescent="0.2">
      <c r="A271" s="1">
        <f t="shared" si="89"/>
        <v>266</v>
      </c>
      <c r="B271" s="2">
        <v>25.84</v>
      </c>
      <c r="C271" s="2">
        <v>60.528779999999998</v>
      </c>
      <c r="D271" s="2">
        <v>1.5120733333333332</v>
      </c>
      <c r="E271" s="2">
        <v>35.1</v>
      </c>
      <c r="F271" s="2">
        <v>100</v>
      </c>
      <c r="G271" s="2">
        <v>6.1495199999999999</v>
      </c>
      <c r="H271" s="2">
        <v>16.309999999999999</v>
      </c>
      <c r="I271" s="2">
        <v>28.56</v>
      </c>
      <c r="J271" s="2">
        <v>0</v>
      </c>
      <c r="K271" s="3">
        <v>21.99</v>
      </c>
      <c r="L271" s="3">
        <v>10.46102</v>
      </c>
      <c r="N271" s="6">
        <f t="shared" si="97"/>
        <v>3.9790983225185168</v>
      </c>
      <c r="O271" s="6">
        <f t="shared" si="98"/>
        <v>21.6282598997037</v>
      </c>
      <c r="P271" s="6">
        <f t="shared" si="99"/>
        <v>3.3497099999999995</v>
      </c>
      <c r="Q271" s="6">
        <f t="shared" si="91"/>
        <v>5.8736726176127974</v>
      </c>
      <c r="R271" s="6">
        <f t="shared" si="100"/>
        <v>6.126593471418242</v>
      </c>
      <c r="S271" s="6">
        <f t="shared" si="101"/>
        <v>7.9653685885714269</v>
      </c>
      <c r="T271" s="6">
        <f t="shared" si="102"/>
        <v>6.5379867116500696</v>
      </c>
      <c r="U271" s="6">
        <f t="shared" si="103"/>
        <v>27.327503679063717</v>
      </c>
      <c r="X271" s="6"/>
      <c r="Y271" s="6"/>
      <c r="Z271" s="25"/>
      <c r="AA271" s="25"/>
      <c r="AB271" s="25"/>
      <c r="AC271" s="25"/>
      <c r="AD271" s="6">
        <f t="shared" si="92"/>
        <v>9.3950000000000014</v>
      </c>
      <c r="AE271" s="6">
        <f t="shared" si="93"/>
        <v>35.72</v>
      </c>
      <c r="AF271" s="6">
        <f t="shared" si="94"/>
        <v>4.3615457470670798</v>
      </c>
      <c r="AG271" s="6">
        <f t="shared" si="95"/>
        <v>1.6159189766914128</v>
      </c>
      <c r="AH271" s="6">
        <f t="shared" si="104"/>
        <v>1.3728133851878335</v>
      </c>
      <c r="AI271" s="6">
        <f t="shared" si="105"/>
        <v>9.2440601857013707E-2</v>
      </c>
      <c r="AJ271" s="6">
        <f t="shared" si="106"/>
        <v>0.49036894118909408</v>
      </c>
      <c r="AK271" s="6">
        <f t="shared" si="107"/>
        <v>0.88244444399873934</v>
      </c>
      <c r="AL271" s="6">
        <f t="shared" si="96"/>
        <v>0.74140000000000006</v>
      </c>
      <c r="AM271" s="6">
        <v>13.5</v>
      </c>
      <c r="AN271" s="6">
        <f t="shared" si="90"/>
        <v>24.812666666666662</v>
      </c>
    </row>
    <row r="272" spans="1:40" x14ac:dyDescent="0.2">
      <c r="A272" s="1">
        <f t="shared" si="89"/>
        <v>267</v>
      </c>
      <c r="B272" s="2">
        <v>27.31</v>
      </c>
      <c r="C272" s="2">
        <v>48.810416666666676</v>
      </c>
      <c r="D272" s="2">
        <v>1.7176900000000002</v>
      </c>
      <c r="E272" s="2">
        <v>36.49</v>
      </c>
      <c r="F272" s="2">
        <v>92.1</v>
      </c>
      <c r="G272" s="2">
        <v>9.49</v>
      </c>
      <c r="H272" s="2">
        <v>17.559999999999999</v>
      </c>
      <c r="I272" s="2">
        <v>17.940000000000001</v>
      </c>
      <c r="J272" s="2">
        <v>0</v>
      </c>
      <c r="K272" s="3">
        <v>22.8</v>
      </c>
      <c r="L272" s="3">
        <v>10.11683</v>
      </c>
      <c r="N272" s="6">
        <f t="shared" si="97"/>
        <v>3.9790983225185168</v>
      </c>
      <c r="O272" s="6">
        <f t="shared" si="98"/>
        <v>21.6282598997037</v>
      </c>
      <c r="P272" s="6">
        <f t="shared" si="99"/>
        <v>3.3497099999999995</v>
      </c>
      <c r="Q272" s="6">
        <f t="shared" si="91"/>
        <v>6.0941022756360468</v>
      </c>
      <c r="R272" s="6">
        <f t="shared" si="100"/>
        <v>6.3565148496889057</v>
      </c>
      <c r="S272" s="6">
        <f t="shared" si="101"/>
        <v>8.4225219428571414</v>
      </c>
      <c r="T272" s="6">
        <f t="shared" si="102"/>
        <v>7.215575744396391</v>
      </c>
      <c r="U272" s="6">
        <f t="shared" si="103"/>
        <v>32.043791702358817</v>
      </c>
      <c r="X272" s="6"/>
      <c r="Y272" s="6"/>
      <c r="Z272" s="25"/>
      <c r="AA272" s="25"/>
      <c r="AB272" s="25"/>
      <c r="AC272" s="25"/>
      <c r="AD272" s="6">
        <f t="shared" si="92"/>
        <v>9.4650000000000016</v>
      </c>
      <c r="AE272" s="6">
        <f t="shared" si="93"/>
        <v>37.08</v>
      </c>
      <c r="AF272" s="6">
        <f t="shared" si="94"/>
        <v>4.6715632940484593</v>
      </c>
      <c r="AG272" s="6">
        <f t="shared" si="95"/>
        <v>1.7331508697118991</v>
      </c>
      <c r="AH272" s="6">
        <f t="shared" si="104"/>
        <v>1.4692062121682801</v>
      </c>
      <c r="AI272" s="6">
        <f t="shared" si="105"/>
        <v>9.8875248318400666E-2</v>
      </c>
      <c r="AJ272" s="6">
        <f t="shared" si="106"/>
        <v>0.54478166347199819</v>
      </c>
      <c r="AK272" s="6">
        <f t="shared" si="107"/>
        <v>0.92442454869628188</v>
      </c>
      <c r="AL272" s="6">
        <f t="shared" si="96"/>
        <v>0.75609999999999999</v>
      </c>
      <c r="AM272" s="6">
        <v>13.5</v>
      </c>
      <c r="AN272" s="6">
        <f t="shared" si="90"/>
        <v>24.812666666666662</v>
      </c>
    </row>
    <row r="273" spans="1:40" x14ac:dyDescent="0.2">
      <c r="A273" s="1">
        <f t="shared" si="89"/>
        <v>268</v>
      </c>
      <c r="B273" s="2">
        <v>28.25</v>
      </c>
      <c r="C273" s="2">
        <v>41.005520833333328</v>
      </c>
      <c r="D273" s="2">
        <v>1.3792133333333334</v>
      </c>
      <c r="E273" s="2">
        <v>38.21</v>
      </c>
      <c r="F273" s="2">
        <v>70.37</v>
      </c>
      <c r="G273" s="2">
        <v>5.9976799999999999</v>
      </c>
      <c r="H273" s="2">
        <v>17.420000000000002</v>
      </c>
      <c r="I273" s="2">
        <v>20.100000000000001</v>
      </c>
      <c r="J273" s="2">
        <v>0</v>
      </c>
      <c r="K273" s="3">
        <v>21.81</v>
      </c>
      <c r="L273" s="3">
        <v>10.12191</v>
      </c>
      <c r="N273" s="6">
        <f t="shared" si="97"/>
        <v>3.9790983225185168</v>
      </c>
      <c r="O273" s="6">
        <f t="shared" si="98"/>
        <v>21.6282598997037</v>
      </c>
      <c r="P273" s="6">
        <f t="shared" si="99"/>
        <v>3.3497099999999995</v>
      </c>
      <c r="Q273" s="6">
        <f t="shared" si="91"/>
        <v>6.5195629601080194</v>
      </c>
      <c r="R273" s="6">
        <f t="shared" si="100"/>
        <v>6.8002959082407388</v>
      </c>
      <c r="S273" s="6">
        <f t="shared" si="101"/>
        <v>8.1569711571428574</v>
      </c>
      <c r="T273" s="6">
        <f t="shared" si="102"/>
        <v>8.0963330991794997</v>
      </c>
      <c r="U273" s="6">
        <f t="shared" si="103"/>
        <v>35.367634303460115</v>
      </c>
      <c r="X273" s="6"/>
      <c r="Y273" s="6"/>
      <c r="Z273" s="25"/>
      <c r="AA273" s="25"/>
      <c r="AB273" s="25"/>
      <c r="AC273" s="25"/>
      <c r="AD273" s="6">
        <f t="shared" si="92"/>
        <v>10.395</v>
      </c>
      <c r="AE273" s="6">
        <f t="shared" si="93"/>
        <v>25.135000000000002</v>
      </c>
      <c r="AF273" s="6">
        <f t="shared" si="94"/>
        <v>5.0815432445727131</v>
      </c>
      <c r="AG273" s="6">
        <f t="shared" si="95"/>
        <v>1.7196604224814214</v>
      </c>
      <c r="AH273" s="6">
        <f t="shared" si="104"/>
        <v>1.6809414110456458</v>
      </c>
      <c r="AI273" s="6">
        <f t="shared" si="105"/>
        <v>0.11227680627550256</v>
      </c>
      <c r="AJ273" s="6">
        <f t="shared" si="106"/>
        <v>0.42250462366632308</v>
      </c>
      <c r="AK273" s="6">
        <f t="shared" si="107"/>
        <v>1.2584367873793227</v>
      </c>
      <c r="AL273" s="6">
        <f t="shared" si="96"/>
        <v>0.76550000000000007</v>
      </c>
      <c r="AM273" s="6">
        <v>13.5</v>
      </c>
      <c r="AN273" s="6">
        <f>$X$14</f>
        <v>24.812666666666662</v>
      </c>
    </row>
    <row r="274" spans="1:40" x14ac:dyDescent="0.2">
      <c r="A274" s="1">
        <f t="shared" si="89"/>
        <v>269</v>
      </c>
      <c r="B274" s="2">
        <v>28.77</v>
      </c>
      <c r="C274" s="2">
        <v>42.990833333333342</v>
      </c>
      <c r="D274" s="2">
        <v>1.5879933333333331</v>
      </c>
      <c r="E274" s="2">
        <v>38.450000000000003</v>
      </c>
      <c r="F274" s="2">
        <v>92.2</v>
      </c>
      <c r="G274" s="2">
        <v>6.5291199999999998</v>
      </c>
      <c r="H274" s="2">
        <v>17.079999999999998</v>
      </c>
      <c r="I274" s="2">
        <v>15.96</v>
      </c>
      <c r="J274" s="2">
        <v>0</v>
      </c>
      <c r="K274" s="3">
        <v>22.75</v>
      </c>
      <c r="L274" s="3">
        <v>10.67296</v>
      </c>
      <c r="N274" s="6">
        <f t="shared" si="97"/>
        <v>3.9790983225185168</v>
      </c>
      <c r="O274" s="6">
        <f t="shared" si="98"/>
        <v>21.6282598997037</v>
      </c>
      <c r="P274" s="6">
        <f t="shared" si="99"/>
        <v>3.3497099999999995</v>
      </c>
      <c r="Q274" s="6">
        <f t="shared" si="91"/>
        <v>6.6845180990844879</v>
      </c>
      <c r="R274" s="6">
        <f t="shared" si="100"/>
        <v>6.9723540298493045</v>
      </c>
      <c r="S274" s="6">
        <f t="shared" si="101"/>
        <v>8.5663304999999994</v>
      </c>
      <c r="T274" s="6">
        <f t="shared" si="102"/>
        <v>7.5779851721374323</v>
      </c>
      <c r="U274" s="6">
        <f t="shared" si="103"/>
        <v>37.311214227017338</v>
      </c>
      <c r="X274" s="6"/>
      <c r="Y274" s="6"/>
      <c r="Z274" s="25"/>
      <c r="AA274" s="25"/>
      <c r="AB274" s="25"/>
      <c r="AC274" s="25"/>
      <c r="AD274" s="6">
        <f t="shared" si="92"/>
        <v>10.685000000000002</v>
      </c>
      <c r="AE274" s="6">
        <f t="shared" si="93"/>
        <v>38.120000000000005</v>
      </c>
      <c r="AF274" s="6">
        <f t="shared" si="94"/>
        <v>5.1411616388065813</v>
      </c>
      <c r="AG274" s="6">
        <f t="shared" si="95"/>
        <v>1.6872805283902956</v>
      </c>
      <c r="AH274" s="6">
        <f t="shared" si="104"/>
        <v>1.7269405552081429</v>
      </c>
      <c r="AI274" s="6">
        <f t="shared" si="105"/>
        <v>0.11507964623305839</v>
      </c>
      <c r="AJ274" s="6">
        <f t="shared" si="106"/>
        <v>0.65830973964534423</v>
      </c>
      <c r="AK274" s="6">
        <f t="shared" si="107"/>
        <v>1.0686308155627988</v>
      </c>
      <c r="AL274" s="6">
        <f t="shared" si="96"/>
        <v>0.77069999999999994</v>
      </c>
      <c r="AM274" s="6">
        <v>13.5</v>
      </c>
      <c r="AN274" s="6">
        <f t="shared" si="90"/>
        <v>24.812666666666662</v>
      </c>
    </row>
    <row r="275" spans="1:40" x14ac:dyDescent="0.2">
      <c r="A275" s="1">
        <f t="shared" si="89"/>
        <v>270</v>
      </c>
      <c r="B275" s="2">
        <v>29.91</v>
      </c>
      <c r="C275" s="2">
        <v>35.741354166666675</v>
      </c>
      <c r="D275" s="2">
        <v>2.1447399999999996</v>
      </c>
      <c r="E275" s="2">
        <v>39.549999999999997</v>
      </c>
      <c r="F275" s="2">
        <v>69.930000000000007</v>
      </c>
      <c r="G275" s="2">
        <v>12.830479999999998</v>
      </c>
      <c r="H275" s="2">
        <v>18.96</v>
      </c>
      <c r="I275" s="2">
        <v>15.34</v>
      </c>
      <c r="J275" s="2">
        <v>0</v>
      </c>
      <c r="K275" s="3">
        <v>22.4</v>
      </c>
      <c r="L275" s="3">
        <v>10.05673</v>
      </c>
      <c r="N275" s="6">
        <f t="shared" si="97"/>
        <v>3.9790983225185168</v>
      </c>
      <c r="O275" s="6">
        <f t="shared" si="98"/>
        <v>21.6282598997037</v>
      </c>
      <c r="P275" s="6">
        <f t="shared" si="99"/>
        <v>3.3497099999999995</v>
      </c>
      <c r="Q275" s="6">
        <f t="shared" si="91"/>
        <v>6.7220106217249427</v>
      </c>
      <c r="R275" s="6">
        <f t="shared" si="100"/>
        <v>7.0114609837757502</v>
      </c>
      <c r="S275" s="6">
        <f t="shared" si="101"/>
        <v>8.5593023999999982</v>
      </c>
      <c r="T275" s="6">
        <f t="shared" si="102"/>
        <v>9.5146116821027888</v>
      </c>
      <c r="U275" s="6">
        <f t="shared" si="103"/>
        <v>41.870125086579044</v>
      </c>
      <c r="X275" s="6"/>
      <c r="Y275" s="6"/>
      <c r="Z275" s="25"/>
      <c r="AA275" s="25"/>
      <c r="AB275" s="25"/>
      <c r="AC275" s="25"/>
      <c r="AD275" s="6">
        <f t="shared" si="92"/>
        <v>10.294999999999998</v>
      </c>
      <c r="AE275" s="6">
        <f t="shared" si="93"/>
        <v>27.295000000000002</v>
      </c>
      <c r="AF275" s="6">
        <f t="shared" si="94"/>
        <v>5.4222469805821225</v>
      </c>
      <c r="AG275" s="6">
        <f t="shared" si="95"/>
        <v>1.8732436946192541</v>
      </c>
      <c r="AH275" s="6">
        <f t="shared" si="104"/>
        <v>1.7745016429814342</v>
      </c>
      <c r="AI275" s="6">
        <f t="shared" si="105"/>
        <v>0.11862182994914874</v>
      </c>
      <c r="AJ275" s="6">
        <f t="shared" si="106"/>
        <v>0.48435022345178247</v>
      </c>
      <c r="AK275" s="6">
        <f t="shared" si="107"/>
        <v>1.2901514195296517</v>
      </c>
      <c r="AL275" s="6">
        <f t="shared" si="96"/>
        <v>0.78210000000000002</v>
      </c>
      <c r="AM275" s="6">
        <v>13.5</v>
      </c>
      <c r="AN275" s="6">
        <f t="shared" si="90"/>
        <v>24.812666666666662</v>
      </c>
    </row>
    <row r="276" spans="1:40" x14ac:dyDescent="0.2">
      <c r="A276" s="1">
        <f t="shared" si="89"/>
        <v>271</v>
      </c>
      <c r="B276" s="2">
        <v>25.08</v>
      </c>
      <c r="C276" s="2">
        <v>61.812604166666681</v>
      </c>
      <c r="D276" s="2">
        <v>2.7552633333333332</v>
      </c>
      <c r="E276" s="2">
        <v>30.89</v>
      </c>
      <c r="F276" s="2">
        <v>85.4</v>
      </c>
      <c r="G276" s="2">
        <v>8.8067200000000003</v>
      </c>
      <c r="H276" s="2">
        <v>18.14</v>
      </c>
      <c r="I276" s="2">
        <v>29.57</v>
      </c>
      <c r="J276" s="2">
        <v>0.50800000000000001</v>
      </c>
      <c r="K276" s="3">
        <v>12.29</v>
      </c>
      <c r="L276" s="3">
        <v>4.4721019999999996</v>
      </c>
      <c r="N276" s="6">
        <f t="shared" si="97"/>
        <v>3.9790983225185168</v>
      </c>
      <c r="O276" s="6">
        <f t="shared" si="98"/>
        <v>21.6282598997037</v>
      </c>
      <c r="P276" s="6">
        <f t="shared" si="99"/>
        <v>3.3497099999999995</v>
      </c>
      <c r="Q276" s="6">
        <f t="shared" si="91"/>
        <v>4.7541346020221171</v>
      </c>
      <c r="R276" s="6">
        <f t="shared" si="100"/>
        <v>4.9588480514990021</v>
      </c>
      <c r="S276" s="6">
        <f t="shared" si="101"/>
        <v>4.406133548571427</v>
      </c>
      <c r="T276" s="6">
        <f t="shared" si="102"/>
        <v>4.5118836508927638</v>
      </c>
      <c r="U276" s="6">
        <f t="shared" si="103"/>
        <v>25.107037053064332</v>
      </c>
      <c r="X276" s="6"/>
      <c r="Y276" s="6"/>
      <c r="Z276" s="25"/>
      <c r="AA276" s="25"/>
      <c r="AB276" s="25"/>
      <c r="AC276" s="25"/>
      <c r="AD276" s="6">
        <f t="shared" si="92"/>
        <v>6.375</v>
      </c>
      <c r="AE276" s="6">
        <f t="shared" si="93"/>
        <v>27.915000000000003</v>
      </c>
      <c r="AF276" s="6">
        <f t="shared" si="94"/>
        <v>3.5290191742895551</v>
      </c>
      <c r="AG276" s="6">
        <f t="shared" si="95"/>
        <v>1.7900334180248423</v>
      </c>
      <c r="AH276" s="6">
        <f t="shared" si="104"/>
        <v>0.86949287813235643</v>
      </c>
      <c r="AI276" s="6">
        <f t="shared" si="105"/>
        <v>6.0008950815309638E-2</v>
      </c>
      <c r="AJ276" s="6">
        <f t="shared" si="106"/>
        <v>0.24271893693064733</v>
      </c>
      <c r="AK276" s="6">
        <f t="shared" si="107"/>
        <v>0.62677394120170904</v>
      </c>
      <c r="AL276" s="6">
        <f t="shared" si="96"/>
        <v>0.73380000000000001</v>
      </c>
      <c r="AM276" s="6">
        <v>13.5</v>
      </c>
      <c r="AN276" s="6">
        <f t="shared" si="90"/>
        <v>24.812666666666662</v>
      </c>
    </row>
    <row r="277" spans="1:40" x14ac:dyDescent="0.2">
      <c r="A277" s="1">
        <f t="shared" si="89"/>
        <v>272</v>
      </c>
      <c r="B277" s="2">
        <v>21.62</v>
      </c>
      <c r="C277" s="2">
        <v>61.002189999999999</v>
      </c>
      <c r="D277" s="2">
        <v>2.5781166666666659</v>
      </c>
      <c r="E277" s="2">
        <v>31.09</v>
      </c>
      <c r="F277" s="2">
        <v>81.400000000000006</v>
      </c>
      <c r="G277" s="2">
        <v>9.1863200000000003</v>
      </c>
      <c r="H277" s="2">
        <v>15.41</v>
      </c>
      <c r="I277" s="2">
        <v>34.369999999999997</v>
      </c>
      <c r="J277" s="2">
        <v>0</v>
      </c>
      <c r="K277" s="3">
        <v>24.92</v>
      </c>
      <c r="L277" s="3">
        <v>10.220079999999999</v>
      </c>
      <c r="N277" s="6">
        <f t="shared" si="97"/>
        <v>3.9790983225185168</v>
      </c>
      <c r="O277" s="6">
        <f t="shared" si="98"/>
        <v>21.6282598997037</v>
      </c>
      <c r="P277" s="6">
        <f t="shared" si="99"/>
        <v>3.3497099999999995</v>
      </c>
      <c r="Q277" s="6">
        <f t="shared" si="91"/>
        <v>4.8467570827832995</v>
      </c>
      <c r="R277" s="6">
        <f t="shared" si="100"/>
        <v>5.0554588643380489</v>
      </c>
      <c r="S277" s="6">
        <f t="shared" si="101"/>
        <v>8.5128998400000011</v>
      </c>
      <c r="T277" s="6">
        <f t="shared" si="102"/>
        <v>6.4069597085308132</v>
      </c>
      <c r="U277" s="6">
        <f t="shared" si="103"/>
        <v>16.631410332870043</v>
      </c>
      <c r="X277" s="6"/>
      <c r="Y277" s="6"/>
      <c r="Z277" s="25"/>
      <c r="AA277" s="25"/>
      <c r="AB277" s="25"/>
      <c r="AC277" s="25"/>
      <c r="AD277" s="6">
        <f t="shared" si="92"/>
        <v>7.84</v>
      </c>
      <c r="AE277" s="6">
        <f t="shared" si="93"/>
        <v>23.515000000000004</v>
      </c>
      <c r="AF277" s="6">
        <f t="shared" si="94"/>
        <v>3.565180213207249</v>
      </c>
      <c r="AG277" s="6">
        <f t="shared" si="95"/>
        <v>1.5358768889753565</v>
      </c>
      <c r="AH277" s="6">
        <f t="shared" si="104"/>
        <v>1.0146516621159463</v>
      </c>
      <c r="AI277" s="6">
        <f t="shared" si="105"/>
        <v>6.9192745236985972E-2</v>
      </c>
      <c r="AJ277" s="6">
        <f t="shared" si="106"/>
        <v>0.23859533834656482</v>
      </c>
      <c r="AK277" s="6">
        <f t="shared" si="107"/>
        <v>0.77605632376938138</v>
      </c>
      <c r="AL277" s="6">
        <f t="shared" si="96"/>
        <v>0.69920000000000004</v>
      </c>
      <c r="AM277" s="6">
        <v>13.5</v>
      </c>
      <c r="AN277" s="6">
        <f t="shared" si="90"/>
        <v>24.812666666666662</v>
      </c>
    </row>
    <row r="278" spans="1:40" x14ac:dyDescent="0.2">
      <c r="A278" s="1">
        <f t="shared" si="89"/>
        <v>273</v>
      </c>
      <c r="B278" s="2">
        <v>23.9</v>
      </c>
      <c r="C278" s="2">
        <v>62.896349999999998</v>
      </c>
      <c r="D278" s="2">
        <v>1.5658499999999997</v>
      </c>
      <c r="E278" s="2">
        <v>34.380000000000003</v>
      </c>
      <c r="F278" s="2">
        <v>95.1</v>
      </c>
      <c r="G278" s="2">
        <v>8.1993600000000004</v>
      </c>
      <c r="H278" s="2">
        <v>14.16</v>
      </c>
      <c r="I278" s="2">
        <v>31.43</v>
      </c>
      <c r="J278" s="2">
        <v>0</v>
      </c>
      <c r="K278" s="3">
        <v>23.61</v>
      </c>
      <c r="L278" s="3">
        <v>9.7155810000000002</v>
      </c>
      <c r="N278" s="6">
        <f t="shared" si="97"/>
        <v>3.9790983225185168</v>
      </c>
      <c r="O278" s="6">
        <f t="shared" si="98"/>
        <v>21.6282598997037</v>
      </c>
      <c r="P278" s="6">
        <f t="shared" si="99"/>
        <v>3.3497099999999995</v>
      </c>
      <c r="Q278" s="6">
        <f t="shared" si="91"/>
        <v>5.8222149503148293</v>
      </c>
      <c r="R278" s="6">
        <f t="shared" si="100"/>
        <v>6.0729200324906438</v>
      </c>
      <c r="S278" s="6">
        <f t="shared" si="101"/>
        <v>8.3283937714285692</v>
      </c>
      <c r="T278" s="6">
        <f t="shared" si="102"/>
        <v>7.2538682355028827</v>
      </c>
      <c r="U278" s="6">
        <f t="shared" si="103"/>
        <v>21.928597537350715</v>
      </c>
      <c r="X278" s="6"/>
      <c r="Y278" s="6"/>
      <c r="Z278" s="25"/>
      <c r="AA278" s="25"/>
      <c r="AB278" s="25"/>
      <c r="AC278" s="25"/>
      <c r="AD278" s="6">
        <f t="shared" si="92"/>
        <v>10.110000000000001</v>
      </c>
      <c r="AE278" s="6">
        <f t="shared" si="93"/>
        <v>31.834999999999997</v>
      </c>
      <c r="AF278" s="6">
        <f t="shared" si="94"/>
        <v>4.2081114372594239</v>
      </c>
      <c r="AG278" s="6">
        <f t="shared" si="95"/>
        <v>1.4304869998118801</v>
      </c>
      <c r="AH278" s="6">
        <f t="shared" si="104"/>
        <v>1.3888122187237719</v>
      </c>
      <c r="AI278" s="6">
        <f t="shared" si="105"/>
        <v>9.297816788631677E-2</v>
      </c>
      <c r="AJ278" s="6">
        <f t="shared" si="106"/>
        <v>0.4421283698307128</v>
      </c>
      <c r="AK278" s="6">
        <f t="shared" si="107"/>
        <v>0.94668384889305912</v>
      </c>
      <c r="AL278" s="6">
        <f t="shared" si="96"/>
        <v>0.72199999999999998</v>
      </c>
      <c r="AM278" s="6">
        <v>13.5</v>
      </c>
      <c r="AN278" s="6">
        <f t="shared" si="90"/>
        <v>24.812666666666662</v>
      </c>
    </row>
    <row r="279" spans="1:40" x14ac:dyDescent="0.2">
      <c r="A279" s="1">
        <f t="shared" si="89"/>
        <v>274</v>
      </c>
      <c r="B279" s="2">
        <v>25.75</v>
      </c>
      <c r="C279" s="2">
        <v>51.896494845360813</v>
      </c>
      <c r="D279" s="2">
        <v>1.4329900000000002</v>
      </c>
      <c r="E279" s="2">
        <v>35.619999999999997</v>
      </c>
      <c r="F279" s="2">
        <v>99.4</v>
      </c>
      <c r="G279" s="2">
        <v>6.225439999999999</v>
      </c>
      <c r="H279" s="2">
        <v>15.79</v>
      </c>
      <c r="I279" s="2">
        <v>26.4</v>
      </c>
      <c r="J279" s="2">
        <v>0</v>
      </c>
      <c r="K279" s="3">
        <v>23.32</v>
      </c>
      <c r="L279" s="3">
        <v>10.196730000000001</v>
      </c>
      <c r="N279" s="6">
        <f t="shared" si="97"/>
        <v>3.9790983225185168</v>
      </c>
      <c r="O279" s="6">
        <f t="shared" si="98"/>
        <v>21.6282598997037</v>
      </c>
      <c r="P279" s="6">
        <f t="shared" si="99"/>
        <v>3.3497099999999995</v>
      </c>
      <c r="Q279" s="6">
        <f t="shared" si="91"/>
        <v>6.0215891564541684</v>
      </c>
      <c r="R279" s="6">
        <f t="shared" si="100"/>
        <v>6.2808793092878776</v>
      </c>
      <c r="S279" s="6">
        <f t="shared" si="101"/>
        <v>8.4368761714285689</v>
      </c>
      <c r="T279" s="6">
        <f t="shared" si="102"/>
        <v>6.9163283438590435</v>
      </c>
      <c r="U279" s="6">
        <f t="shared" si="103"/>
        <v>27.062979166027301</v>
      </c>
      <c r="X279" s="6"/>
      <c r="Y279" s="6"/>
      <c r="Z279" s="25"/>
      <c r="AA279" s="25"/>
      <c r="AB279" s="25"/>
      <c r="AC279" s="25"/>
      <c r="AD279" s="6">
        <f t="shared" si="92"/>
        <v>9.9149999999999991</v>
      </c>
      <c r="AE279" s="6">
        <f t="shared" si="93"/>
        <v>36.5</v>
      </c>
      <c r="AF279" s="6">
        <f t="shared" si="94"/>
        <v>4.4753624135078827</v>
      </c>
      <c r="AG279" s="6">
        <f t="shared" si="95"/>
        <v>1.5692376696792985</v>
      </c>
      <c r="AH279" s="6">
        <f t="shared" si="104"/>
        <v>1.4530623719142921</v>
      </c>
      <c r="AI279" s="6">
        <f t="shared" si="105"/>
        <v>9.7433111925152013E-2</v>
      </c>
      <c r="AJ279" s="6">
        <f t="shared" si="106"/>
        <v>0.53036776574871658</v>
      </c>
      <c r="AK279" s="6">
        <f t="shared" si="107"/>
        <v>0.92269460616557553</v>
      </c>
      <c r="AL279" s="6">
        <f t="shared" si="96"/>
        <v>0.74049999999999994</v>
      </c>
      <c r="AM279" s="6">
        <v>13.5</v>
      </c>
      <c r="AN279" s="6">
        <f t="shared" si="90"/>
        <v>24.812666666666662</v>
      </c>
    </row>
    <row r="280" spans="1:40" x14ac:dyDescent="0.2">
      <c r="A280" s="1">
        <f t="shared" si="89"/>
        <v>275</v>
      </c>
      <c r="B280" s="2">
        <v>28.32</v>
      </c>
      <c r="C280" s="2">
        <v>43.777708333333322</v>
      </c>
      <c r="D280" s="2">
        <v>1.569013</v>
      </c>
      <c r="E280" s="2">
        <v>37.78</v>
      </c>
      <c r="F280" s="2">
        <v>84.1</v>
      </c>
      <c r="G280" s="2">
        <v>7.1364799999999997</v>
      </c>
      <c r="H280" s="2">
        <v>17.760000000000002</v>
      </c>
      <c r="I280" s="2">
        <v>18.559999999999999</v>
      </c>
      <c r="J280" s="2">
        <v>0</v>
      </c>
      <c r="K280" s="3">
        <v>22.79</v>
      </c>
      <c r="L280" s="3">
        <v>9.8387600000000006</v>
      </c>
      <c r="N280" s="6">
        <f t="shared" si="97"/>
        <v>3.6834307614637547</v>
      </c>
      <c r="O280" s="6">
        <f t="shared" si="98"/>
        <v>20.227849238536248</v>
      </c>
      <c r="P280" s="6">
        <f t="shared" si="99"/>
        <v>3.6756029032258066</v>
      </c>
      <c r="Q280" s="6">
        <f t="shared" si="91"/>
        <v>7.2617384398421088</v>
      </c>
      <c r="R280" s="6">
        <f t="shared" si="100"/>
        <v>7.5744295286864745</v>
      </c>
      <c r="S280" s="6">
        <f t="shared" si="101"/>
        <v>8.5312867371428549</v>
      </c>
      <c r="T280" s="6">
        <f t="shared" si="102"/>
        <v>7.7296097783894577</v>
      </c>
      <c r="U280" s="6">
        <f t="shared" si="103"/>
        <v>35.622710136103755</v>
      </c>
      <c r="X280" s="6"/>
      <c r="Y280" s="6"/>
      <c r="Z280" s="25"/>
      <c r="AA280" s="25"/>
      <c r="AB280" s="25"/>
      <c r="AC280" s="25"/>
      <c r="AD280" s="6">
        <f t="shared" si="92"/>
        <v>10.01</v>
      </c>
      <c r="AE280" s="6">
        <f t="shared" si="93"/>
        <v>32.769999999999996</v>
      </c>
      <c r="AF280" s="6">
        <f t="shared" si="94"/>
        <v>4.9762266560417681</v>
      </c>
      <c r="AG280" s="6">
        <f t="shared" si="95"/>
        <v>1.7525838716721218</v>
      </c>
      <c r="AH280" s="6">
        <f t="shared" si="104"/>
        <v>1.6118213921848232</v>
      </c>
      <c r="AI280" s="6">
        <f t="shared" si="105"/>
        <v>0.10799546397181849</v>
      </c>
      <c r="AJ280" s="6">
        <f t="shared" si="106"/>
        <v>0.52819387021896658</v>
      </c>
      <c r="AK280" s="6">
        <f t="shared" si="107"/>
        <v>1.0836275219658567</v>
      </c>
      <c r="AL280" s="6">
        <f t="shared" si="96"/>
        <v>0.76619999999999999</v>
      </c>
      <c r="AM280" s="6">
        <v>15.3</v>
      </c>
      <c r="AN280" s="6">
        <f>$X$15</f>
        <v>24.023548387096774</v>
      </c>
    </row>
    <row r="281" spans="1:40" x14ac:dyDescent="0.2">
      <c r="A281" s="1">
        <f t="shared" si="89"/>
        <v>276</v>
      </c>
      <c r="B281" s="2">
        <v>29.81</v>
      </c>
      <c r="C281" s="2">
        <v>39.731666666666648</v>
      </c>
      <c r="D281" s="2">
        <v>2.8533266666666668</v>
      </c>
      <c r="E281" s="2">
        <v>40.229999999999997</v>
      </c>
      <c r="F281" s="2">
        <v>71.92</v>
      </c>
      <c r="G281" s="2">
        <v>12.29904</v>
      </c>
      <c r="H281" s="2">
        <v>22.5</v>
      </c>
      <c r="I281" s="2">
        <v>16.16</v>
      </c>
      <c r="J281" s="2">
        <v>0</v>
      </c>
      <c r="K281" s="3">
        <v>21.57</v>
      </c>
      <c r="L281" s="3">
        <v>8.7964559999999992</v>
      </c>
      <c r="N281" s="6">
        <f t="shared" si="97"/>
        <v>3.6834307614637547</v>
      </c>
      <c r="O281" s="6">
        <f t="shared" si="98"/>
        <v>20.227849238536248</v>
      </c>
      <c r="P281" s="6">
        <f t="shared" si="99"/>
        <v>3.6756029032258066</v>
      </c>
      <c r="Q281" s="6">
        <f t="shared" si="91"/>
        <v>7.0545906123171758</v>
      </c>
      <c r="R281" s="6">
        <f t="shared" si="100"/>
        <v>7.3583618976906351</v>
      </c>
      <c r="S281" s="6">
        <f t="shared" si="101"/>
        <v>8.2316111914285699</v>
      </c>
      <c r="T281" s="6">
        <f t="shared" si="102"/>
        <v>8.9107776625031097</v>
      </c>
      <c r="U281" s="6">
        <f t="shared" si="103"/>
        <v>41.450996964222973</v>
      </c>
      <c r="X281" s="6"/>
      <c r="Y281" s="6"/>
      <c r="Z281" s="25"/>
      <c r="AA281" s="25"/>
      <c r="AB281" s="25"/>
      <c r="AC281" s="25"/>
      <c r="AD281" s="6">
        <f t="shared" si="92"/>
        <v>8.8649999999999984</v>
      </c>
      <c r="AE281" s="6">
        <f t="shared" si="93"/>
        <v>27.880000000000003</v>
      </c>
      <c r="AF281" s="6">
        <f t="shared" si="94"/>
        <v>5.602596052032359</v>
      </c>
      <c r="AG281" s="6">
        <f t="shared" si="95"/>
        <v>2.2726262864385505</v>
      </c>
      <c r="AH281" s="6">
        <f t="shared" si="104"/>
        <v>1.6649848827969043</v>
      </c>
      <c r="AI281" s="6">
        <f t="shared" si="105"/>
        <v>0.11259773118532052</v>
      </c>
      <c r="AJ281" s="6">
        <f t="shared" si="106"/>
        <v>0.46419778532377698</v>
      </c>
      <c r="AK281" s="6">
        <f t="shared" si="107"/>
        <v>1.2007870974731274</v>
      </c>
      <c r="AL281" s="6">
        <f t="shared" si="96"/>
        <v>0.78109999999999991</v>
      </c>
      <c r="AM281" s="6">
        <v>15.3</v>
      </c>
      <c r="AN281" s="6">
        <f t="shared" ref="AN281:AN310" si="108">$X$15</f>
        <v>24.023548387096774</v>
      </c>
    </row>
    <row r="282" spans="1:40" x14ac:dyDescent="0.2">
      <c r="A282" s="1">
        <f t="shared" si="89"/>
        <v>277</v>
      </c>
      <c r="B282" s="2">
        <v>23.55</v>
      </c>
      <c r="C282" s="2">
        <v>64.223541666666662</v>
      </c>
      <c r="D282" s="2">
        <v>3.2993566666666658</v>
      </c>
      <c r="E282" s="2">
        <v>30.98</v>
      </c>
      <c r="F282" s="2">
        <v>83.5</v>
      </c>
      <c r="G282" s="2">
        <v>10.40104</v>
      </c>
      <c r="H282" s="2">
        <v>18.09</v>
      </c>
      <c r="I282" s="2">
        <v>41.31</v>
      </c>
      <c r="J282" s="2">
        <v>0</v>
      </c>
      <c r="K282" s="3">
        <v>19.61</v>
      </c>
      <c r="L282" s="3">
        <v>8.1097870000000007</v>
      </c>
      <c r="N282" s="6">
        <f t="shared" si="97"/>
        <v>3.6834307614637547</v>
      </c>
      <c r="O282" s="6">
        <f t="shared" si="98"/>
        <v>20.227849238536248</v>
      </c>
      <c r="P282" s="6">
        <f t="shared" si="99"/>
        <v>3.6756029032258066</v>
      </c>
      <c r="Q282" s="6">
        <f t="shared" si="91"/>
        <v>5.2242173768471405</v>
      </c>
      <c r="R282" s="6">
        <f t="shared" si="100"/>
        <v>5.4491726314957099</v>
      </c>
      <c r="S282" s="6">
        <f t="shared" si="101"/>
        <v>6.8838663857142857</v>
      </c>
      <c r="T282" s="6">
        <f t="shared" si="102"/>
        <v>5.5612479816028255</v>
      </c>
      <c r="U282" s="6">
        <f t="shared" si="103"/>
        <v>21.044928625626802</v>
      </c>
      <c r="X282" s="6"/>
      <c r="Y282" s="6"/>
      <c r="Z282" s="25"/>
      <c r="AA282" s="25"/>
      <c r="AB282" s="25"/>
      <c r="AC282" s="25"/>
      <c r="AD282" s="6">
        <f t="shared" si="92"/>
        <v>6.4450000000000003</v>
      </c>
      <c r="AE282" s="6">
        <f t="shared" si="93"/>
        <v>21.094999999999999</v>
      </c>
      <c r="AF282" s="6">
        <f t="shared" si="94"/>
        <v>3.545251909059167</v>
      </c>
      <c r="AG282" s="6">
        <f t="shared" si="95"/>
        <v>1.7850661150664831</v>
      </c>
      <c r="AH282" s="6">
        <f t="shared" si="104"/>
        <v>0.88009289699634197</v>
      </c>
      <c r="AI282" s="6">
        <f t="shared" si="105"/>
        <v>6.0705639517070406E-2</v>
      </c>
      <c r="AJ282" s="6">
        <f t="shared" si="106"/>
        <v>0.18565559662137832</v>
      </c>
      <c r="AK282" s="6">
        <f t="shared" si="107"/>
        <v>0.69443730037496365</v>
      </c>
      <c r="AL282" s="6">
        <f t="shared" si="96"/>
        <v>0.71850000000000003</v>
      </c>
      <c r="AM282" s="6">
        <v>15.3</v>
      </c>
      <c r="AN282" s="6">
        <f t="shared" si="108"/>
        <v>24.023548387096774</v>
      </c>
    </row>
    <row r="283" spans="1:40" x14ac:dyDescent="0.2">
      <c r="A283" s="1">
        <f t="shared" si="89"/>
        <v>278</v>
      </c>
      <c r="B283" s="2">
        <v>20.05</v>
      </c>
      <c r="C283" s="2">
        <v>75.685520833333342</v>
      </c>
      <c r="D283" s="2">
        <v>3.6125266666666662</v>
      </c>
      <c r="E283" s="2">
        <v>26.67</v>
      </c>
      <c r="F283" s="2">
        <v>99.3</v>
      </c>
      <c r="G283" s="2">
        <v>9.5659200000000002</v>
      </c>
      <c r="H283" s="2">
        <v>16.13</v>
      </c>
      <c r="I283" s="2">
        <v>51.34</v>
      </c>
      <c r="J283" s="2">
        <v>1.016</v>
      </c>
      <c r="K283" s="3">
        <v>19.54</v>
      </c>
      <c r="L283" s="3">
        <v>8.2467369999999995</v>
      </c>
      <c r="N283" s="6">
        <f t="shared" si="97"/>
        <v>3.6834307614637547</v>
      </c>
      <c r="O283" s="6">
        <f t="shared" si="98"/>
        <v>20.227849238536248</v>
      </c>
      <c r="P283" s="6">
        <f t="shared" si="99"/>
        <v>3.6756029032258066</v>
      </c>
      <c r="Q283" s="6">
        <f t="shared" si="91"/>
        <v>4.3241968503192041</v>
      </c>
      <c r="R283" s="6">
        <f t="shared" si="100"/>
        <v>4.5103971428118497</v>
      </c>
      <c r="S283" s="6">
        <f t="shared" si="101"/>
        <v>6.5251596857142848</v>
      </c>
      <c r="T283" s="6">
        <f t="shared" si="102"/>
        <v>3.9971234496060148</v>
      </c>
      <c r="U283" s="6">
        <f t="shared" si="103"/>
        <v>13.551005221394705</v>
      </c>
      <c r="X283" s="6"/>
      <c r="Y283" s="6"/>
      <c r="Z283" s="25"/>
      <c r="AA283" s="25"/>
      <c r="AB283" s="25"/>
      <c r="AC283" s="25"/>
      <c r="AD283" s="6">
        <f t="shared" si="92"/>
        <v>5.2700000000000014</v>
      </c>
      <c r="AE283" s="6">
        <f t="shared" si="93"/>
        <v>23.979999999999997</v>
      </c>
      <c r="AF283" s="6">
        <f t="shared" si="94"/>
        <v>2.8369905679314877</v>
      </c>
      <c r="AG283" s="6">
        <f t="shared" si="95"/>
        <v>1.5996240428478745</v>
      </c>
      <c r="AH283" s="6">
        <f t="shared" si="104"/>
        <v>0.61868326254180661</v>
      </c>
      <c r="AI283" s="6">
        <f t="shared" si="105"/>
        <v>4.3088973163931364E-2</v>
      </c>
      <c r="AJ283" s="6">
        <f t="shared" si="106"/>
        <v>0.14836024635752521</v>
      </c>
      <c r="AK283" s="6">
        <f t="shared" si="107"/>
        <v>0.47032301618428141</v>
      </c>
      <c r="AL283" s="6">
        <f t="shared" si="96"/>
        <v>0.6835</v>
      </c>
      <c r="AM283" s="6">
        <v>15.3</v>
      </c>
      <c r="AN283" s="6">
        <f t="shared" si="108"/>
        <v>24.023548387096774</v>
      </c>
    </row>
    <row r="284" spans="1:40" x14ac:dyDescent="0.2">
      <c r="A284" s="1">
        <f t="shared" si="89"/>
        <v>279</v>
      </c>
      <c r="B284" s="2">
        <v>22.11</v>
      </c>
      <c r="C284" s="2">
        <v>65.203850000000003</v>
      </c>
      <c r="D284" s="2">
        <v>2.1162700000000001</v>
      </c>
      <c r="E284" s="2">
        <v>31.96</v>
      </c>
      <c r="F284" s="2">
        <v>89</v>
      </c>
      <c r="G284" s="2">
        <v>9.7936800000000002</v>
      </c>
      <c r="H284" s="2">
        <v>15.93</v>
      </c>
      <c r="I284" s="2">
        <v>30.13</v>
      </c>
      <c r="J284" s="2">
        <v>0</v>
      </c>
      <c r="K284" s="3">
        <v>26.05</v>
      </c>
      <c r="L284" s="3">
        <v>10.27173</v>
      </c>
      <c r="N284" s="6">
        <f t="shared" si="97"/>
        <v>3.6834307614637547</v>
      </c>
      <c r="O284" s="6">
        <f t="shared" si="98"/>
        <v>20.227849238536248</v>
      </c>
      <c r="P284" s="6">
        <f t="shared" si="99"/>
        <v>3.6756029032258066</v>
      </c>
      <c r="Q284" s="6">
        <f t="shared" si="91"/>
        <v>5.6229957569570175</v>
      </c>
      <c r="R284" s="6">
        <f t="shared" si="100"/>
        <v>5.8651224433387936</v>
      </c>
      <c r="S284" s="6">
        <f t="shared" si="101"/>
        <v>8.961281871428568</v>
      </c>
      <c r="T284" s="6">
        <f t="shared" si="102"/>
        <v>6.4559740383803206</v>
      </c>
      <c r="U284" s="6">
        <f t="shared" si="103"/>
        <v>17.680435585263265</v>
      </c>
      <c r="X284" s="6"/>
      <c r="Y284" s="6"/>
      <c r="Z284" s="25"/>
      <c r="AA284" s="25"/>
      <c r="AB284" s="25"/>
      <c r="AC284" s="25"/>
      <c r="AD284" s="6">
        <f t="shared" si="92"/>
        <v>8.0150000000000006</v>
      </c>
      <c r="AE284" s="6">
        <f t="shared" si="93"/>
        <v>29.435000000000002</v>
      </c>
      <c r="AF284" s="6">
        <f t="shared" si="94"/>
        <v>3.7262627175258247</v>
      </c>
      <c r="AG284" s="6">
        <f t="shared" si="95"/>
        <v>1.581687805476288</v>
      </c>
      <c r="AH284" s="6">
        <f t="shared" si="104"/>
        <v>1.0722874560247684</v>
      </c>
      <c r="AI284" s="6">
        <f t="shared" si="105"/>
        <v>7.3018846988118155E-2</v>
      </c>
      <c r="AJ284" s="6">
        <f t="shared" si="106"/>
        <v>0.31562781268089063</v>
      </c>
      <c r="AK284" s="6">
        <f t="shared" si="107"/>
        <v>0.7566596433438777</v>
      </c>
      <c r="AL284" s="6">
        <f t="shared" si="96"/>
        <v>0.70409999999999995</v>
      </c>
      <c r="AM284" s="6">
        <v>15.3</v>
      </c>
      <c r="AN284" s="6">
        <f t="shared" si="108"/>
        <v>24.023548387096774</v>
      </c>
    </row>
    <row r="285" spans="1:40" x14ac:dyDescent="0.2">
      <c r="A285" s="1">
        <f t="shared" si="89"/>
        <v>280</v>
      </c>
      <c r="B285" s="2">
        <v>22.69</v>
      </c>
      <c r="C285" s="2">
        <v>62.91563</v>
      </c>
      <c r="D285" s="2">
        <v>1.7524866666666665</v>
      </c>
      <c r="E285" s="2">
        <v>33.659999999999997</v>
      </c>
      <c r="F285" s="2">
        <v>100</v>
      </c>
      <c r="G285" s="2">
        <v>7.1364799999999997</v>
      </c>
      <c r="H285" s="2">
        <v>12.15</v>
      </c>
      <c r="I285" s="2">
        <v>19.72</v>
      </c>
      <c r="J285" s="2">
        <v>0</v>
      </c>
      <c r="K285" s="3">
        <v>25.75</v>
      </c>
      <c r="L285" s="3">
        <v>9.7868379999999995</v>
      </c>
      <c r="N285" s="6">
        <f t="shared" si="97"/>
        <v>3.6834307614637547</v>
      </c>
      <c r="O285" s="6">
        <f t="shared" si="98"/>
        <v>20.227849238536248</v>
      </c>
      <c r="P285" s="6">
        <f t="shared" si="99"/>
        <v>3.6756029032258066</v>
      </c>
      <c r="Q285" s="6">
        <f t="shared" si="91"/>
        <v>6.6082619318830567</v>
      </c>
      <c r="R285" s="6">
        <f t="shared" si="100"/>
        <v>6.8928142654554305</v>
      </c>
      <c r="S285" s="6">
        <f t="shared" si="101"/>
        <v>8.9310490714285695</v>
      </c>
      <c r="T285" s="6">
        <f t="shared" si="102"/>
        <v>6.8512291455350347</v>
      </c>
      <c r="U285" s="6">
        <f t="shared" si="103"/>
        <v>18.986078877488698</v>
      </c>
      <c r="X285" s="6"/>
      <c r="Y285" s="6"/>
      <c r="Z285" s="25"/>
      <c r="AA285" s="25"/>
      <c r="AB285" s="25"/>
      <c r="AC285" s="25"/>
      <c r="AD285" s="6">
        <f t="shared" si="92"/>
        <v>10.754999999999999</v>
      </c>
      <c r="AE285" s="6">
        <f t="shared" si="93"/>
        <v>40.14</v>
      </c>
      <c r="AF285" s="6">
        <f t="shared" si="94"/>
        <v>4.0593927291097724</v>
      </c>
      <c r="AG285" s="6">
        <f t="shared" si="95"/>
        <v>1.2743067998926232</v>
      </c>
      <c r="AH285" s="6">
        <f t="shared" si="104"/>
        <v>1.3925429646085745</v>
      </c>
      <c r="AI285" s="6">
        <f t="shared" si="105"/>
        <v>9.2743736005754099E-2</v>
      </c>
      <c r="AJ285" s="6">
        <f t="shared" si="106"/>
        <v>0.55896674599388185</v>
      </c>
      <c r="AK285" s="6">
        <f t="shared" si="107"/>
        <v>0.83357621861469267</v>
      </c>
      <c r="AL285" s="6">
        <f t="shared" si="96"/>
        <v>0.70989999999999998</v>
      </c>
      <c r="AM285" s="6">
        <v>15.3</v>
      </c>
      <c r="AN285" s="6">
        <f t="shared" si="108"/>
        <v>24.023548387096774</v>
      </c>
    </row>
    <row r="286" spans="1:40" x14ac:dyDescent="0.2">
      <c r="A286" s="1">
        <f t="shared" si="89"/>
        <v>281</v>
      </c>
      <c r="B286" s="9">
        <v>23.68</v>
      </c>
      <c r="C286" s="9">
        <v>55.186494845360805</v>
      </c>
      <c r="D286" s="2">
        <v>1.5626866666666661</v>
      </c>
      <c r="E286" s="9">
        <v>35.67</v>
      </c>
      <c r="F286" s="2">
        <v>88.3</v>
      </c>
      <c r="G286" s="9">
        <v>6.8327999999999998</v>
      </c>
      <c r="H286" s="9">
        <v>14.69</v>
      </c>
      <c r="I286" s="9">
        <v>16.71</v>
      </c>
      <c r="J286" s="9">
        <v>0</v>
      </c>
      <c r="K286" s="10">
        <v>23.24</v>
      </c>
      <c r="L286" s="10">
        <v>8.5064779999999995</v>
      </c>
      <c r="N286" s="6">
        <f t="shared" si="97"/>
        <v>3.6834307614637547</v>
      </c>
      <c r="O286" s="6">
        <f t="shared" si="98"/>
        <v>20.227849238536248</v>
      </c>
      <c r="P286" s="6">
        <f t="shared" si="99"/>
        <v>3.6756029032258066</v>
      </c>
      <c r="Q286" s="6">
        <f t="shared" si="91"/>
        <v>6.6859135452224923</v>
      </c>
      <c r="R286" s="6">
        <f t="shared" si="100"/>
        <v>6.9738095640193869</v>
      </c>
      <c r="S286" s="6">
        <f t="shared" si="101"/>
        <v>8.1728971199999982</v>
      </c>
      <c r="T286" s="6">
        <f t="shared" si="102"/>
        <v>7.1863725214379848</v>
      </c>
      <c r="U286" s="6">
        <f t="shared" si="103"/>
        <v>21.375038467680355</v>
      </c>
      <c r="X286" s="6"/>
      <c r="Y286" s="6"/>
      <c r="Z286" s="25"/>
      <c r="AA286" s="25"/>
      <c r="AB286" s="25"/>
      <c r="AC286" s="25"/>
      <c r="AD286" s="6">
        <f t="shared" si="92"/>
        <v>10.490000000000002</v>
      </c>
      <c r="AE286" s="6">
        <f t="shared" si="93"/>
        <v>35.795000000000002</v>
      </c>
      <c r="AF286" s="6">
        <f t="shared" si="94"/>
        <v>4.4864411300687461</v>
      </c>
      <c r="AG286" s="6">
        <f t="shared" si="95"/>
        <v>1.4743703112313498</v>
      </c>
      <c r="AH286" s="6">
        <f t="shared" si="104"/>
        <v>1.5060354094186983</v>
      </c>
      <c r="AI286" s="6">
        <f t="shared" si="105"/>
        <v>0.10051701559804449</v>
      </c>
      <c r="AJ286" s="6">
        <f t="shared" si="106"/>
        <v>0.53908537480142305</v>
      </c>
      <c r="AK286" s="6">
        <f t="shared" si="107"/>
        <v>0.96695003461727524</v>
      </c>
      <c r="AL286" s="6">
        <f t="shared" si="96"/>
        <v>0.7198</v>
      </c>
      <c r="AM286" s="6">
        <v>15.3</v>
      </c>
      <c r="AN286" s="6">
        <f t="shared" si="108"/>
        <v>24.023548387096774</v>
      </c>
    </row>
    <row r="287" spans="1:40" x14ac:dyDescent="0.2">
      <c r="A287" s="1">
        <f t="shared" si="89"/>
        <v>282</v>
      </c>
      <c r="B287" s="9">
        <v>26.06</v>
      </c>
      <c r="C287" s="9">
        <v>56.575625000000024</v>
      </c>
      <c r="D287" s="2">
        <v>1.6702400000000002</v>
      </c>
      <c r="E287" s="9">
        <v>38.07</v>
      </c>
      <c r="F287" s="2">
        <v>91.2</v>
      </c>
      <c r="G287" s="9">
        <v>6.9846399999999997</v>
      </c>
      <c r="H287" s="9">
        <v>15.75</v>
      </c>
      <c r="I287" s="9">
        <v>15.07</v>
      </c>
      <c r="J287" s="9">
        <v>0</v>
      </c>
      <c r="K287" s="10">
        <v>22.1</v>
      </c>
      <c r="L287" s="10">
        <v>8.5645480000000003</v>
      </c>
      <c r="N287" s="6">
        <f t="shared" si="97"/>
        <v>3.6834307614637547</v>
      </c>
      <c r="O287" s="6">
        <f t="shared" si="98"/>
        <v>20.227849238536248</v>
      </c>
      <c r="P287" s="6">
        <f t="shared" si="99"/>
        <v>3.6756029032258066</v>
      </c>
      <c r="Q287" s="6">
        <f t="shared" si="91"/>
        <v>7.2918040467676928</v>
      </c>
      <c r="R287" s="6">
        <f t="shared" si="100"/>
        <v>7.6057897632613756</v>
      </c>
      <c r="S287" s="6">
        <f t="shared" si="101"/>
        <v>8.0289678857142857</v>
      </c>
      <c r="T287" s="6">
        <f t="shared" si="102"/>
        <v>7.5947763139508666</v>
      </c>
      <c r="U287" s="6">
        <f t="shared" si="103"/>
        <v>27.999207952881541</v>
      </c>
      <c r="X287" s="6"/>
      <c r="Y287" s="6"/>
      <c r="Z287" s="25"/>
      <c r="AA287" s="25"/>
      <c r="AB287" s="25"/>
      <c r="AC287" s="25"/>
      <c r="AD287" s="6">
        <f t="shared" si="92"/>
        <v>11.16</v>
      </c>
      <c r="AE287" s="6">
        <f t="shared" si="93"/>
        <v>38.064999999999998</v>
      </c>
      <c r="AF287" s="6">
        <f t="shared" si="94"/>
        <v>5.0470437250784963</v>
      </c>
      <c r="AG287" s="6">
        <f t="shared" si="95"/>
        <v>1.5656963204839514</v>
      </c>
      <c r="AH287" s="6">
        <f t="shared" si="104"/>
        <v>1.7406737022972725</v>
      </c>
      <c r="AI287" s="6">
        <f t="shared" si="105"/>
        <v>0.11555170564699677</v>
      </c>
      <c r="AJ287" s="6">
        <f t="shared" si="106"/>
        <v>0.66258744477945664</v>
      </c>
      <c r="AK287" s="6">
        <f t="shared" si="107"/>
        <v>1.0780862575178158</v>
      </c>
      <c r="AL287" s="6">
        <f t="shared" si="96"/>
        <v>0.74360000000000004</v>
      </c>
      <c r="AM287" s="6">
        <v>15.3</v>
      </c>
      <c r="AN287" s="6">
        <f t="shared" si="108"/>
        <v>24.023548387096774</v>
      </c>
    </row>
    <row r="288" spans="1:40" x14ac:dyDescent="0.2">
      <c r="A288" s="1">
        <f t="shared" si="89"/>
        <v>283</v>
      </c>
      <c r="B288" s="9">
        <v>22.31</v>
      </c>
      <c r="C288" s="9">
        <v>70.419895833333314</v>
      </c>
      <c r="D288" s="9">
        <v>2.6002600000000005</v>
      </c>
      <c r="E288" s="9">
        <v>30.99</v>
      </c>
      <c r="F288" s="2">
        <v>97.7</v>
      </c>
      <c r="G288" s="9">
        <v>10.93248</v>
      </c>
      <c r="H288" s="9">
        <v>16.559999999999999</v>
      </c>
      <c r="I288" s="9">
        <v>38.950000000000003</v>
      </c>
      <c r="J288" s="9">
        <v>0</v>
      </c>
      <c r="K288" s="10">
        <v>14.39</v>
      </c>
      <c r="L288" s="10">
        <v>4.9119120000000001</v>
      </c>
      <c r="N288" s="6">
        <f t="shared" si="97"/>
        <v>3.6834307614637547</v>
      </c>
      <c r="O288" s="6">
        <f t="shared" si="98"/>
        <v>20.227849238536248</v>
      </c>
      <c r="P288" s="6">
        <f t="shared" si="99"/>
        <v>3.6756029032258066</v>
      </c>
      <c r="Q288" s="6">
        <f t="shared" si="91"/>
        <v>5.3617318997988388</v>
      </c>
      <c r="R288" s="6">
        <f t="shared" si="100"/>
        <v>5.5926085417666984</v>
      </c>
      <c r="S288" s="6">
        <f t="shared" si="101"/>
        <v>4.9642663114285712</v>
      </c>
      <c r="T288" s="6">
        <f t="shared" si="102"/>
        <v>5.1173873858800798</v>
      </c>
      <c r="U288" s="6">
        <f t="shared" si="103"/>
        <v>18.119945287978666</v>
      </c>
      <c r="X288" s="6"/>
      <c r="Y288" s="6"/>
      <c r="Z288" s="25"/>
      <c r="AA288" s="25"/>
      <c r="AB288" s="25"/>
      <c r="AC288" s="25"/>
      <c r="AD288" s="6">
        <f t="shared" si="92"/>
        <v>7.2149999999999999</v>
      </c>
      <c r="AE288" s="6">
        <f t="shared" si="93"/>
        <v>29.375</v>
      </c>
      <c r="AF288" s="6">
        <f t="shared" si="94"/>
        <v>3.547059554668432</v>
      </c>
      <c r="AG288" s="6">
        <f t="shared" si="95"/>
        <v>1.63879234271073</v>
      </c>
      <c r="AH288" s="6">
        <f t="shared" si="104"/>
        <v>0.954133605978851</v>
      </c>
      <c r="AI288" s="6">
        <f t="shared" si="105"/>
        <v>6.5398853333624177E-2</v>
      </c>
      <c r="AJ288" s="6">
        <f t="shared" si="106"/>
        <v>0.2802767467562875</v>
      </c>
      <c r="AK288" s="6">
        <f t="shared" si="107"/>
        <v>0.67385685922256355</v>
      </c>
      <c r="AL288" s="6">
        <f t="shared" si="96"/>
        <v>0.70609999999999995</v>
      </c>
      <c r="AM288" s="6">
        <v>15.3</v>
      </c>
      <c r="AN288" s="6">
        <f t="shared" si="108"/>
        <v>24.023548387096774</v>
      </c>
    </row>
    <row r="289" spans="1:40" x14ac:dyDescent="0.2">
      <c r="A289" s="1">
        <f t="shared" si="89"/>
        <v>284</v>
      </c>
      <c r="B289" s="9">
        <v>22.63</v>
      </c>
      <c r="C289" s="9">
        <v>81.301249999999996</v>
      </c>
      <c r="D289" s="9">
        <v>1.15778</v>
      </c>
      <c r="E289" s="9">
        <v>30.03</v>
      </c>
      <c r="F289" s="2">
        <v>100</v>
      </c>
      <c r="G289" s="9">
        <v>5.3144</v>
      </c>
      <c r="H289" s="9">
        <v>18.18</v>
      </c>
      <c r="I289" s="9">
        <v>49.67</v>
      </c>
      <c r="J289" s="9">
        <v>4.8259999999999996</v>
      </c>
      <c r="K289" s="10">
        <v>11.54</v>
      </c>
      <c r="L289" s="10">
        <v>4.0753399999999997</v>
      </c>
      <c r="N289" s="6">
        <f t="shared" si="97"/>
        <v>3.6834307614637547</v>
      </c>
      <c r="O289" s="6">
        <f t="shared" si="98"/>
        <v>20.227849238536248</v>
      </c>
      <c r="P289" s="6">
        <f t="shared" si="99"/>
        <v>3.6756029032258066</v>
      </c>
      <c r="Q289" s="6">
        <f t="shared" si="91"/>
        <v>4.8975872691245579</v>
      </c>
      <c r="R289" s="6">
        <f t="shared" si="100"/>
        <v>5.1084778029243623</v>
      </c>
      <c r="S289" s="6">
        <f t="shared" si="101"/>
        <v>3.9991144628571424</v>
      </c>
      <c r="T289" s="6">
        <f t="shared" si="102"/>
        <v>3.8210119217769805</v>
      </c>
      <c r="U289" s="6">
        <f t="shared" si="103"/>
        <v>18.837987690584288</v>
      </c>
      <c r="X289" s="6"/>
      <c r="Y289" s="6"/>
      <c r="Z289" s="25"/>
      <c r="AA289" s="25"/>
      <c r="AB289" s="25"/>
      <c r="AC289" s="25"/>
      <c r="AD289" s="6">
        <f t="shared" si="92"/>
        <v>5.9250000000000007</v>
      </c>
      <c r="AE289" s="6">
        <f t="shared" si="93"/>
        <v>25.164999999999999</v>
      </c>
      <c r="AF289" s="6">
        <f t="shared" si="94"/>
        <v>3.3771423709612436</v>
      </c>
      <c r="AG289" s="6">
        <f t="shared" si="95"/>
        <v>1.7940159793165869</v>
      </c>
      <c r="AH289" s="6">
        <f t="shared" si="104"/>
        <v>0.79156319582232837</v>
      </c>
      <c r="AI289" s="6">
        <f t="shared" si="105"/>
        <v>5.4832888350755699E-2</v>
      </c>
      <c r="AJ289" s="6">
        <f t="shared" si="106"/>
        <v>0.19919687822868895</v>
      </c>
      <c r="AK289" s="6">
        <f t="shared" si="107"/>
        <v>0.59236631759363945</v>
      </c>
      <c r="AL289" s="6">
        <f t="shared" si="96"/>
        <v>0.70930000000000004</v>
      </c>
      <c r="AM289" s="6">
        <v>15.3</v>
      </c>
      <c r="AN289" s="6">
        <f t="shared" si="108"/>
        <v>24.023548387096774</v>
      </c>
    </row>
    <row r="290" spans="1:40" x14ac:dyDescent="0.2">
      <c r="A290" s="1">
        <f t="shared" si="89"/>
        <v>285</v>
      </c>
      <c r="B290" s="2">
        <v>24.35</v>
      </c>
      <c r="C290" s="2">
        <v>81.09135416666669</v>
      </c>
      <c r="D290" s="2">
        <v>1.7841199999999999</v>
      </c>
      <c r="E290" s="2">
        <v>31.61</v>
      </c>
      <c r="F290" s="2">
        <v>100</v>
      </c>
      <c r="G290" s="2">
        <v>17.765279999999997</v>
      </c>
      <c r="H290" s="2">
        <v>20.059999999999999</v>
      </c>
      <c r="I290" s="2">
        <v>46.59</v>
      </c>
      <c r="J290" s="2">
        <v>5.08</v>
      </c>
      <c r="K290" s="3">
        <v>11.63</v>
      </c>
      <c r="L290" s="3">
        <v>5.3691550000000001</v>
      </c>
      <c r="N290" s="6">
        <f t="shared" si="97"/>
        <v>3.6834307614637547</v>
      </c>
      <c r="O290" s="6">
        <f t="shared" si="98"/>
        <v>20.227849238536248</v>
      </c>
      <c r="P290" s="6">
        <f t="shared" si="99"/>
        <v>3.6756029032258066</v>
      </c>
      <c r="Q290" s="6">
        <f t="shared" si="91"/>
        <v>5.0408971655695378</v>
      </c>
      <c r="R290" s="6">
        <f t="shared" si="100"/>
        <v>5.2579586359753332</v>
      </c>
      <c r="S290" s="6">
        <f t="shared" si="101"/>
        <v>4.1280352714285709</v>
      </c>
      <c r="T290" s="6">
        <f t="shared" si="102"/>
        <v>4.9320069469775811</v>
      </c>
      <c r="U290" s="6">
        <f t="shared" si="103"/>
        <v>23.092157467102314</v>
      </c>
      <c r="X290" s="6"/>
      <c r="Y290" s="6"/>
      <c r="Z290" s="25"/>
      <c r="AA290" s="25"/>
      <c r="AB290" s="25"/>
      <c r="AC290" s="25"/>
      <c r="AD290" s="6">
        <f t="shared" si="92"/>
        <v>5.7750000000000004</v>
      </c>
      <c r="AE290" s="6">
        <f t="shared" si="93"/>
        <v>26.704999999999998</v>
      </c>
      <c r="AF290" s="6">
        <f t="shared" si="94"/>
        <v>3.6607133721997642</v>
      </c>
      <c r="AG290" s="6">
        <f t="shared" si="95"/>
        <v>1.9901798035752443</v>
      </c>
      <c r="AH290" s="6">
        <f t="shared" si="104"/>
        <v>0.83526678431225998</v>
      </c>
      <c r="AI290" s="6">
        <f t="shared" si="105"/>
        <v>5.7931740491874072E-2</v>
      </c>
      <c r="AJ290" s="6">
        <f t="shared" si="106"/>
        <v>0.22305799475058902</v>
      </c>
      <c r="AK290" s="6">
        <f t="shared" si="107"/>
        <v>0.61220878956167102</v>
      </c>
      <c r="AL290" s="6">
        <f t="shared" si="96"/>
        <v>0.72650000000000003</v>
      </c>
      <c r="AM290" s="6">
        <v>15.3</v>
      </c>
      <c r="AN290" s="6">
        <f t="shared" si="108"/>
        <v>24.023548387096774</v>
      </c>
    </row>
    <row r="291" spans="1:40" x14ac:dyDescent="0.2">
      <c r="A291" s="1">
        <f t="shared" si="89"/>
        <v>286</v>
      </c>
      <c r="B291" s="2">
        <v>24.22</v>
      </c>
      <c r="C291" s="2">
        <v>71.584270000000004</v>
      </c>
      <c r="D291" s="2">
        <v>2.4927069999999998</v>
      </c>
      <c r="E291" s="2">
        <v>31.04</v>
      </c>
      <c r="F291" s="2">
        <v>100</v>
      </c>
      <c r="G291" s="2">
        <v>7.8197600000000005</v>
      </c>
      <c r="H291" s="2">
        <v>19.48</v>
      </c>
      <c r="I291" s="2">
        <v>33.96</v>
      </c>
      <c r="J291" s="2">
        <v>0.254</v>
      </c>
      <c r="K291" s="3">
        <v>22.51</v>
      </c>
      <c r="L291" s="3">
        <v>11.35852</v>
      </c>
      <c r="N291" s="6">
        <f t="shared" si="97"/>
        <v>3.6834307614637547</v>
      </c>
      <c r="O291" s="6">
        <f t="shared" si="98"/>
        <v>20.227849238536248</v>
      </c>
      <c r="P291" s="6">
        <f t="shared" si="99"/>
        <v>3.6756029032258066</v>
      </c>
      <c r="Q291" s="6">
        <f t="shared" si="91"/>
        <v>5.0275249199999985</v>
      </c>
      <c r="R291" s="6">
        <f t="shared" si="100"/>
        <v>5.244010580348454</v>
      </c>
      <c r="S291" s="6">
        <f t="shared" si="101"/>
        <v>7.9755631199999986</v>
      </c>
      <c r="T291" s="6">
        <f t="shared" si="102"/>
        <v>4.7391955901098592</v>
      </c>
      <c r="U291" s="6">
        <f t="shared" si="103"/>
        <v>22.75401140689133</v>
      </c>
      <c r="X291" s="6"/>
      <c r="Y291" s="6"/>
      <c r="Z291" s="25"/>
      <c r="AA291" s="25"/>
      <c r="AB291" s="25"/>
      <c r="AC291" s="25"/>
      <c r="AD291" s="6">
        <f t="shared" si="92"/>
        <v>5.7799999999999994</v>
      </c>
      <c r="AE291" s="6">
        <f t="shared" si="93"/>
        <v>33.019999999999996</v>
      </c>
      <c r="AF291" s="6">
        <f t="shared" si="94"/>
        <v>3.5561098304253846</v>
      </c>
      <c r="AG291" s="6">
        <f t="shared" si="95"/>
        <v>1.9277499717235926</v>
      </c>
      <c r="AH291" s="6">
        <f t="shared" si="104"/>
        <v>0.814179929350896</v>
      </c>
      <c r="AI291" s="6">
        <f t="shared" si="105"/>
        <v>5.6466892856739108E-2</v>
      </c>
      <c r="AJ291" s="6">
        <f t="shared" si="106"/>
        <v>0.26884221267166586</v>
      </c>
      <c r="AK291" s="6">
        <f t="shared" si="107"/>
        <v>0.54533771667923014</v>
      </c>
      <c r="AL291" s="6">
        <f t="shared" si="96"/>
        <v>0.72519999999999996</v>
      </c>
      <c r="AM291" s="6">
        <v>15.3</v>
      </c>
      <c r="AN291" s="6">
        <f t="shared" si="108"/>
        <v>24.023548387096774</v>
      </c>
    </row>
    <row r="292" spans="1:40" x14ac:dyDescent="0.2">
      <c r="A292" s="1">
        <f t="shared" si="89"/>
        <v>287</v>
      </c>
      <c r="B292" s="2">
        <v>23.4</v>
      </c>
      <c r="C292" s="2">
        <v>65.042400000000001</v>
      </c>
      <c r="D292" s="2">
        <v>2.7837329999999998</v>
      </c>
      <c r="E292" s="2">
        <v>33.020000000000003</v>
      </c>
      <c r="F292" s="2">
        <v>89.9</v>
      </c>
      <c r="G292" s="2">
        <v>10.40104</v>
      </c>
      <c r="H292" s="2">
        <v>16.89</v>
      </c>
      <c r="I292" s="2">
        <v>33.93</v>
      </c>
      <c r="J292" s="2">
        <v>0</v>
      </c>
      <c r="K292" s="3">
        <v>26</v>
      </c>
      <c r="L292" s="3">
        <v>11.73447</v>
      </c>
      <c r="N292" s="6">
        <f t="shared" si="97"/>
        <v>3.6834307614637547</v>
      </c>
      <c r="O292" s="6">
        <f t="shared" si="98"/>
        <v>20.227849238536248</v>
      </c>
      <c r="P292" s="6">
        <f t="shared" si="99"/>
        <v>3.6756029032258066</v>
      </c>
      <c r="Q292" s="6">
        <f t="shared" si="91"/>
        <v>5.822824042781126</v>
      </c>
      <c r="R292" s="6">
        <f t="shared" si="100"/>
        <v>6.0735553525315185</v>
      </c>
      <c r="S292" s="6">
        <f t="shared" si="101"/>
        <v>9.1079485714285706</v>
      </c>
      <c r="T292" s="6">
        <f t="shared" si="102"/>
        <v>6.8485909507210643</v>
      </c>
      <c r="U292" s="6">
        <f t="shared" si="103"/>
        <v>20.674122116657443</v>
      </c>
      <c r="X292" s="6"/>
      <c r="Y292" s="6"/>
      <c r="Z292" s="25"/>
      <c r="AA292" s="25"/>
      <c r="AB292" s="25"/>
      <c r="AC292" s="25"/>
      <c r="AD292" s="6">
        <f t="shared" si="92"/>
        <v>8.0650000000000013</v>
      </c>
      <c r="AE292" s="6">
        <f t="shared" si="93"/>
        <v>27.985000000000003</v>
      </c>
      <c r="AF292" s="6">
        <f t="shared" si="94"/>
        <v>3.9310582456832011</v>
      </c>
      <c r="AG292" s="6">
        <f t="shared" si="95"/>
        <v>1.6694197856046171</v>
      </c>
      <c r="AH292" s="6">
        <f t="shared" si="104"/>
        <v>1.1308192300392919</v>
      </c>
      <c r="AI292" s="6">
        <f t="shared" si="105"/>
        <v>7.6973265828309614E-2</v>
      </c>
      <c r="AJ292" s="6">
        <f t="shared" si="106"/>
        <v>0.31645976152649585</v>
      </c>
      <c r="AK292" s="6">
        <f t="shared" si="107"/>
        <v>0.81435946851279595</v>
      </c>
      <c r="AL292" s="6">
        <f t="shared" si="96"/>
        <v>0.71699999999999997</v>
      </c>
      <c r="AM292" s="6">
        <v>15.3</v>
      </c>
      <c r="AN292" s="6">
        <f t="shared" si="108"/>
        <v>24.023548387096774</v>
      </c>
    </row>
    <row r="293" spans="1:40" x14ac:dyDescent="0.2">
      <c r="A293" s="1">
        <f t="shared" si="89"/>
        <v>288</v>
      </c>
      <c r="B293" s="2">
        <v>23.68</v>
      </c>
      <c r="C293" s="2">
        <v>66.800520833333351</v>
      </c>
      <c r="D293" s="2">
        <v>2.3819900000000001</v>
      </c>
      <c r="E293" s="2">
        <v>32.97</v>
      </c>
      <c r="F293" s="2">
        <v>91.7</v>
      </c>
      <c r="G293" s="2">
        <v>9.1863200000000003</v>
      </c>
      <c r="H293" s="2">
        <v>17.420000000000002</v>
      </c>
      <c r="I293" s="2">
        <v>35.090000000000003</v>
      </c>
      <c r="J293" s="2">
        <v>0</v>
      </c>
      <c r="K293" s="3">
        <v>25.54</v>
      </c>
      <c r="L293" s="3">
        <v>11.66746</v>
      </c>
      <c r="N293" s="6">
        <f t="shared" si="97"/>
        <v>3.6834307614637547</v>
      </c>
      <c r="O293" s="6">
        <f t="shared" si="98"/>
        <v>20.227849238536248</v>
      </c>
      <c r="P293" s="6">
        <f t="shared" si="99"/>
        <v>3.6756029032258066</v>
      </c>
      <c r="Q293" s="6">
        <f t="shared" si="91"/>
        <v>5.7560321531068599</v>
      </c>
      <c r="R293" s="6">
        <f t="shared" si="100"/>
        <v>6.003887398278331</v>
      </c>
      <c r="S293" s="6">
        <f t="shared" si="101"/>
        <v>8.981746662857141</v>
      </c>
      <c r="T293" s="6">
        <f t="shared" si="102"/>
        <v>6.5920222261425563</v>
      </c>
      <c r="U293" s="6">
        <f t="shared" si="103"/>
        <v>21.368269141072165</v>
      </c>
      <c r="X293" s="6"/>
      <c r="Y293" s="6"/>
      <c r="Z293" s="25"/>
      <c r="AA293" s="25"/>
      <c r="AB293" s="25"/>
      <c r="AC293" s="25"/>
      <c r="AD293" s="6">
        <f t="shared" si="92"/>
        <v>7.7749999999999986</v>
      </c>
      <c r="AE293" s="6">
        <f t="shared" si="93"/>
        <v>28.305</v>
      </c>
      <c r="AF293" s="6">
        <f t="shared" si="94"/>
        <v>3.9211824940867386</v>
      </c>
      <c r="AG293" s="6">
        <f t="shared" si="95"/>
        <v>1.7196604224814214</v>
      </c>
      <c r="AH293" s="6">
        <f t="shared" si="104"/>
        <v>1.1007610358026585</v>
      </c>
      <c r="AI293" s="6">
        <f t="shared" si="105"/>
        <v>7.5104676474719592E-2</v>
      </c>
      <c r="AJ293" s="6">
        <f t="shared" si="106"/>
        <v>0.31157041118394246</v>
      </c>
      <c r="AK293" s="6">
        <f t="shared" si="107"/>
        <v>0.78919062461871603</v>
      </c>
      <c r="AL293" s="6">
        <f t="shared" si="96"/>
        <v>0.7198</v>
      </c>
      <c r="AM293" s="6">
        <v>15.3</v>
      </c>
      <c r="AN293" s="6">
        <f t="shared" si="108"/>
        <v>24.023548387096774</v>
      </c>
    </row>
    <row r="294" spans="1:40" x14ac:dyDescent="0.2">
      <c r="A294" s="1">
        <f t="shared" ref="A294:A357" si="109">A293+1</f>
        <v>289</v>
      </c>
      <c r="B294" s="2">
        <v>24.97</v>
      </c>
      <c r="C294" s="2">
        <v>61.024062500000035</v>
      </c>
      <c r="D294" s="2">
        <v>1.3855400000000002</v>
      </c>
      <c r="E294" s="2">
        <v>34.86</v>
      </c>
      <c r="F294" s="2">
        <v>94.6</v>
      </c>
      <c r="G294" s="2">
        <v>5.61808</v>
      </c>
      <c r="H294" s="2">
        <v>16.510000000000002</v>
      </c>
      <c r="I294" s="2">
        <v>27.26</v>
      </c>
      <c r="J294" s="2">
        <v>0</v>
      </c>
      <c r="K294" s="3">
        <v>26.02</v>
      </c>
      <c r="L294" s="3">
        <v>11.794969999999999</v>
      </c>
      <c r="N294" s="6">
        <f t="shared" si="97"/>
        <v>3.6834307614637547</v>
      </c>
      <c r="O294" s="6">
        <f t="shared" si="98"/>
        <v>20.227849238536248</v>
      </c>
      <c r="P294" s="6">
        <f t="shared" si="99"/>
        <v>3.6756029032258066</v>
      </c>
      <c r="Q294" s="6">
        <f t="shared" si="91"/>
        <v>6.4472802927186281</v>
      </c>
      <c r="R294" s="6">
        <f t="shared" si="100"/>
        <v>6.7249007429064269</v>
      </c>
      <c r="S294" s="6">
        <f t="shared" si="101"/>
        <v>9.3145429542857148</v>
      </c>
      <c r="T294" s="6">
        <f t="shared" si="102"/>
        <v>6.9884180404991652</v>
      </c>
      <c r="U294" s="6">
        <f t="shared" si="103"/>
        <v>24.797763362560737</v>
      </c>
      <c r="X294" s="6"/>
      <c r="Y294" s="6"/>
      <c r="Z294" s="25"/>
      <c r="AA294" s="25"/>
      <c r="AB294" s="25"/>
      <c r="AC294" s="25"/>
      <c r="AD294" s="6">
        <f t="shared" si="92"/>
        <v>9.1749999999999989</v>
      </c>
      <c r="AE294" s="6">
        <f t="shared" si="93"/>
        <v>33.669999999999995</v>
      </c>
      <c r="AF294" s="6">
        <f t="shared" si="94"/>
        <v>4.3098693732614288</v>
      </c>
      <c r="AG294" s="6">
        <f t="shared" si="95"/>
        <v>1.6341950835276202</v>
      </c>
      <c r="AH294" s="6">
        <f t="shared" si="104"/>
        <v>1.3378371448669042</v>
      </c>
      <c r="AI294" s="6">
        <f t="shared" si="105"/>
        <v>9.0246309987388945E-2</v>
      </c>
      <c r="AJ294" s="6">
        <f t="shared" si="106"/>
        <v>0.45044976667668657</v>
      </c>
      <c r="AK294" s="6">
        <f t="shared" si="107"/>
        <v>0.88738737819021762</v>
      </c>
      <c r="AL294" s="6">
        <f t="shared" si="96"/>
        <v>0.73270000000000002</v>
      </c>
      <c r="AM294" s="6">
        <v>15.3</v>
      </c>
      <c r="AN294" s="6">
        <f t="shared" si="108"/>
        <v>24.023548387096774</v>
      </c>
    </row>
    <row r="295" spans="1:40" x14ac:dyDescent="0.2">
      <c r="A295" s="1">
        <f t="shared" si="109"/>
        <v>290</v>
      </c>
      <c r="B295" s="2">
        <v>25.28</v>
      </c>
      <c r="C295" s="2">
        <v>65.553437499999987</v>
      </c>
      <c r="D295" s="2">
        <v>1.8284066666666663</v>
      </c>
      <c r="E295" s="2">
        <v>34.46</v>
      </c>
      <c r="F295" s="2">
        <v>98</v>
      </c>
      <c r="G295" s="2">
        <v>7.2123999999999997</v>
      </c>
      <c r="H295" s="2">
        <v>17.75</v>
      </c>
      <c r="I295" s="2">
        <v>35.159999999999997</v>
      </c>
      <c r="J295" s="2">
        <v>0</v>
      </c>
      <c r="K295" s="3">
        <v>21.8</v>
      </c>
      <c r="L295" s="3">
        <v>9.9716179999999994</v>
      </c>
      <c r="N295" s="6">
        <f t="shared" si="97"/>
        <v>3.6834307614637547</v>
      </c>
      <c r="O295" s="6">
        <f t="shared" si="98"/>
        <v>20.227849238536248</v>
      </c>
      <c r="P295" s="6">
        <f t="shared" si="99"/>
        <v>3.6756029032258066</v>
      </c>
      <c r="Q295" s="6">
        <f t="shared" si="91"/>
        <v>6.197024118543041</v>
      </c>
      <c r="R295" s="6">
        <f t="shared" si="100"/>
        <v>6.4638685161035996</v>
      </c>
      <c r="S295" s="6">
        <f t="shared" si="101"/>
        <v>7.8369006857142853</v>
      </c>
      <c r="T295" s="6">
        <f t="shared" si="102"/>
        <v>6.4427608037807085</v>
      </c>
      <c r="U295" s="6">
        <f t="shared" si="103"/>
        <v>25.675207344999897</v>
      </c>
      <c r="X295" s="6"/>
      <c r="Y295" s="6"/>
      <c r="Z295" s="25"/>
      <c r="AA295" s="25"/>
      <c r="AB295" s="25"/>
      <c r="AC295" s="25"/>
      <c r="AD295" s="6">
        <f t="shared" si="92"/>
        <v>8.3550000000000004</v>
      </c>
      <c r="AE295" s="6">
        <f t="shared" si="93"/>
        <v>31.42</v>
      </c>
      <c r="AF295" s="6">
        <f t="shared" si="94"/>
        <v>4.2249245650501379</v>
      </c>
      <c r="AG295" s="6">
        <f t="shared" si="95"/>
        <v>1.7516077042954941</v>
      </c>
      <c r="AH295" s="6">
        <f t="shared" si="104"/>
        <v>1.236658430377322</v>
      </c>
      <c r="AI295" s="6">
        <f t="shared" si="105"/>
        <v>8.3978961614031414E-2</v>
      </c>
      <c r="AJ295" s="6">
        <f t="shared" si="106"/>
        <v>0.38855807882455456</v>
      </c>
      <c r="AK295" s="6">
        <f t="shared" si="107"/>
        <v>0.84810035155276742</v>
      </c>
      <c r="AL295" s="6">
        <f t="shared" si="96"/>
        <v>0.73580000000000001</v>
      </c>
      <c r="AM295" s="6">
        <v>15.3</v>
      </c>
      <c r="AN295" s="6">
        <f t="shared" si="108"/>
        <v>24.023548387096774</v>
      </c>
    </row>
    <row r="296" spans="1:40" x14ac:dyDescent="0.2">
      <c r="A296" s="1">
        <f t="shared" si="109"/>
        <v>291</v>
      </c>
      <c r="B296" s="2">
        <v>26.69</v>
      </c>
      <c r="C296" s="2">
        <v>57.149479166666644</v>
      </c>
      <c r="D296" s="2">
        <v>2.1004529999999999</v>
      </c>
      <c r="E296" s="2">
        <v>34.71</v>
      </c>
      <c r="F296" s="2">
        <v>83.6</v>
      </c>
      <c r="G296" s="2">
        <v>7.8956799999999996</v>
      </c>
      <c r="H296" s="2">
        <v>19.29</v>
      </c>
      <c r="I296" s="2">
        <v>29.93</v>
      </c>
      <c r="J296" s="2">
        <v>0</v>
      </c>
      <c r="K296" s="3">
        <v>24.87</v>
      </c>
      <c r="L296" s="3">
        <v>10.928520000000001</v>
      </c>
      <c r="N296" s="6">
        <f t="shared" si="97"/>
        <v>3.6834307614637547</v>
      </c>
      <c r="O296" s="6">
        <f t="shared" si="98"/>
        <v>20.227849238536248</v>
      </c>
      <c r="P296" s="6">
        <f t="shared" si="99"/>
        <v>3.6756029032258066</v>
      </c>
      <c r="Q296" s="6">
        <f t="shared" si="91"/>
        <v>6.1478584473758495</v>
      </c>
      <c r="R296" s="6">
        <f t="shared" si="100"/>
        <v>6.412585766859527</v>
      </c>
      <c r="S296" s="6">
        <f t="shared" si="101"/>
        <v>9.1118634942857124</v>
      </c>
      <c r="T296" s="6">
        <f t="shared" si="102"/>
        <v>6.9089322105448376</v>
      </c>
      <c r="U296" s="6">
        <f t="shared" si="103"/>
        <v>29.983050826684092</v>
      </c>
      <c r="X296" s="6"/>
      <c r="Y296" s="6"/>
      <c r="Z296" s="25"/>
      <c r="AA296" s="25"/>
      <c r="AB296" s="25"/>
      <c r="AC296" s="25"/>
      <c r="AD296" s="6">
        <f t="shared" si="92"/>
        <v>7.7100000000000009</v>
      </c>
      <c r="AE296" s="6">
        <f t="shared" si="93"/>
        <v>26.834999999999997</v>
      </c>
      <c r="AF296" s="6">
        <f t="shared" si="94"/>
        <v>4.2778426707918928</v>
      </c>
      <c r="AG296" s="6">
        <f t="shared" si="95"/>
        <v>1.9076752810907827</v>
      </c>
      <c r="AH296" s="6">
        <f t="shared" si="104"/>
        <v>1.185083694850555</v>
      </c>
      <c r="AI296" s="6">
        <f t="shared" si="105"/>
        <v>8.0900900607988421E-2</v>
      </c>
      <c r="AJ296" s="6">
        <f t="shared" si="106"/>
        <v>0.31801720951314638</v>
      </c>
      <c r="AK296" s="6">
        <f t="shared" si="107"/>
        <v>0.8670664853374086</v>
      </c>
      <c r="AL296" s="6">
        <f t="shared" si="96"/>
        <v>0.74990000000000001</v>
      </c>
      <c r="AM296" s="6">
        <v>15.3</v>
      </c>
      <c r="AN296" s="6">
        <f t="shared" si="108"/>
        <v>24.023548387096774</v>
      </c>
    </row>
    <row r="297" spans="1:40" x14ac:dyDescent="0.2">
      <c r="A297" s="1">
        <f t="shared" si="109"/>
        <v>292</v>
      </c>
      <c r="B297" s="2">
        <v>24.23</v>
      </c>
      <c r="C297" s="2">
        <v>65.244375000000005</v>
      </c>
      <c r="D297" s="2">
        <v>2.0150429999999999</v>
      </c>
      <c r="E297" s="2">
        <v>33.020000000000003</v>
      </c>
      <c r="F297" s="2">
        <v>93.1</v>
      </c>
      <c r="G297" s="2">
        <v>7.3642399999999997</v>
      </c>
      <c r="H297" s="2">
        <v>17.510000000000002</v>
      </c>
      <c r="I297" s="2">
        <v>36.29</v>
      </c>
      <c r="J297" s="2">
        <v>0</v>
      </c>
      <c r="K297" s="3">
        <v>20.18</v>
      </c>
      <c r="L297" s="3">
        <v>8.5054949999999998</v>
      </c>
      <c r="N297" s="6">
        <f t="shared" si="97"/>
        <v>3.6834307614637547</v>
      </c>
      <c r="O297" s="6">
        <f t="shared" si="98"/>
        <v>20.227849238536248</v>
      </c>
      <c r="P297" s="6">
        <f t="shared" si="99"/>
        <v>3.6756029032258066</v>
      </c>
      <c r="Q297" s="6">
        <f t="shared" si="91"/>
        <v>5.824847448223287</v>
      </c>
      <c r="R297" s="6">
        <f t="shared" si="100"/>
        <v>6.0756658859880144</v>
      </c>
      <c r="S297" s="6">
        <f t="shared" si="101"/>
        <v>7.1510020971428574</v>
      </c>
      <c r="T297" s="6">
        <f t="shared" si="102"/>
        <v>5.9499851994189079</v>
      </c>
      <c r="U297" s="6">
        <f t="shared" si="103"/>
        <v>22.784151582281709</v>
      </c>
      <c r="X297" s="6"/>
      <c r="Y297" s="6"/>
      <c r="Z297" s="25"/>
      <c r="AA297" s="25"/>
      <c r="AB297" s="25"/>
      <c r="AC297" s="25"/>
      <c r="AD297" s="6">
        <f t="shared" si="92"/>
        <v>7.7550000000000008</v>
      </c>
      <c r="AE297" s="6">
        <f t="shared" si="93"/>
        <v>28.404999999999998</v>
      </c>
      <c r="AF297" s="6">
        <f t="shared" si="94"/>
        <v>3.9310582456832011</v>
      </c>
      <c r="AG297" s="6">
        <f t="shared" si="95"/>
        <v>1.7283222396186897</v>
      </c>
      <c r="AH297" s="6">
        <f t="shared" si="104"/>
        <v>1.1013680030322557</v>
      </c>
      <c r="AI297" s="6">
        <f t="shared" si="105"/>
        <v>7.5158356207786034E-2</v>
      </c>
      <c r="AJ297" s="6">
        <f t="shared" si="106"/>
        <v>0.31284358126131218</v>
      </c>
      <c r="AK297" s="6">
        <f t="shared" si="107"/>
        <v>0.78852442177094351</v>
      </c>
      <c r="AL297" s="6">
        <f t="shared" si="96"/>
        <v>0.72530000000000006</v>
      </c>
      <c r="AM297" s="6">
        <v>15.3</v>
      </c>
      <c r="AN297" s="6">
        <f t="shared" si="108"/>
        <v>24.023548387096774</v>
      </c>
    </row>
    <row r="298" spans="1:40" x14ac:dyDescent="0.2">
      <c r="A298" s="1">
        <f t="shared" si="109"/>
        <v>293</v>
      </c>
      <c r="B298" s="2">
        <v>21.17</v>
      </c>
      <c r="C298" s="2">
        <v>75.946669999999997</v>
      </c>
      <c r="D298" s="2">
        <v>2.847</v>
      </c>
      <c r="E298" s="2">
        <v>25.19</v>
      </c>
      <c r="F298" s="2">
        <v>96.4</v>
      </c>
      <c r="G298" s="2">
        <v>9.1104000000000003</v>
      </c>
      <c r="H298" s="2">
        <v>16.89</v>
      </c>
      <c r="I298" s="2">
        <v>62.23</v>
      </c>
      <c r="J298" s="2">
        <v>0</v>
      </c>
      <c r="K298" s="3">
        <v>11.35</v>
      </c>
      <c r="L298" s="3">
        <v>4.6730720000000003</v>
      </c>
      <c r="N298" s="6">
        <f t="shared" si="97"/>
        <v>3.6834307614637547</v>
      </c>
      <c r="O298" s="6">
        <f t="shared" si="98"/>
        <v>20.227849238536248</v>
      </c>
      <c r="P298" s="6">
        <f t="shared" si="99"/>
        <v>3.6756029032258066</v>
      </c>
      <c r="Q298" s="6">
        <f t="shared" si="91"/>
        <v>3.9508334201616835</v>
      </c>
      <c r="R298" s="6">
        <f t="shared" si="100"/>
        <v>4.1209566508766589</v>
      </c>
      <c r="S298" s="6">
        <f t="shared" si="101"/>
        <v>3.8523099857142848</v>
      </c>
      <c r="T298" s="6">
        <f t="shared" si="102"/>
        <v>3.0348902888839415</v>
      </c>
      <c r="U298" s="6">
        <f t="shared" si="103"/>
        <v>15.698059740216777</v>
      </c>
      <c r="X298" s="6"/>
      <c r="Y298" s="6"/>
      <c r="Z298" s="25"/>
      <c r="AA298" s="25"/>
      <c r="AB298" s="25"/>
      <c r="AC298" s="25"/>
      <c r="AD298" s="6">
        <f t="shared" si="92"/>
        <v>4.1500000000000004</v>
      </c>
      <c r="AE298" s="6">
        <f t="shared" si="93"/>
        <v>17.085000000000004</v>
      </c>
      <c r="AF298" s="6">
        <f t="shared" si="94"/>
        <v>2.6240794912391712</v>
      </c>
      <c r="AG298" s="6">
        <f t="shared" si="95"/>
        <v>1.6694197856046171</v>
      </c>
      <c r="AH298" s="6">
        <f t="shared" si="104"/>
        <v>0.47732985281727702</v>
      </c>
      <c r="AI298" s="6">
        <f t="shared" si="105"/>
        <v>3.3553368856991547E-2</v>
      </c>
      <c r="AJ298" s="6">
        <f t="shared" si="106"/>
        <v>8.1551805353831788E-2</v>
      </c>
      <c r="AK298" s="6">
        <f t="shared" si="107"/>
        <v>0.39577804746344525</v>
      </c>
      <c r="AL298" s="6">
        <f t="shared" si="96"/>
        <v>0.69469999999999998</v>
      </c>
      <c r="AM298" s="6">
        <v>15.3</v>
      </c>
      <c r="AN298" s="6">
        <f t="shared" si="108"/>
        <v>24.023548387096774</v>
      </c>
    </row>
    <row r="299" spans="1:40" x14ac:dyDescent="0.2">
      <c r="A299" s="1">
        <f t="shared" si="109"/>
        <v>294</v>
      </c>
      <c r="B299" s="2">
        <v>20.37</v>
      </c>
      <c r="C299" s="2">
        <v>84.086669999999998</v>
      </c>
      <c r="D299" s="2">
        <v>2.79955</v>
      </c>
      <c r="E299" s="2">
        <v>24.85</v>
      </c>
      <c r="F299" s="2">
        <v>98.9</v>
      </c>
      <c r="G299" s="2">
        <v>6.9087199999999998</v>
      </c>
      <c r="H299" s="2">
        <v>16.739999999999998</v>
      </c>
      <c r="I299" s="2">
        <v>67.19</v>
      </c>
      <c r="J299" s="2">
        <v>0.76200000000000001</v>
      </c>
      <c r="K299" s="3">
        <v>7.0039999999999996</v>
      </c>
      <c r="L299" s="3">
        <v>2.6487240000000001</v>
      </c>
      <c r="N299" s="6">
        <f t="shared" si="97"/>
        <v>3.6834307614637547</v>
      </c>
      <c r="O299" s="6">
        <f t="shared" si="98"/>
        <v>20.227849238536248</v>
      </c>
      <c r="P299" s="6">
        <f t="shared" si="99"/>
        <v>3.6756029032258066</v>
      </c>
      <c r="Q299" s="6">
        <f t="shared" si="91"/>
        <v>3.8251798017690763</v>
      </c>
      <c r="R299" s="6">
        <f t="shared" si="100"/>
        <v>3.9898923767467362</v>
      </c>
      <c r="S299" s="6">
        <f t="shared" si="101"/>
        <v>2.3498560079999997</v>
      </c>
      <c r="T299" s="6">
        <f t="shared" si="102"/>
        <v>2.614258295570894</v>
      </c>
      <c r="U299" s="6">
        <f t="shared" si="103"/>
        <v>14.138338911049726</v>
      </c>
      <c r="X299" s="6"/>
      <c r="Y299" s="6"/>
      <c r="Z299" s="25"/>
      <c r="AA299" s="25"/>
      <c r="AB299" s="25"/>
      <c r="AC299" s="25"/>
      <c r="AD299" s="6">
        <f t="shared" si="92"/>
        <v>4.0550000000000015</v>
      </c>
      <c r="AE299" s="6">
        <f t="shared" si="93"/>
        <v>15.855000000000004</v>
      </c>
      <c r="AF299" s="6">
        <f t="shared" si="94"/>
        <v>2.5771875416159835</v>
      </c>
      <c r="AG299" s="6">
        <f t="shared" si="95"/>
        <v>1.6554365449658279</v>
      </c>
      <c r="AH299" s="6">
        <f t="shared" si="104"/>
        <v>0.46087549832507779</v>
      </c>
      <c r="AI299" s="6">
        <f t="shared" si="105"/>
        <v>3.2422236827537622E-2</v>
      </c>
      <c r="AJ299" s="6">
        <f t="shared" si="106"/>
        <v>7.3071810259441095E-2</v>
      </c>
      <c r="AK299" s="6">
        <f t="shared" si="107"/>
        <v>0.3878036880656367</v>
      </c>
      <c r="AL299" s="6">
        <f t="shared" si="96"/>
        <v>0.68669999999999998</v>
      </c>
      <c r="AM299" s="6">
        <v>15.3</v>
      </c>
      <c r="AN299" s="6">
        <f t="shared" si="108"/>
        <v>24.023548387096774</v>
      </c>
    </row>
    <row r="300" spans="1:40" x14ac:dyDescent="0.2">
      <c r="A300" s="1">
        <f t="shared" si="109"/>
        <v>295</v>
      </c>
      <c r="B300" s="2">
        <v>24.81</v>
      </c>
      <c r="C300" s="2">
        <v>68.583124999999981</v>
      </c>
      <c r="D300" s="2">
        <v>1.391867</v>
      </c>
      <c r="E300" s="2">
        <v>31.86</v>
      </c>
      <c r="F300" s="2">
        <v>87.1</v>
      </c>
      <c r="G300" s="2">
        <v>5.3144</v>
      </c>
      <c r="H300" s="2">
        <v>19.71</v>
      </c>
      <c r="I300" s="2">
        <v>46.08</v>
      </c>
      <c r="J300" s="2">
        <v>0</v>
      </c>
      <c r="K300" s="3">
        <v>15.15</v>
      </c>
      <c r="L300" s="3">
        <v>7.2994490000000001</v>
      </c>
      <c r="N300" s="6">
        <f t="shared" si="97"/>
        <v>3.6834307614637547</v>
      </c>
      <c r="O300" s="6">
        <f t="shared" si="98"/>
        <v>20.227849238536248</v>
      </c>
      <c r="P300" s="6">
        <f t="shared" si="99"/>
        <v>3.6756029032258066</v>
      </c>
      <c r="Q300" s="6">
        <f t="shared" si="91"/>
        <v>5.2265960993150928</v>
      </c>
      <c r="R300" s="6">
        <f t="shared" si="100"/>
        <v>5.451653781960033</v>
      </c>
      <c r="S300" s="6">
        <f t="shared" si="101"/>
        <v>5.4114977571428566</v>
      </c>
      <c r="T300" s="6">
        <f t="shared" si="102"/>
        <v>4.6715537362336121</v>
      </c>
      <c r="U300" s="6">
        <f t="shared" si="103"/>
        <v>24.347537495096326</v>
      </c>
      <c r="X300" s="6"/>
      <c r="Y300" s="6"/>
      <c r="Z300" s="25"/>
      <c r="AA300" s="25"/>
      <c r="AB300" s="25"/>
      <c r="AC300" s="25"/>
      <c r="AD300" s="6">
        <f t="shared" si="92"/>
        <v>6.0749999999999993</v>
      </c>
      <c r="AE300" s="6">
        <f t="shared" si="93"/>
        <v>20.509999999999998</v>
      </c>
      <c r="AF300" s="6">
        <f t="shared" si="94"/>
        <v>3.7074308752108558</v>
      </c>
      <c r="AG300" s="6">
        <f t="shared" si="95"/>
        <v>1.9522982992488185</v>
      </c>
      <c r="AH300" s="6">
        <f t="shared" si="104"/>
        <v>0.87756628798101866</v>
      </c>
      <c r="AI300" s="6">
        <f t="shared" si="105"/>
        <v>6.0715553192302145E-2</v>
      </c>
      <c r="AJ300" s="6">
        <f t="shared" si="106"/>
        <v>0.17998884566490692</v>
      </c>
      <c r="AK300" s="6">
        <f t="shared" si="107"/>
        <v>0.69757744231611174</v>
      </c>
      <c r="AL300" s="6">
        <f t="shared" si="96"/>
        <v>0.73109999999999997</v>
      </c>
      <c r="AM300" s="6">
        <v>15.3</v>
      </c>
      <c r="AN300" s="6">
        <f t="shared" si="108"/>
        <v>24.023548387096774</v>
      </c>
    </row>
    <row r="301" spans="1:40" x14ac:dyDescent="0.2">
      <c r="A301" s="1">
        <f t="shared" si="109"/>
        <v>296</v>
      </c>
      <c r="B301" s="2">
        <v>26.96</v>
      </c>
      <c r="C301" s="2">
        <v>67.80177083333335</v>
      </c>
      <c r="D301" s="2">
        <v>1.3507433333333334</v>
      </c>
      <c r="E301" s="2">
        <v>33.630000000000003</v>
      </c>
      <c r="F301" s="2">
        <v>91.2</v>
      </c>
      <c r="G301" s="2">
        <v>7.2883199999999997</v>
      </c>
      <c r="H301" s="2">
        <v>21.59</v>
      </c>
      <c r="I301" s="2">
        <v>43.06</v>
      </c>
      <c r="J301" s="2">
        <v>0</v>
      </c>
      <c r="K301" s="3">
        <v>15.96</v>
      </c>
      <c r="L301" s="3">
        <v>7.4507469999999998</v>
      </c>
      <c r="N301" s="6">
        <f t="shared" si="97"/>
        <v>3.6834307614637547</v>
      </c>
      <c r="O301" s="6">
        <f t="shared" si="98"/>
        <v>20.227849238536248</v>
      </c>
      <c r="P301" s="6">
        <f t="shared" si="99"/>
        <v>3.6756029032258066</v>
      </c>
      <c r="Q301" s="6">
        <f t="shared" si="91"/>
        <v>5.4654079999235474</v>
      </c>
      <c r="R301" s="6">
        <f t="shared" si="100"/>
        <v>5.7007489437805061</v>
      </c>
      <c r="S301" s="6">
        <f t="shared" si="101"/>
        <v>5.8684737599999997</v>
      </c>
      <c r="T301" s="6">
        <f t="shared" si="102"/>
        <v>5.1569060585425923</v>
      </c>
      <c r="U301" s="6">
        <f t="shared" si="103"/>
        <v>30.857616653381349</v>
      </c>
      <c r="X301" s="6"/>
      <c r="Y301" s="6"/>
      <c r="Z301" s="25"/>
      <c r="AA301" s="25"/>
      <c r="AB301" s="25"/>
      <c r="AC301" s="25"/>
      <c r="AD301" s="6">
        <f t="shared" si="92"/>
        <v>6.0200000000000014</v>
      </c>
      <c r="AE301" s="6">
        <f t="shared" si="93"/>
        <v>24.07</v>
      </c>
      <c r="AF301" s="6">
        <f t="shared" si="94"/>
        <v>4.0532966375284962</v>
      </c>
      <c r="AG301" s="6">
        <f t="shared" si="95"/>
        <v>2.1634370632601025</v>
      </c>
      <c r="AH301" s="6">
        <f t="shared" si="104"/>
        <v>0.94492978713419684</v>
      </c>
      <c r="AI301" s="6">
        <f t="shared" si="105"/>
        <v>6.5405742165090444E-2</v>
      </c>
      <c r="AJ301" s="6">
        <f t="shared" si="106"/>
        <v>0.22744459976320119</v>
      </c>
      <c r="AK301" s="6">
        <f t="shared" si="107"/>
        <v>0.71748518737099565</v>
      </c>
      <c r="AL301" s="6">
        <f t="shared" si="96"/>
        <v>0.75259999999999994</v>
      </c>
      <c r="AM301" s="6">
        <v>15.3</v>
      </c>
      <c r="AN301" s="6">
        <f t="shared" si="108"/>
        <v>24.023548387096774</v>
      </c>
    </row>
    <row r="302" spans="1:40" x14ac:dyDescent="0.2">
      <c r="A302" s="1">
        <f t="shared" si="109"/>
        <v>297</v>
      </c>
      <c r="B302" s="2">
        <v>23.58</v>
      </c>
      <c r="C302" s="2">
        <v>92.285833333333301</v>
      </c>
      <c r="D302" s="2">
        <v>1.3349266666666668</v>
      </c>
      <c r="E302" s="2">
        <v>31.08</v>
      </c>
      <c r="F302" s="2">
        <v>100</v>
      </c>
      <c r="G302" s="2">
        <v>7.9715999999999996</v>
      </c>
      <c r="H302" s="2">
        <v>20.82</v>
      </c>
      <c r="I302" s="2">
        <v>55.9</v>
      </c>
      <c r="J302" s="2">
        <v>32.51</v>
      </c>
      <c r="K302" s="3">
        <v>8.0500000000000007</v>
      </c>
      <c r="L302" s="3">
        <v>2.7415039999999999</v>
      </c>
      <c r="N302" s="6">
        <f t="shared" si="97"/>
        <v>3.6834307614637547</v>
      </c>
      <c r="O302" s="6">
        <f t="shared" si="98"/>
        <v>20.227849238536248</v>
      </c>
      <c r="P302" s="6">
        <f t="shared" si="99"/>
        <v>3.6756029032258066</v>
      </c>
      <c r="Q302" s="6">
        <f t="shared" si="91"/>
        <v>4.6642673271150192</v>
      </c>
      <c r="R302" s="6">
        <f t="shared" si="100"/>
        <v>4.865111083917764</v>
      </c>
      <c r="S302" s="6">
        <f t="shared" si="101"/>
        <v>2.8270403999999996</v>
      </c>
      <c r="T302" s="6">
        <f t="shared" si="102"/>
        <v>3.867848633468991</v>
      </c>
      <c r="U302" s="6">
        <f t="shared" si="103"/>
        <v>21.103312954253511</v>
      </c>
      <c r="X302" s="6"/>
      <c r="Y302" s="6"/>
      <c r="Z302" s="25"/>
      <c r="AA302" s="25"/>
      <c r="AB302" s="25"/>
      <c r="AC302" s="25"/>
      <c r="AD302" s="6">
        <f t="shared" si="92"/>
        <v>5.129999999999999</v>
      </c>
      <c r="AE302" s="6">
        <f t="shared" si="93"/>
        <v>22.05</v>
      </c>
      <c r="AF302" s="6">
        <f t="shared" si="94"/>
        <v>3.5633645262870828</v>
      </c>
      <c r="AG302" s="6">
        <f t="shared" si="95"/>
        <v>2.0746601398950379</v>
      </c>
      <c r="AH302" s="6">
        <f t="shared" si="104"/>
        <v>0.74435219319602242</v>
      </c>
      <c r="AI302" s="6">
        <f t="shared" si="105"/>
        <v>5.1901236354562293E-2</v>
      </c>
      <c r="AJ302" s="6">
        <f t="shared" si="106"/>
        <v>0.16412965859972295</v>
      </c>
      <c r="AK302" s="6">
        <f t="shared" si="107"/>
        <v>0.58022253459629947</v>
      </c>
      <c r="AL302" s="6">
        <f t="shared" si="96"/>
        <v>0.71879999999999999</v>
      </c>
      <c r="AM302" s="6">
        <v>15.3</v>
      </c>
      <c r="AN302" s="6">
        <f t="shared" si="108"/>
        <v>24.023548387096774</v>
      </c>
    </row>
    <row r="303" spans="1:40" x14ac:dyDescent="0.2">
      <c r="A303" s="1">
        <f t="shared" si="109"/>
        <v>298</v>
      </c>
      <c r="B303" s="2">
        <v>24.91</v>
      </c>
      <c r="C303" s="2">
        <v>82.323958333333294</v>
      </c>
      <c r="D303" s="2">
        <v>2.1384129999999999</v>
      </c>
      <c r="E303" s="2">
        <v>34.159999999999997</v>
      </c>
      <c r="F303" s="2">
        <v>100</v>
      </c>
      <c r="G303" s="2">
        <v>9.5659200000000002</v>
      </c>
      <c r="H303" s="2">
        <v>20.05</v>
      </c>
      <c r="I303" s="2">
        <v>45.87</v>
      </c>
      <c r="J303" s="2">
        <v>10.67</v>
      </c>
      <c r="K303" s="3">
        <v>20.79</v>
      </c>
      <c r="L303" s="3">
        <v>11.33663</v>
      </c>
      <c r="N303" s="6">
        <f t="shared" si="97"/>
        <v>3.6834307614637547</v>
      </c>
      <c r="O303" s="6">
        <f t="shared" si="98"/>
        <v>20.227849238536248</v>
      </c>
      <c r="P303" s="6">
        <f t="shared" si="99"/>
        <v>3.6756029032258066</v>
      </c>
      <c r="Q303" s="6">
        <f t="shared" si="91"/>
        <v>5.645629128167883</v>
      </c>
      <c r="R303" s="6">
        <f t="shared" si="100"/>
        <v>5.8887304094826458</v>
      </c>
      <c r="S303" s="6">
        <f t="shared" si="101"/>
        <v>7.436232539999998</v>
      </c>
      <c r="T303" s="6">
        <f t="shared" si="102"/>
        <v>6.236118120450139</v>
      </c>
      <c r="U303" s="6">
        <f t="shared" si="103"/>
        <v>24.616629453514108</v>
      </c>
      <c r="X303" s="6"/>
      <c r="Y303" s="6"/>
      <c r="Z303" s="25"/>
      <c r="AA303" s="25"/>
      <c r="AB303" s="25"/>
      <c r="AC303" s="25"/>
      <c r="AD303" s="6">
        <f t="shared" si="92"/>
        <v>7.0549999999999979</v>
      </c>
      <c r="AE303" s="6">
        <f t="shared" si="93"/>
        <v>27.065000000000001</v>
      </c>
      <c r="AF303" s="6">
        <f t="shared" si="94"/>
        <v>4.1621749968413591</v>
      </c>
      <c r="AG303" s="6">
        <f t="shared" si="95"/>
        <v>1.9890886074327159</v>
      </c>
      <c r="AH303" s="6">
        <f t="shared" si="104"/>
        <v>1.0865431947043216</v>
      </c>
      <c r="AI303" s="6">
        <f t="shared" si="105"/>
        <v>7.4572120059590088E-2</v>
      </c>
      <c r="AJ303" s="6">
        <f t="shared" si="106"/>
        <v>0.29407291564672466</v>
      </c>
      <c r="AK303" s="6">
        <f t="shared" si="107"/>
        <v>0.79247027905759693</v>
      </c>
      <c r="AL303" s="6">
        <f t="shared" si="96"/>
        <v>0.73209999999999997</v>
      </c>
      <c r="AM303" s="6">
        <v>15.3</v>
      </c>
      <c r="AN303" s="6">
        <f t="shared" si="108"/>
        <v>24.023548387096774</v>
      </c>
    </row>
    <row r="304" spans="1:40" x14ac:dyDescent="0.2">
      <c r="A304" s="1">
        <f t="shared" si="109"/>
        <v>299</v>
      </c>
      <c r="B304" s="2">
        <v>24.23</v>
      </c>
      <c r="C304" s="2">
        <v>84.966458333333364</v>
      </c>
      <c r="D304" s="2">
        <v>1.7461599999999999</v>
      </c>
      <c r="E304" s="2">
        <v>30.07</v>
      </c>
      <c r="F304" s="2">
        <v>100</v>
      </c>
      <c r="G304" s="2">
        <v>7.0605599999999997</v>
      </c>
      <c r="H304" s="2">
        <v>19.62</v>
      </c>
      <c r="I304" s="2">
        <v>58.22</v>
      </c>
      <c r="J304" s="2">
        <v>27.18</v>
      </c>
      <c r="K304" s="3">
        <v>12.73</v>
      </c>
      <c r="L304" s="3">
        <v>6.249816</v>
      </c>
      <c r="N304" s="6">
        <f t="shared" si="97"/>
        <v>3.6834307614637547</v>
      </c>
      <c r="O304" s="6">
        <f t="shared" si="98"/>
        <v>20.227849238536248</v>
      </c>
      <c r="P304" s="6">
        <f t="shared" si="99"/>
        <v>3.6756029032258066</v>
      </c>
      <c r="Q304" s="6">
        <f t="shared" si="91"/>
        <v>4.7811988025586665</v>
      </c>
      <c r="R304" s="6">
        <f t="shared" si="100"/>
        <v>4.9870776388646947</v>
      </c>
      <c r="S304" s="6">
        <f t="shared" si="101"/>
        <v>4.5110137114285713</v>
      </c>
      <c r="T304" s="6">
        <f t="shared" si="102"/>
        <v>4.0391084007187121</v>
      </c>
      <c r="U304" s="6">
        <f t="shared" si="103"/>
        <v>22.772269572660594</v>
      </c>
      <c r="X304" s="6"/>
      <c r="Y304" s="6"/>
      <c r="Z304" s="25"/>
      <c r="AA304" s="25"/>
      <c r="AB304" s="25"/>
      <c r="AC304" s="25"/>
      <c r="AD304" s="6">
        <f t="shared" si="92"/>
        <v>5.2249999999999996</v>
      </c>
      <c r="AE304" s="6">
        <f t="shared" si="93"/>
        <v>20.89</v>
      </c>
      <c r="AF304" s="6">
        <f t="shared" si="94"/>
        <v>3.3840779626794641</v>
      </c>
      <c r="AG304" s="6">
        <f t="shared" si="95"/>
        <v>1.9426600188301462</v>
      </c>
      <c r="AH304" s="6">
        <f t="shared" si="104"/>
        <v>0.72070897192465899</v>
      </c>
      <c r="AI304" s="6">
        <f t="shared" si="105"/>
        <v>5.0213310645932221E-2</v>
      </c>
      <c r="AJ304" s="6">
        <f t="shared" si="106"/>
        <v>0.15055610423506127</v>
      </c>
      <c r="AK304" s="6">
        <f t="shared" si="107"/>
        <v>0.57015286768959772</v>
      </c>
      <c r="AL304" s="6">
        <f t="shared" si="96"/>
        <v>0.72530000000000006</v>
      </c>
      <c r="AM304" s="6">
        <v>15.3</v>
      </c>
      <c r="AN304" s="6">
        <f t="shared" si="108"/>
        <v>24.023548387096774</v>
      </c>
    </row>
    <row r="305" spans="1:40" x14ac:dyDescent="0.2">
      <c r="A305" s="1">
        <f t="shared" si="109"/>
        <v>300</v>
      </c>
      <c r="B305" s="2">
        <v>26.48</v>
      </c>
      <c r="C305" s="2">
        <v>71.510940000000005</v>
      </c>
      <c r="D305" s="2">
        <v>2.1257600000000001</v>
      </c>
      <c r="E305" s="2">
        <v>32.86</v>
      </c>
      <c r="F305" s="2">
        <v>100</v>
      </c>
      <c r="G305" s="2">
        <v>6.2254399999999999</v>
      </c>
      <c r="H305" s="2">
        <v>21.11</v>
      </c>
      <c r="I305" s="2">
        <v>41.28</v>
      </c>
      <c r="J305" s="2">
        <v>0</v>
      </c>
      <c r="K305" s="3">
        <v>16.670000000000002</v>
      </c>
      <c r="L305" s="3">
        <v>8.4340460000000004</v>
      </c>
      <c r="N305" s="6">
        <f t="shared" si="97"/>
        <v>3.6834307614637547</v>
      </c>
      <c r="O305" s="6">
        <f t="shared" si="98"/>
        <v>20.227849238536248</v>
      </c>
      <c r="P305" s="6">
        <f t="shared" si="99"/>
        <v>3.6756029032258066</v>
      </c>
      <c r="Q305" s="6">
        <f t="shared" si="91"/>
        <v>5.341285746492817</v>
      </c>
      <c r="R305" s="6">
        <f t="shared" si="100"/>
        <v>5.5712819753209164</v>
      </c>
      <c r="S305" s="6">
        <f t="shared" si="101"/>
        <v>6.0904464171428572</v>
      </c>
      <c r="T305" s="6">
        <f t="shared" si="102"/>
        <v>4.6518637143181349</v>
      </c>
      <c r="U305" s="6">
        <f t="shared" si="103"/>
        <v>29.300352139204872</v>
      </c>
      <c r="X305" s="6"/>
      <c r="Y305" s="6"/>
      <c r="Z305" s="25"/>
      <c r="AA305" s="25"/>
      <c r="AB305" s="25"/>
      <c r="AC305" s="25"/>
      <c r="AD305" s="6">
        <f t="shared" si="92"/>
        <v>5.875</v>
      </c>
      <c r="AE305" s="6">
        <f t="shared" si="93"/>
        <v>29.36</v>
      </c>
      <c r="AF305" s="6">
        <f t="shared" si="94"/>
        <v>3.8995318073124805</v>
      </c>
      <c r="AG305" s="6">
        <f t="shared" si="95"/>
        <v>2.1077139328922474</v>
      </c>
      <c r="AH305" s="6">
        <f t="shared" si="104"/>
        <v>0.89590893721011655</v>
      </c>
      <c r="AI305" s="6">
        <f t="shared" si="105"/>
        <v>6.2086613774712043E-2</v>
      </c>
      <c r="AJ305" s="6">
        <f t="shared" si="106"/>
        <v>0.26303886396489018</v>
      </c>
      <c r="AK305" s="6">
        <f t="shared" si="107"/>
        <v>0.63287007324522637</v>
      </c>
      <c r="AL305" s="6">
        <f t="shared" si="96"/>
        <v>0.74780000000000002</v>
      </c>
      <c r="AM305" s="6">
        <v>15.3</v>
      </c>
      <c r="AN305" s="6">
        <f t="shared" si="108"/>
        <v>24.023548387096774</v>
      </c>
    </row>
    <row r="306" spans="1:40" x14ac:dyDescent="0.2">
      <c r="A306" s="1">
        <f t="shared" si="109"/>
        <v>301</v>
      </c>
      <c r="B306" s="2">
        <v>21.36</v>
      </c>
      <c r="C306" s="2">
        <v>78.378343999999998</v>
      </c>
      <c r="D306" s="2">
        <v>2.2712729999999999</v>
      </c>
      <c r="E306" s="2">
        <v>25.33</v>
      </c>
      <c r="F306" s="2">
        <v>88.1</v>
      </c>
      <c r="G306" s="2">
        <v>7.6679199999999996</v>
      </c>
      <c r="H306" s="2">
        <v>18.75</v>
      </c>
      <c r="I306" s="2">
        <v>62.54</v>
      </c>
      <c r="J306" s="2">
        <v>0</v>
      </c>
      <c r="K306" s="3">
        <v>14.1</v>
      </c>
      <c r="L306" s="3">
        <v>6.8605210000000003</v>
      </c>
      <c r="N306" s="6">
        <f t="shared" si="97"/>
        <v>3.6834307614637547</v>
      </c>
      <c r="O306" s="6">
        <f t="shared" si="98"/>
        <v>20.227849238536248</v>
      </c>
      <c r="P306" s="6">
        <f t="shared" si="99"/>
        <v>3.6756029032258066</v>
      </c>
      <c r="Q306" s="6">
        <f t="shared" si="91"/>
        <v>3.5348818033608431</v>
      </c>
      <c r="R306" s="6">
        <f t="shared" si="100"/>
        <v>3.6870941212769743</v>
      </c>
      <c r="S306" s="6">
        <f t="shared" si="101"/>
        <v>4.7987778857142853</v>
      </c>
      <c r="T306" s="6">
        <f t="shared" si="102"/>
        <v>2.7292030026409506</v>
      </c>
      <c r="U306" s="6">
        <f t="shared" si="103"/>
        <v>16.083126571625311</v>
      </c>
      <c r="X306" s="6"/>
      <c r="Y306" s="6"/>
      <c r="Z306" s="25"/>
      <c r="AA306" s="25"/>
      <c r="AB306" s="25"/>
      <c r="AC306" s="25"/>
      <c r="AD306" s="6">
        <f t="shared" si="92"/>
        <v>3.2899999999999991</v>
      </c>
      <c r="AE306" s="6">
        <f t="shared" si="93"/>
        <v>12.779999999999998</v>
      </c>
      <c r="AF306" s="6">
        <f t="shared" si="94"/>
        <v>2.6436035023584243</v>
      </c>
      <c r="AG306" s="6">
        <f t="shared" si="95"/>
        <v>1.8516172822133183</v>
      </c>
      <c r="AH306" s="6">
        <f t="shared" si="104"/>
        <v>0.395993110072553</v>
      </c>
      <c r="AI306" s="6">
        <f t="shared" si="105"/>
        <v>2.8035250400922161E-2</v>
      </c>
      <c r="AJ306" s="6">
        <f t="shared" si="106"/>
        <v>5.0607919467272264E-2</v>
      </c>
      <c r="AK306" s="6">
        <f t="shared" si="107"/>
        <v>0.34538519060528072</v>
      </c>
      <c r="AL306" s="6">
        <f t="shared" si="96"/>
        <v>0.6966</v>
      </c>
      <c r="AM306" s="6">
        <v>15.3</v>
      </c>
      <c r="AN306" s="6">
        <f t="shared" si="108"/>
        <v>24.023548387096774</v>
      </c>
    </row>
    <row r="307" spans="1:40" x14ac:dyDescent="0.2">
      <c r="A307" s="1">
        <f t="shared" si="109"/>
        <v>302</v>
      </c>
      <c r="B307" s="2">
        <v>22.15</v>
      </c>
      <c r="C307" s="2">
        <v>79.117080000000001</v>
      </c>
      <c r="D307" s="2">
        <v>1.635443</v>
      </c>
      <c r="E307" s="2">
        <v>28.3</v>
      </c>
      <c r="F307" s="2">
        <v>94.1</v>
      </c>
      <c r="G307" s="2">
        <v>6.7568799999999998</v>
      </c>
      <c r="H307" s="2">
        <v>17.600000000000001</v>
      </c>
      <c r="I307" s="2">
        <v>57.95</v>
      </c>
      <c r="J307" s="2">
        <v>0</v>
      </c>
      <c r="K307" s="3">
        <v>14.44</v>
      </c>
      <c r="L307" s="3">
        <v>7.6803530000000002</v>
      </c>
      <c r="N307" s="6">
        <f t="shared" si="97"/>
        <v>3.6834307614637547</v>
      </c>
      <c r="O307" s="6">
        <f t="shared" si="98"/>
        <v>20.227849238536248</v>
      </c>
      <c r="P307" s="6">
        <f t="shared" si="99"/>
        <v>3.6756029032258066</v>
      </c>
      <c r="Q307" s="6">
        <f t="shared" si="91"/>
        <v>4.5986244000147121</v>
      </c>
      <c r="R307" s="6">
        <f t="shared" si="100"/>
        <v>4.7966415666669073</v>
      </c>
      <c r="S307" s="6">
        <f t="shared" si="101"/>
        <v>4.970227371428571</v>
      </c>
      <c r="T307" s="6">
        <f t="shared" si="102"/>
        <v>4.0247946422028553</v>
      </c>
      <c r="U307" s="6">
        <f t="shared" si="103"/>
        <v>17.760884344165468</v>
      </c>
      <c r="X307" s="6"/>
      <c r="Y307" s="6"/>
      <c r="Z307" s="25"/>
      <c r="AA307" s="25"/>
      <c r="AB307" s="25"/>
      <c r="AC307" s="25"/>
      <c r="AD307" s="6">
        <f t="shared" si="92"/>
        <v>5.35</v>
      </c>
      <c r="AE307" s="6">
        <f t="shared" si="93"/>
        <v>18.074999999999996</v>
      </c>
      <c r="AF307" s="6">
        <f t="shared" si="94"/>
        <v>3.0887865293097794</v>
      </c>
      <c r="AG307" s="6">
        <f t="shared" si="95"/>
        <v>1.7370222855645165</v>
      </c>
      <c r="AH307" s="6">
        <f t="shared" si="104"/>
        <v>0.67588212187263141</v>
      </c>
      <c r="AI307" s="6">
        <f t="shared" si="105"/>
        <v>4.704162565596335E-2</v>
      </c>
      <c r="AJ307" s="6">
        <f t="shared" si="106"/>
        <v>0.1221656935284781</v>
      </c>
      <c r="AK307" s="6">
        <f t="shared" si="107"/>
        <v>0.55371642834415336</v>
      </c>
      <c r="AL307" s="6">
        <f t="shared" si="96"/>
        <v>0.70450000000000002</v>
      </c>
      <c r="AM307" s="6">
        <v>15.3</v>
      </c>
      <c r="AN307" s="6">
        <f t="shared" si="108"/>
        <v>24.023548387096774</v>
      </c>
    </row>
    <row r="308" spans="1:40" x14ac:dyDescent="0.2">
      <c r="A308" s="1">
        <f t="shared" si="109"/>
        <v>303</v>
      </c>
      <c r="B308" s="2">
        <v>23.45</v>
      </c>
      <c r="C308" s="2">
        <v>76.230937499999968</v>
      </c>
      <c r="D308" s="2">
        <v>1.9770829999999999</v>
      </c>
      <c r="E308" s="2">
        <v>31.27</v>
      </c>
      <c r="F308" s="2">
        <v>100</v>
      </c>
      <c r="G308" s="2">
        <v>8.9585600000000003</v>
      </c>
      <c r="H308" s="2">
        <v>17.45</v>
      </c>
      <c r="I308" s="2">
        <v>45.01</v>
      </c>
      <c r="J308" s="2">
        <v>0</v>
      </c>
      <c r="K308" s="3">
        <v>25.38</v>
      </c>
      <c r="L308" s="3">
        <v>12.809939999999999</v>
      </c>
      <c r="N308" s="6">
        <f t="shared" si="97"/>
        <v>3.6834307614637547</v>
      </c>
      <c r="O308" s="6">
        <f t="shared" si="98"/>
        <v>20.227849238536248</v>
      </c>
      <c r="P308" s="6">
        <f t="shared" si="99"/>
        <v>3.6756029032258066</v>
      </c>
      <c r="Q308" s="6">
        <f t="shared" si="91"/>
        <v>5.3963143582967241</v>
      </c>
      <c r="R308" s="6">
        <f t="shared" si="100"/>
        <v>5.6286801239354789</v>
      </c>
      <c r="S308" s="6">
        <f t="shared" si="101"/>
        <v>8.896958999999999</v>
      </c>
      <c r="T308" s="6">
        <f t="shared" si="102"/>
        <v>5.8487785681605811</v>
      </c>
      <c r="U308" s="6">
        <f t="shared" si="103"/>
        <v>20.790604343642954</v>
      </c>
      <c r="X308" s="6"/>
      <c r="Y308" s="6"/>
      <c r="Z308" s="25"/>
      <c r="AA308" s="25"/>
      <c r="AB308" s="25"/>
      <c r="AC308" s="25"/>
      <c r="AD308" s="6">
        <f t="shared" si="92"/>
        <v>6.91</v>
      </c>
      <c r="AE308" s="6">
        <f t="shared" si="93"/>
        <v>27.495000000000001</v>
      </c>
      <c r="AF308" s="6">
        <f t="shared" si="94"/>
        <v>3.59800065838155</v>
      </c>
      <c r="AG308" s="6">
        <f t="shared" si="95"/>
        <v>1.7225434560394499</v>
      </c>
      <c r="AH308" s="6">
        <f t="shared" si="104"/>
        <v>0.93772860117105006</v>
      </c>
      <c r="AI308" s="6">
        <f t="shared" si="105"/>
        <v>6.4435058807884943E-2</v>
      </c>
      <c r="AJ308" s="6">
        <f t="shared" si="106"/>
        <v>0.25782847889198024</v>
      </c>
      <c r="AK308" s="6">
        <f t="shared" si="107"/>
        <v>0.67990012227906982</v>
      </c>
      <c r="AL308" s="6">
        <f t="shared" si="96"/>
        <v>0.71750000000000003</v>
      </c>
      <c r="AM308" s="6">
        <v>15.3</v>
      </c>
      <c r="AN308" s="6">
        <f t="shared" si="108"/>
        <v>24.023548387096774</v>
      </c>
    </row>
    <row r="309" spans="1:40" x14ac:dyDescent="0.2">
      <c r="A309" s="1">
        <f t="shared" si="109"/>
        <v>304</v>
      </c>
      <c r="B309" s="2">
        <v>23.75</v>
      </c>
      <c r="C309" s="2">
        <v>68.131354166666668</v>
      </c>
      <c r="D309" s="2">
        <v>2.5275029999999998</v>
      </c>
      <c r="E309" s="2">
        <v>31.42</v>
      </c>
      <c r="F309" s="2">
        <v>100</v>
      </c>
      <c r="G309" s="2">
        <v>10.32512</v>
      </c>
      <c r="H309" s="2">
        <v>16.55</v>
      </c>
      <c r="I309" s="2">
        <v>39.880000000000003</v>
      </c>
      <c r="J309" s="2">
        <v>0</v>
      </c>
      <c r="K309" s="3">
        <v>26.74</v>
      </c>
      <c r="L309" s="3">
        <v>13.271459999999999</v>
      </c>
      <c r="N309" s="6">
        <f t="shared" si="97"/>
        <v>3.6834307614637547</v>
      </c>
      <c r="O309" s="6">
        <f t="shared" si="98"/>
        <v>20.227849238536248</v>
      </c>
      <c r="P309" s="6">
        <f t="shared" si="99"/>
        <v>3.6756029032258066</v>
      </c>
      <c r="Q309" s="6">
        <f t="shared" si="91"/>
        <v>5.638268832997352</v>
      </c>
      <c r="R309" s="6">
        <f t="shared" si="100"/>
        <v>5.8810531793618743</v>
      </c>
      <c r="S309" s="6">
        <f t="shared" si="101"/>
        <v>9.4129001999999993</v>
      </c>
      <c r="T309" s="6">
        <f t="shared" si="102"/>
        <v>6.1216953772816742</v>
      </c>
      <c r="U309" s="6">
        <f t="shared" si="103"/>
        <v>21.543904619147042</v>
      </c>
      <c r="X309" s="6"/>
      <c r="Y309" s="6"/>
      <c r="Z309" s="25"/>
      <c r="AA309" s="25"/>
      <c r="AB309" s="25"/>
      <c r="AC309" s="25"/>
      <c r="AD309" s="6">
        <f t="shared" si="92"/>
        <v>7.4350000000000005</v>
      </c>
      <c r="AE309" s="6">
        <f t="shared" si="93"/>
        <v>30.06</v>
      </c>
      <c r="AF309" s="6">
        <f t="shared" si="94"/>
        <v>3.6255517293263049</v>
      </c>
      <c r="AG309" s="6">
        <f t="shared" si="95"/>
        <v>1.637871984402445</v>
      </c>
      <c r="AH309" s="6">
        <f t="shared" si="104"/>
        <v>0.99383987246192995</v>
      </c>
      <c r="AI309" s="6">
        <f t="shared" si="105"/>
        <v>6.7998010226015301E-2</v>
      </c>
      <c r="AJ309" s="6">
        <f t="shared" si="106"/>
        <v>0.29874826566205614</v>
      </c>
      <c r="AK309" s="6">
        <f t="shared" si="107"/>
        <v>0.69509160679987381</v>
      </c>
      <c r="AL309" s="6">
        <f t="shared" si="96"/>
        <v>0.72050000000000003</v>
      </c>
      <c r="AM309" s="6">
        <v>15.3</v>
      </c>
      <c r="AN309" s="6">
        <f t="shared" si="108"/>
        <v>24.023548387096774</v>
      </c>
    </row>
    <row r="310" spans="1:40" x14ac:dyDescent="0.2">
      <c r="A310" s="1">
        <f t="shared" si="109"/>
        <v>305</v>
      </c>
      <c r="B310" s="2">
        <v>23.48</v>
      </c>
      <c r="C310" s="2">
        <v>64.23</v>
      </c>
      <c r="D310" s="2">
        <v>2.5496470000000002</v>
      </c>
      <c r="E310" s="2">
        <v>31.08</v>
      </c>
      <c r="F310" s="2">
        <v>89.5</v>
      </c>
      <c r="G310" s="2">
        <v>10.93248</v>
      </c>
      <c r="H310" s="2">
        <v>17.170000000000002</v>
      </c>
      <c r="I310" s="2">
        <v>35.67</v>
      </c>
      <c r="J310" s="2">
        <v>0</v>
      </c>
      <c r="K310" s="3">
        <v>26.55</v>
      </c>
      <c r="L310" s="3">
        <v>13.249840000000001</v>
      </c>
      <c r="N310" s="6">
        <f t="shared" si="97"/>
        <v>3.6834307614637547</v>
      </c>
      <c r="O310" s="6">
        <f t="shared" si="98"/>
        <v>20.227849238536248</v>
      </c>
      <c r="P310" s="6">
        <f t="shared" si="99"/>
        <v>3.6756029032258066</v>
      </c>
      <c r="Q310" s="6">
        <f t="shared" si="91"/>
        <v>5.4177944061307635</v>
      </c>
      <c r="R310" s="6">
        <f t="shared" si="100"/>
        <v>5.6510851044975823</v>
      </c>
      <c r="S310" s="6">
        <f t="shared" si="101"/>
        <v>9.3109939714285712</v>
      </c>
      <c r="T310" s="6">
        <f t="shared" si="102"/>
        <v>6.0089946853549625</v>
      </c>
      <c r="U310" s="6">
        <f t="shared" si="103"/>
        <v>20.871506099339996</v>
      </c>
      <c r="X310" s="6"/>
      <c r="Y310" s="6"/>
      <c r="Z310" s="25"/>
      <c r="AA310" s="25"/>
      <c r="AB310" s="25"/>
      <c r="AC310" s="25"/>
      <c r="AD310" s="6">
        <f t="shared" si="92"/>
        <v>6.9549999999999983</v>
      </c>
      <c r="AE310" s="6">
        <f t="shared" si="93"/>
        <v>26.914999999999999</v>
      </c>
      <c r="AF310" s="6">
        <f t="shared" si="94"/>
        <v>3.5633645262870828</v>
      </c>
      <c r="AG310" s="6">
        <f t="shared" si="95"/>
        <v>1.6957992108184095</v>
      </c>
      <c r="AH310" s="6">
        <f t="shared" si="104"/>
        <v>0.93378265773433666</v>
      </c>
      <c r="AI310" s="6">
        <f t="shared" si="105"/>
        <v>6.4140277220110772E-2</v>
      </c>
      <c r="AJ310" s="6">
        <f t="shared" si="106"/>
        <v>0.25132760232919671</v>
      </c>
      <c r="AK310" s="6">
        <f t="shared" si="107"/>
        <v>0.68245505540513995</v>
      </c>
      <c r="AL310" s="6">
        <f t="shared" si="96"/>
        <v>0.71779999999999999</v>
      </c>
      <c r="AM310" s="6">
        <v>15.3</v>
      </c>
      <c r="AN310" s="6">
        <f t="shared" si="108"/>
        <v>24.023548387096774</v>
      </c>
    </row>
    <row r="311" spans="1:40" x14ac:dyDescent="0.2">
      <c r="A311" s="1">
        <f t="shared" si="109"/>
        <v>306</v>
      </c>
      <c r="B311" s="2">
        <v>23.61</v>
      </c>
      <c r="C311" s="2">
        <v>70.257187500000001</v>
      </c>
      <c r="D311" s="2">
        <v>1.5816669999999999</v>
      </c>
      <c r="E311" s="2">
        <v>32.130000000000003</v>
      </c>
      <c r="F311" s="2">
        <v>92.9</v>
      </c>
      <c r="G311" s="2">
        <v>8.4271200000000004</v>
      </c>
      <c r="H311" s="2">
        <v>17.850000000000001</v>
      </c>
      <c r="I311" s="2">
        <v>38.369999999999997</v>
      </c>
      <c r="J311" s="2">
        <v>4.0640000000000001</v>
      </c>
      <c r="K311" s="3">
        <v>18.690000000000001</v>
      </c>
      <c r="L311" s="3">
        <v>8.0459099999999992</v>
      </c>
      <c r="N311" s="6">
        <f t="shared" si="97"/>
        <v>3.5183022330740719</v>
      </c>
      <c r="O311" s="6">
        <f t="shared" si="98"/>
        <v>19.487646211370361</v>
      </c>
      <c r="P311" s="6">
        <f t="shared" si="99"/>
        <v>3.823577999999999</v>
      </c>
      <c r="Q311" s="6">
        <f t="shared" si="91"/>
        <v>5.8305857219602997</v>
      </c>
      <c r="R311" s="6">
        <f t="shared" si="100"/>
        <v>6.081651250291257</v>
      </c>
      <c r="S311" s="6">
        <f t="shared" si="101"/>
        <v>6.56638974</v>
      </c>
      <c r="T311" s="6">
        <f t="shared" si="102"/>
        <v>5.5607004550978827</v>
      </c>
      <c r="U311" s="6">
        <f t="shared" si="103"/>
        <v>21.190903761872054</v>
      </c>
      <c r="X311" s="6"/>
      <c r="Y311" s="6"/>
      <c r="Z311" s="25"/>
      <c r="AA311" s="25"/>
      <c r="AB311" s="25"/>
      <c r="AC311" s="25"/>
      <c r="AD311" s="6">
        <f t="shared" si="92"/>
        <v>7.1400000000000006</v>
      </c>
      <c r="AE311" s="6">
        <f t="shared" si="93"/>
        <v>27.265000000000004</v>
      </c>
      <c r="AF311" s="6">
        <f t="shared" si="94"/>
        <v>3.7584680226857521</v>
      </c>
      <c r="AG311" s="6">
        <f t="shared" si="95"/>
        <v>1.7613908616721903</v>
      </c>
      <c r="AH311" s="6">
        <f t="shared" si="104"/>
        <v>0.9985385805067809</v>
      </c>
      <c r="AI311" s="6">
        <f t="shared" si="105"/>
        <v>6.8484494317703426E-2</v>
      </c>
      <c r="AJ311" s="6">
        <f t="shared" si="106"/>
        <v>0.27225154397517387</v>
      </c>
      <c r="AK311" s="6">
        <f t="shared" si="107"/>
        <v>0.72628703653160698</v>
      </c>
      <c r="AL311" s="6">
        <f t="shared" si="96"/>
        <v>0.71909999999999996</v>
      </c>
      <c r="AM311" s="6">
        <v>16.2</v>
      </c>
      <c r="AN311" s="6">
        <f>$X$16</f>
        <v>23.602333333333327</v>
      </c>
    </row>
    <row r="312" spans="1:40" x14ac:dyDescent="0.2">
      <c r="A312" s="1">
        <f t="shared" si="109"/>
        <v>307</v>
      </c>
      <c r="B312" s="2">
        <v>22.96</v>
      </c>
      <c r="C312" s="2">
        <v>88.396349999999998</v>
      </c>
      <c r="D312" s="2">
        <v>1.183087</v>
      </c>
      <c r="E312" s="2">
        <v>29.16</v>
      </c>
      <c r="F312" s="2">
        <v>100</v>
      </c>
      <c r="G312" s="2">
        <v>8.7308000000000003</v>
      </c>
      <c r="H312" s="2">
        <v>19.86</v>
      </c>
      <c r="I312" s="2">
        <v>53.88</v>
      </c>
      <c r="J312" s="2">
        <v>2.794</v>
      </c>
      <c r="K312" s="3">
        <v>11.83</v>
      </c>
      <c r="L312" s="3">
        <v>5.1198680000000003</v>
      </c>
      <c r="N312" s="6">
        <f t="shared" si="97"/>
        <v>3.5183022330740719</v>
      </c>
      <c r="O312" s="6">
        <f t="shared" si="98"/>
        <v>19.487646211370361</v>
      </c>
      <c r="P312" s="6">
        <f t="shared" si="99"/>
        <v>3.823577999999999</v>
      </c>
      <c r="Q312" s="6">
        <f t="shared" si="91"/>
        <v>4.631466212930067</v>
      </c>
      <c r="R312" s="6">
        <f t="shared" si="100"/>
        <v>4.8308975509029732</v>
      </c>
      <c r="S312" s="6">
        <f t="shared" si="101"/>
        <v>4.1186854799999999</v>
      </c>
      <c r="T312" s="6">
        <f t="shared" si="102"/>
        <v>3.6281103925041114</v>
      </c>
      <c r="U312" s="6">
        <f t="shared" si="103"/>
        <v>19.602028032157367</v>
      </c>
      <c r="X312" s="6"/>
      <c r="Y312" s="6"/>
      <c r="Z312" s="25"/>
      <c r="AA312" s="25"/>
      <c r="AB312" s="25"/>
      <c r="AC312" s="25"/>
      <c r="AD312" s="6">
        <f t="shared" si="92"/>
        <v>4.6500000000000004</v>
      </c>
      <c r="AE312" s="6">
        <f t="shared" si="93"/>
        <v>23.06</v>
      </c>
      <c r="AF312" s="6">
        <f t="shared" si="94"/>
        <v>3.2293270434514603</v>
      </c>
      <c r="AG312" s="6">
        <f t="shared" si="95"/>
        <v>1.9684551893499898</v>
      </c>
      <c r="AH312" s="6">
        <f t="shared" si="104"/>
        <v>0.63043592705073526</v>
      </c>
      <c r="AI312" s="6">
        <f t="shared" si="105"/>
        <v>4.413281765092926E-2</v>
      </c>
      <c r="AJ312" s="6">
        <f t="shared" si="106"/>
        <v>0.14537852477789953</v>
      </c>
      <c r="AK312" s="6">
        <f t="shared" si="107"/>
        <v>0.48505740227283572</v>
      </c>
      <c r="AL312" s="6">
        <f t="shared" si="96"/>
        <v>0.71260000000000001</v>
      </c>
      <c r="AM312" s="6">
        <v>16.2</v>
      </c>
      <c r="AN312" s="6">
        <f t="shared" ref="AN312:AN340" si="110">$X$16</f>
        <v>23.602333333333327</v>
      </c>
    </row>
    <row r="313" spans="1:40" x14ac:dyDescent="0.2">
      <c r="A313" s="1">
        <f t="shared" si="109"/>
        <v>308</v>
      </c>
      <c r="B313" s="2">
        <v>21.63</v>
      </c>
      <c r="C313" s="2">
        <v>97.73563</v>
      </c>
      <c r="D313" s="2">
        <v>2.0466766666666665</v>
      </c>
      <c r="E313" s="2">
        <v>26.38</v>
      </c>
      <c r="F313" s="2">
        <v>100</v>
      </c>
      <c r="G313" s="2">
        <v>7.7438399999999996</v>
      </c>
      <c r="H313" s="2">
        <v>20.04</v>
      </c>
      <c r="I313" s="2">
        <v>77.94</v>
      </c>
      <c r="J313" s="2">
        <v>47.24</v>
      </c>
      <c r="K313" s="3">
        <v>10.6</v>
      </c>
      <c r="L313" s="3">
        <v>4.742877</v>
      </c>
      <c r="N313" s="6">
        <f t="shared" si="97"/>
        <v>3.5183022330740719</v>
      </c>
      <c r="O313" s="6">
        <f t="shared" si="98"/>
        <v>19.487646211370361</v>
      </c>
      <c r="P313" s="6">
        <f t="shared" si="99"/>
        <v>3.823577999999999</v>
      </c>
      <c r="Q313" s="6">
        <f t="shared" si="91"/>
        <v>3.6992548900599398</v>
      </c>
      <c r="R313" s="6">
        <f t="shared" si="100"/>
        <v>3.8585451273864768</v>
      </c>
      <c r="S313" s="6">
        <f t="shared" si="101"/>
        <v>3.6215747999999994</v>
      </c>
      <c r="T313" s="6">
        <f t="shared" si="102"/>
        <v>2.6705302281395991</v>
      </c>
      <c r="U313" s="6">
        <f t="shared" si="103"/>
        <v>16.633508910924728</v>
      </c>
      <c r="X313" s="6"/>
      <c r="Y313" s="6"/>
      <c r="Z313" s="25"/>
      <c r="AA313" s="25"/>
      <c r="AB313" s="25"/>
      <c r="AC313" s="25"/>
      <c r="AD313" s="6">
        <f t="shared" si="92"/>
        <v>3.17</v>
      </c>
      <c r="AE313" s="6">
        <f t="shared" si="93"/>
        <v>11.030000000000001</v>
      </c>
      <c r="AF313" s="6">
        <f t="shared" si="94"/>
        <v>2.7941224068916113</v>
      </c>
      <c r="AG313" s="6">
        <f t="shared" si="95"/>
        <v>1.9879979352455059</v>
      </c>
      <c r="AH313" s="6">
        <f t="shared" si="104"/>
        <v>0.40306223582305267</v>
      </c>
      <c r="AI313" s="6">
        <f t="shared" si="105"/>
        <v>2.8564212607708434E-2</v>
      </c>
      <c r="AJ313" s="6">
        <f t="shared" si="106"/>
        <v>4.4457764611282709E-2</v>
      </c>
      <c r="AK313" s="6">
        <f t="shared" si="107"/>
        <v>0.35860447121176997</v>
      </c>
      <c r="AL313" s="6">
        <f t="shared" si="96"/>
        <v>0.69930000000000003</v>
      </c>
      <c r="AM313" s="6">
        <v>16.2</v>
      </c>
      <c r="AN313" s="6">
        <f t="shared" si="110"/>
        <v>23.602333333333327</v>
      </c>
    </row>
    <row r="314" spans="1:40" x14ac:dyDescent="0.2">
      <c r="A314" s="1">
        <f t="shared" si="109"/>
        <v>309</v>
      </c>
      <c r="B314" s="2">
        <v>21.76</v>
      </c>
      <c r="C314" s="2">
        <v>96.585416666666617</v>
      </c>
      <c r="D314" s="2">
        <v>1.1641066666666666</v>
      </c>
      <c r="E314" s="2">
        <v>24.66</v>
      </c>
      <c r="F314" s="2">
        <v>100</v>
      </c>
      <c r="G314" s="2">
        <v>5.61808</v>
      </c>
      <c r="H314" s="2">
        <v>19.850000000000001</v>
      </c>
      <c r="I314" s="2">
        <v>83.2</v>
      </c>
      <c r="J314" s="2">
        <v>31.24</v>
      </c>
      <c r="K314" s="3">
        <v>6.1230000000000002</v>
      </c>
      <c r="L314" s="3">
        <v>2.0914649999999999</v>
      </c>
      <c r="N314" s="6">
        <f t="shared" si="97"/>
        <v>3.5183022330740719</v>
      </c>
      <c r="O314" s="6">
        <f t="shared" si="98"/>
        <v>19.487646211370361</v>
      </c>
      <c r="P314" s="6">
        <f t="shared" si="99"/>
        <v>3.823577999999999</v>
      </c>
      <c r="Q314" s="6">
        <f t="shared" si="91"/>
        <v>3.2327466599594281</v>
      </c>
      <c r="R314" s="6">
        <f t="shared" si="100"/>
        <v>3.3719490123210312</v>
      </c>
      <c r="S314" s="6">
        <f t="shared" si="101"/>
        <v>2.0958609137142852</v>
      </c>
      <c r="T314" s="6">
        <f t="shared" si="102"/>
        <v>1.7571841487367503</v>
      </c>
      <c r="U314" s="6">
        <f t="shared" si="103"/>
        <v>16.908665835344486</v>
      </c>
      <c r="X314" s="6"/>
      <c r="Y314" s="6"/>
      <c r="Z314" s="25"/>
      <c r="AA314" s="25"/>
      <c r="AB314" s="25"/>
      <c r="AC314" s="25"/>
      <c r="AD314" s="6">
        <f t="shared" si="92"/>
        <v>2.4049999999999994</v>
      </c>
      <c r="AE314" s="6">
        <f t="shared" si="93"/>
        <v>8.3999999999999986</v>
      </c>
      <c r="AF314" s="6">
        <f t="shared" si="94"/>
        <v>2.5513034268272645</v>
      </c>
      <c r="AG314" s="6">
        <f t="shared" si="95"/>
        <v>1.9673744318560986</v>
      </c>
      <c r="AH314" s="6">
        <f t="shared" si="104"/>
        <v>0.29196449748558295</v>
      </c>
      <c r="AI314" s="6">
        <f t="shared" si="105"/>
        <v>2.082321642363013E-2</v>
      </c>
      <c r="AJ314" s="6">
        <f t="shared" si="106"/>
        <v>2.4525017788788964E-2</v>
      </c>
      <c r="AK314" s="6">
        <f t="shared" si="107"/>
        <v>0.26743947969679399</v>
      </c>
      <c r="AL314" s="6">
        <f t="shared" si="96"/>
        <v>0.7006</v>
      </c>
      <c r="AM314" s="6">
        <v>16.2</v>
      </c>
      <c r="AN314" s="6">
        <f t="shared" si="110"/>
        <v>23.602333333333327</v>
      </c>
    </row>
    <row r="315" spans="1:40" x14ac:dyDescent="0.2">
      <c r="A315" s="1">
        <f t="shared" si="109"/>
        <v>310</v>
      </c>
      <c r="B315" s="2">
        <v>23.85</v>
      </c>
      <c r="C315" s="2">
        <v>83.76408163265306</v>
      </c>
      <c r="D315" s="2">
        <v>1.3159466666666666</v>
      </c>
      <c r="E315" s="2">
        <v>29.98</v>
      </c>
      <c r="F315" s="2">
        <v>100</v>
      </c>
      <c r="G315" s="2">
        <v>6.225439999999999</v>
      </c>
      <c r="H315" s="2">
        <v>18.989999999999998</v>
      </c>
      <c r="I315" s="2">
        <v>54.6</v>
      </c>
      <c r="J315" s="2">
        <v>0</v>
      </c>
      <c r="K315" s="3">
        <v>18.43</v>
      </c>
      <c r="L315" s="3">
        <v>10.86674</v>
      </c>
      <c r="N315" s="6">
        <f t="shared" si="97"/>
        <v>3.5183022330740719</v>
      </c>
      <c r="O315" s="6">
        <f t="shared" si="98"/>
        <v>19.487646211370361</v>
      </c>
      <c r="P315" s="6">
        <f t="shared" si="99"/>
        <v>3.823577999999999</v>
      </c>
      <c r="Q315" s="6">
        <f t="shared" si="91"/>
        <v>5.1446602854556485</v>
      </c>
      <c r="R315" s="6">
        <f t="shared" si="100"/>
        <v>5.3661898048290384</v>
      </c>
      <c r="S315" s="6">
        <f t="shared" si="101"/>
        <v>6.4966539857142847</v>
      </c>
      <c r="T315" s="6">
        <f t="shared" si="102"/>
        <v>4.4375297253105428</v>
      </c>
      <c r="U315" s="6">
        <f t="shared" si="103"/>
        <v>21.788555694365773</v>
      </c>
      <c r="X315" s="6"/>
      <c r="Y315" s="6"/>
      <c r="Z315" s="25"/>
      <c r="AA315" s="25"/>
      <c r="AB315" s="25"/>
      <c r="AC315" s="25"/>
      <c r="AD315" s="6">
        <f t="shared" si="92"/>
        <v>5.495000000000001</v>
      </c>
      <c r="AE315" s="6">
        <f t="shared" si="93"/>
        <v>22.7</v>
      </c>
      <c r="AF315" s="6">
        <f t="shared" si="94"/>
        <v>3.3684903033160394</v>
      </c>
      <c r="AG315" s="6">
        <f t="shared" si="95"/>
        <v>1.8763511775572255</v>
      </c>
      <c r="AH315" s="6">
        <f t="shared" si="104"/>
        <v>0.74606956287940696</v>
      </c>
      <c r="AI315" s="6">
        <f t="shared" si="105"/>
        <v>5.1864691498249252E-2</v>
      </c>
      <c r="AJ315" s="6">
        <f t="shared" si="106"/>
        <v>0.16935779077362537</v>
      </c>
      <c r="AK315" s="6">
        <f t="shared" si="107"/>
        <v>0.57671177210578162</v>
      </c>
      <c r="AL315" s="6">
        <f t="shared" si="96"/>
        <v>0.72150000000000003</v>
      </c>
      <c r="AM315" s="6">
        <v>16.2</v>
      </c>
      <c r="AN315" s="6">
        <f t="shared" si="110"/>
        <v>23.602333333333327</v>
      </c>
    </row>
    <row r="316" spans="1:40" x14ac:dyDescent="0.2">
      <c r="A316" s="1">
        <f t="shared" si="109"/>
        <v>311</v>
      </c>
      <c r="B316" s="2">
        <v>24.54</v>
      </c>
      <c r="C316" s="2">
        <v>85.720312499999977</v>
      </c>
      <c r="D316" s="2">
        <v>1.6639133333333327</v>
      </c>
      <c r="E316" s="2">
        <v>29.93</v>
      </c>
      <c r="F316" s="2">
        <v>100</v>
      </c>
      <c r="G316" s="2">
        <v>5.61808</v>
      </c>
      <c r="H316" s="2">
        <v>20.82</v>
      </c>
      <c r="I316" s="2">
        <v>53.98</v>
      </c>
      <c r="J316" s="2">
        <v>24.64</v>
      </c>
      <c r="K316" s="3">
        <v>14.79</v>
      </c>
      <c r="L316" s="3">
        <v>7.6932270000000003</v>
      </c>
      <c r="N316" s="6">
        <f t="shared" si="97"/>
        <v>3.5183022330740719</v>
      </c>
      <c r="O316" s="6">
        <f t="shared" si="98"/>
        <v>19.487646211370361</v>
      </c>
      <c r="P316" s="6">
        <f t="shared" si="99"/>
        <v>3.823577999999999</v>
      </c>
      <c r="Q316" s="6">
        <f t="shared" si="91"/>
        <v>4.7615998158088253</v>
      </c>
      <c r="R316" s="6">
        <f t="shared" si="100"/>
        <v>4.9666347180406891</v>
      </c>
      <c r="S316" s="6">
        <f t="shared" si="101"/>
        <v>5.2633975885714266</v>
      </c>
      <c r="T316" s="6">
        <f t="shared" si="102"/>
        <v>3.616590204897919</v>
      </c>
      <c r="U316" s="6">
        <f t="shared" si="103"/>
        <v>23.598755454792059</v>
      </c>
      <c r="X316" s="6"/>
      <c r="Y316" s="6"/>
      <c r="Z316" s="25"/>
      <c r="AA316" s="25"/>
      <c r="AB316" s="25"/>
      <c r="AC316" s="25"/>
      <c r="AD316" s="6">
        <f t="shared" si="92"/>
        <v>4.5549999999999997</v>
      </c>
      <c r="AE316" s="6">
        <f t="shared" si="93"/>
        <v>23.01</v>
      </c>
      <c r="AF316" s="6">
        <f t="shared" si="94"/>
        <v>3.3598575594877511</v>
      </c>
      <c r="AG316" s="6">
        <f t="shared" si="95"/>
        <v>2.0746601398950379</v>
      </c>
      <c r="AH316" s="6">
        <f t="shared" si="104"/>
        <v>0.64259870979635658</v>
      </c>
      <c r="AI316" s="6">
        <f t="shared" si="105"/>
        <v>4.501960320266845E-2</v>
      </c>
      <c r="AJ316" s="6">
        <f t="shared" si="106"/>
        <v>0.14786196312414165</v>
      </c>
      <c r="AK316" s="6">
        <f t="shared" si="107"/>
        <v>0.4947367466722149</v>
      </c>
      <c r="AL316" s="6">
        <f t="shared" si="96"/>
        <v>0.72839999999999994</v>
      </c>
      <c r="AM316" s="6">
        <v>16.2</v>
      </c>
      <c r="AN316" s="6">
        <f t="shared" si="110"/>
        <v>23.602333333333327</v>
      </c>
    </row>
    <row r="317" spans="1:40" x14ac:dyDescent="0.2">
      <c r="A317" s="1">
        <f t="shared" si="109"/>
        <v>312</v>
      </c>
      <c r="B317" s="2">
        <v>22</v>
      </c>
      <c r="C317" s="2">
        <v>97.066666666666706</v>
      </c>
      <c r="D317" s="2">
        <v>1.7429966666666663</v>
      </c>
      <c r="E317" s="2">
        <v>24.85</v>
      </c>
      <c r="F317" s="2">
        <v>100</v>
      </c>
      <c r="G317" s="2">
        <v>9.7177600000000002</v>
      </c>
      <c r="H317" s="2">
        <v>20.14</v>
      </c>
      <c r="I317" s="2">
        <v>84.7</v>
      </c>
      <c r="J317" s="2">
        <v>20.32</v>
      </c>
      <c r="K317" s="3">
        <v>8.98</v>
      </c>
      <c r="L317" s="3">
        <v>2.718842</v>
      </c>
      <c r="N317" s="6">
        <f t="shared" si="97"/>
        <v>3.5183022330740719</v>
      </c>
      <c r="O317" s="6">
        <f t="shared" si="98"/>
        <v>19.487646211370361</v>
      </c>
      <c r="P317" s="6">
        <f t="shared" si="99"/>
        <v>3.823577999999999</v>
      </c>
      <c r="Q317" s="6">
        <f t="shared" si="91"/>
        <v>3.2183730004484934</v>
      </c>
      <c r="R317" s="6">
        <f t="shared" si="100"/>
        <v>3.3569564217813372</v>
      </c>
      <c r="S317" s="6">
        <f t="shared" si="101"/>
        <v>3.0843221142857136</v>
      </c>
      <c r="T317" s="6">
        <f t="shared" si="102"/>
        <v>2.0772390851487801</v>
      </c>
      <c r="U317" s="6">
        <f t="shared" si="103"/>
        <v>17.423698911688899</v>
      </c>
      <c r="X317" s="6"/>
      <c r="Y317" s="6"/>
      <c r="Z317" s="25"/>
      <c r="AA317" s="25"/>
      <c r="AB317" s="25"/>
      <c r="AC317" s="25"/>
      <c r="AD317" s="6">
        <f t="shared" si="92"/>
        <v>2.3550000000000004</v>
      </c>
      <c r="AE317" s="6">
        <f t="shared" si="93"/>
        <v>7.6499999999999986</v>
      </c>
      <c r="AF317" s="6">
        <f t="shared" si="94"/>
        <v>2.5771875416159835</v>
      </c>
      <c r="AG317" s="6">
        <f t="shared" si="95"/>
        <v>1.9989282607324117</v>
      </c>
      <c r="AH317" s="6">
        <f t="shared" si="104"/>
        <v>0.28912964044178591</v>
      </c>
      <c r="AI317" s="6">
        <f t="shared" si="105"/>
        <v>2.062963678715056E-2</v>
      </c>
      <c r="AJ317" s="6">
        <f t="shared" si="106"/>
        <v>2.2118417493796616E-2</v>
      </c>
      <c r="AK317" s="6">
        <f t="shared" si="107"/>
        <v>0.26701122294798929</v>
      </c>
      <c r="AL317" s="6">
        <f t="shared" si="96"/>
        <v>0.70299999999999996</v>
      </c>
      <c r="AM317" s="6">
        <v>16.2</v>
      </c>
      <c r="AN317" s="6">
        <f t="shared" si="110"/>
        <v>23.602333333333327</v>
      </c>
    </row>
    <row r="318" spans="1:40" x14ac:dyDescent="0.2">
      <c r="A318" s="1">
        <f t="shared" si="109"/>
        <v>313</v>
      </c>
      <c r="B318" s="2">
        <v>21.43</v>
      </c>
      <c r="C318" s="2">
        <v>99.9583333333333</v>
      </c>
      <c r="D318" s="2">
        <v>1.559523</v>
      </c>
      <c r="E318" s="2">
        <v>24.27</v>
      </c>
      <c r="F318" s="2">
        <v>100</v>
      </c>
      <c r="G318" s="2">
        <v>8.9585600000000003</v>
      </c>
      <c r="H318" s="2">
        <v>18.36</v>
      </c>
      <c r="I318" s="2">
        <v>98.1</v>
      </c>
      <c r="J318" s="2">
        <v>50.05</v>
      </c>
      <c r="K318" s="3">
        <v>5.8170000000000002</v>
      </c>
      <c r="L318" s="3">
        <v>0.96688700000000005</v>
      </c>
      <c r="N318" s="6">
        <f t="shared" si="97"/>
        <v>3.5183022330740719</v>
      </c>
      <c r="O318" s="6">
        <f t="shared" si="98"/>
        <v>19.487646211370361</v>
      </c>
      <c r="P318" s="6">
        <f t="shared" si="99"/>
        <v>3.823577999999999</v>
      </c>
      <c r="Q318" s="6">
        <f t="shared" si="91"/>
        <v>3.5534883759411393</v>
      </c>
      <c r="R318" s="6">
        <f t="shared" si="100"/>
        <v>3.7065018944909744</v>
      </c>
      <c r="S318" s="6">
        <f t="shared" si="101"/>
        <v>1.9817405459999997</v>
      </c>
      <c r="T318" s="6">
        <f t="shared" si="102"/>
        <v>2.4388572333718224</v>
      </c>
      <c r="U318" s="6">
        <f t="shared" si="103"/>
        <v>16.216137233484801</v>
      </c>
      <c r="X318" s="6"/>
      <c r="Y318" s="6"/>
      <c r="Z318" s="25"/>
      <c r="AA318" s="25"/>
      <c r="AB318" s="25"/>
      <c r="AC318" s="25"/>
      <c r="AD318" s="6">
        <f t="shared" si="92"/>
        <v>2.9550000000000001</v>
      </c>
      <c r="AE318" s="6">
        <f t="shared" si="93"/>
        <v>0.95000000000000284</v>
      </c>
      <c r="AF318" s="6">
        <f t="shared" si="94"/>
        <v>2.4988835561689484</v>
      </c>
      <c r="AG318" s="6">
        <f t="shared" si="95"/>
        <v>1.8120337709764316</v>
      </c>
      <c r="AH318" s="6">
        <f t="shared" si="104"/>
        <v>0.34342489259625841</v>
      </c>
      <c r="AI318" s="6">
        <f t="shared" si="105"/>
        <v>2.438141214603242E-2</v>
      </c>
      <c r="AJ318" s="6">
        <f t="shared" si="106"/>
        <v>3.2625364796644647E-3</v>
      </c>
      <c r="AK318" s="6">
        <f t="shared" si="107"/>
        <v>0.34016235611659396</v>
      </c>
      <c r="AL318" s="6">
        <f t="shared" si="96"/>
        <v>0.69730000000000003</v>
      </c>
      <c r="AM318" s="6">
        <v>16.2</v>
      </c>
      <c r="AN318" s="6">
        <f t="shared" si="110"/>
        <v>23.602333333333327</v>
      </c>
    </row>
    <row r="319" spans="1:40" x14ac:dyDescent="0.2">
      <c r="A319" s="1">
        <f t="shared" si="109"/>
        <v>314</v>
      </c>
      <c r="B319" s="2">
        <v>21.42</v>
      </c>
      <c r="C319" s="2">
        <v>82.936562499999994</v>
      </c>
      <c r="D319" s="2">
        <v>2.45791</v>
      </c>
      <c r="E319" s="2">
        <v>27.53</v>
      </c>
      <c r="F319" s="2">
        <v>100</v>
      </c>
      <c r="G319" s="2">
        <v>7.3642399999999997</v>
      </c>
      <c r="H319" s="2">
        <v>17.739999999999998</v>
      </c>
      <c r="I319" s="2">
        <v>59.7</v>
      </c>
      <c r="J319" s="2">
        <v>0.50800000000000001</v>
      </c>
      <c r="K319" s="3">
        <v>17.399999999999999</v>
      </c>
      <c r="L319" s="3">
        <v>9.2660630000000008</v>
      </c>
      <c r="N319" s="6">
        <f t="shared" si="97"/>
        <v>3.5183022330740719</v>
      </c>
      <c r="O319" s="6">
        <f t="shared" si="98"/>
        <v>19.487646211370361</v>
      </c>
      <c r="P319" s="6">
        <f t="shared" si="99"/>
        <v>3.823577999999999</v>
      </c>
      <c r="Q319" s="6">
        <f t="shared" si="91"/>
        <v>4.5723744132011541</v>
      </c>
      <c r="R319" s="6">
        <f t="shared" si="100"/>
        <v>4.7692612531379384</v>
      </c>
      <c r="S319" s="6">
        <f t="shared" si="101"/>
        <v>5.9269967999999995</v>
      </c>
      <c r="T319" s="6">
        <f t="shared" si="102"/>
        <v>3.8620328652262472</v>
      </c>
      <c r="U319" s="6">
        <f t="shared" si="103"/>
        <v>16.204167000041739</v>
      </c>
      <c r="X319" s="6"/>
      <c r="Y319" s="6"/>
      <c r="Z319" s="25"/>
      <c r="AA319" s="25"/>
      <c r="AB319" s="25"/>
      <c r="AC319" s="25"/>
      <c r="AD319" s="6">
        <f t="shared" si="92"/>
        <v>4.8950000000000014</v>
      </c>
      <c r="AE319" s="6">
        <f t="shared" si="93"/>
        <v>20.149999999999999</v>
      </c>
      <c r="AF319" s="6">
        <f t="shared" si="94"/>
        <v>2.9675107818153306</v>
      </c>
      <c r="AG319" s="6">
        <f t="shared" si="95"/>
        <v>1.7506320136066487</v>
      </c>
      <c r="AH319" s="6">
        <f t="shared" si="104"/>
        <v>0.60843938410434095</v>
      </c>
      <c r="AI319" s="6">
        <f t="shared" si="105"/>
        <v>4.2506850338120558E-2</v>
      </c>
      <c r="AJ319" s="6">
        <f t="shared" si="106"/>
        <v>0.12260053589702469</v>
      </c>
      <c r="AK319" s="6">
        <f t="shared" si="107"/>
        <v>0.48583884820731627</v>
      </c>
      <c r="AL319" s="6">
        <f t="shared" si="96"/>
        <v>0.69720000000000004</v>
      </c>
      <c r="AM319" s="6">
        <v>16.2</v>
      </c>
      <c r="AN319" s="6">
        <f t="shared" si="110"/>
        <v>23.602333333333327</v>
      </c>
    </row>
    <row r="320" spans="1:40" x14ac:dyDescent="0.2">
      <c r="A320" s="1">
        <f t="shared" si="109"/>
        <v>315</v>
      </c>
      <c r="B320" s="2">
        <v>21.99</v>
      </c>
      <c r="C320" s="2">
        <v>69.85427</v>
      </c>
      <c r="D320" s="2">
        <v>1.667076666666667</v>
      </c>
      <c r="E320" s="2">
        <v>28.73</v>
      </c>
      <c r="F320" s="2">
        <v>99.5</v>
      </c>
      <c r="G320" s="2">
        <v>6.9846399999999997</v>
      </c>
      <c r="H320" s="2">
        <v>15.3</v>
      </c>
      <c r="I320" s="2">
        <v>43.27</v>
      </c>
      <c r="J320" s="2">
        <v>0</v>
      </c>
      <c r="K320" s="3">
        <v>30.68</v>
      </c>
      <c r="L320" s="3">
        <v>15.87458</v>
      </c>
      <c r="N320" s="6">
        <f t="shared" si="97"/>
        <v>3.5183022330740719</v>
      </c>
      <c r="O320" s="6">
        <f t="shared" si="98"/>
        <v>19.487646211370361</v>
      </c>
      <c r="P320" s="6">
        <f t="shared" si="99"/>
        <v>3.823577999999999</v>
      </c>
      <c r="Q320" s="6">
        <f t="shared" si="91"/>
        <v>5.43318879094788</v>
      </c>
      <c r="R320" s="6">
        <f t="shared" si="100"/>
        <v>5.6671423728639256</v>
      </c>
      <c r="S320" s="6">
        <f t="shared" si="101"/>
        <v>10.536029177142854</v>
      </c>
      <c r="T320" s="6">
        <f t="shared" si="102"/>
        <v>5.5748584827799732</v>
      </c>
      <c r="U320" s="6">
        <f t="shared" si="103"/>
        <v>17.416323954292885</v>
      </c>
      <c r="X320" s="6"/>
      <c r="Y320" s="6"/>
      <c r="Z320" s="25"/>
      <c r="AA320" s="25"/>
      <c r="AB320" s="25"/>
      <c r="AC320" s="25"/>
      <c r="AD320" s="6">
        <f t="shared" si="92"/>
        <v>6.7149999999999999</v>
      </c>
      <c r="AE320" s="6">
        <f t="shared" si="93"/>
        <v>28.114999999999998</v>
      </c>
      <c r="AF320" s="6">
        <f t="shared" si="94"/>
        <v>3.1583751787501382</v>
      </c>
      <c r="AG320" s="6">
        <f t="shared" si="95"/>
        <v>1.5263367390530973</v>
      </c>
      <c r="AH320" s="6">
        <f t="shared" si="104"/>
        <v>0.81601921984852044</v>
      </c>
      <c r="AI320" s="6">
        <f t="shared" si="105"/>
        <v>5.616157698802958E-2</v>
      </c>
      <c r="AJ320" s="6">
        <f t="shared" si="106"/>
        <v>0.22942380366041148</v>
      </c>
      <c r="AK320" s="6">
        <f t="shared" si="107"/>
        <v>0.58659541618810895</v>
      </c>
      <c r="AL320" s="6">
        <f t="shared" si="96"/>
        <v>0.70289999999999997</v>
      </c>
      <c r="AM320" s="6">
        <v>16.2</v>
      </c>
      <c r="AN320" s="6">
        <f t="shared" si="110"/>
        <v>23.602333333333327</v>
      </c>
    </row>
    <row r="321" spans="1:40" x14ac:dyDescent="0.2">
      <c r="A321" s="1">
        <f t="shared" si="109"/>
        <v>316</v>
      </c>
      <c r="B321" s="2">
        <v>23.72</v>
      </c>
      <c r="C321" s="2">
        <v>65.506770833333363</v>
      </c>
      <c r="D321" s="2">
        <v>1.4298266666666668</v>
      </c>
      <c r="E321" s="2">
        <v>32.130000000000003</v>
      </c>
      <c r="F321" s="2">
        <v>100</v>
      </c>
      <c r="G321" s="2">
        <v>5.7699199999999999</v>
      </c>
      <c r="H321" s="2">
        <v>14.78</v>
      </c>
      <c r="I321" s="2">
        <v>30.91</v>
      </c>
      <c r="J321" s="2">
        <v>0</v>
      </c>
      <c r="K321" s="3">
        <v>30.39</v>
      </c>
      <c r="L321" s="3">
        <v>16.367570000000001</v>
      </c>
      <c r="N321" s="6">
        <f t="shared" si="97"/>
        <v>3.5183022330740719</v>
      </c>
      <c r="O321" s="6">
        <f t="shared" si="98"/>
        <v>19.487646211370361</v>
      </c>
      <c r="P321" s="6">
        <f t="shared" si="99"/>
        <v>3.823577999999999</v>
      </c>
      <c r="Q321" s="6">
        <f t="shared" si="91"/>
        <v>6.4439169562601704</v>
      </c>
      <c r="R321" s="6">
        <f t="shared" si="100"/>
        <v>6.7213925808875254</v>
      </c>
      <c r="S321" s="6">
        <f t="shared" si="101"/>
        <v>10.693303251428569</v>
      </c>
      <c r="T321" s="6">
        <f t="shared" si="102"/>
        <v>6.7256668298574116</v>
      </c>
      <c r="U321" s="6">
        <f t="shared" si="103"/>
        <v>21.469703743569838</v>
      </c>
      <c r="X321" s="6"/>
      <c r="Y321" s="6"/>
      <c r="Z321" s="25"/>
      <c r="AA321" s="25"/>
      <c r="AB321" s="25"/>
      <c r="AC321" s="25"/>
      <c r="AD321" s="6">
        <f t="shared" si="92"/>
        <v>8.6750000000000007</v>
      </c>
      <c r="AE321" s="6">
        <f t="shared" si="93"/>
        <v>34.545000000000002</v>
      </c>
      <c r="AF321" s="6">
        <f t="shared" si="94"/>
        <v>3.7584680226857521</v>
      </c>
      <c r="AG321" s="6">
        <f t="shared" si="95"/>
        <v>1.4819384209360269</v>
      </c>
      <c r="AH321" s="6">
        <f t="shared" si="104"/>
        <v>1.1382648008748626</v>
      </c>
      <c r="AI321" s="6">
        <f t="shared" si="105"/>
        <v>7.7096261977367034E-2</v>
      </c>
      <c r="AJ321" s="6">
        <f t="shared" si="106"/>
        <v>0.3932135754622213</v>
      </c>
      <c r="AK321" s="6">
        <f t="shared" si="107"/>
        <v>0.74505122541264135</v>
      </c>
      <c r="AL321" s="6">
        <f t="shared" si="96"/>
        <v>0.72019999999999995</v>
      </c>
      <c r="AM321" s="6">
        <v>16.2</v>
      </c>
      <c r="AN321" s="6">
        <f t="shared" si="110"/>
        <v>23.602333333333327</v>
      </c>
    </row>
    <row r="322" spans="1:40" x14ac:dyDescent="0.2">
      <c r="A322" s="1">
        <f t="shared" si="109"/>
        <v>317</v>
      </c>
      <c r="B322" s="2">
        <v>25.43</v>
      </c>
      <c r="C322" s="2">
        <v>64.214479166666663</v>
      </c>
      <c r="D322" s="2">
        <v>1.8682921739130438</v>
      </c>
      <c r="E322" s="2">
        <v>34.700000000000003</v>
      </c>
      <c r="F322" s="2">
        <v>100</v>
      </c>
      <c r="G322" s="2">
        <v>9.1863200000000003</v>
      </c>
      <c r="H322" s="2">
        <v>16.649999999999999</v>
      </c>
      <c r="I322" s="2">
        <v>24</v>
      </c>
      <c r="J322" s="2">
        <v>1.27</v>
      </c>
      <c r="K322" s="3">
        <v>28.33</v>
      </c>
      <c r="L322" s="3">
        <v>14.19232</v>
      </c>
      <c r="N322" s="6">
        <f t="shared" si="97"/>
        <v>3.5183022330740719</v>
      </c>
      <c r="O322" s="6">
        <f t="shared" si="98"/>
        <v>19.487646211370361</v>
      </c>
      <c r="P322" s="6">
        <f t="shared" si="99"/>
        <v>3.823577999999999</v>
      </c>
      <c r="Q322" s="6">
        <f t="shared" si="91"/>
        <v>6.8433174903339635</v>
      </c>
      <c r="R322" s="6">
        <f t="shared" si="100"/>
        <v>7.1379913366983256</v>
      </c>
      <c r="S322" s="6">
        <f t="shared" si="101"/>
        <v>10.205137825714285</v>
      </c>
      <c r="T322" s="6">
        <f t="shared" si="102"/>
        <v>7.1145480350221249</v>
      </c>
      <c r="U322" s="6">
        <f t="shared" si="103"/>
        <v>26.110268943474413</v>
      </c>
      <c r="X322" s="6"/>
      <c r="Y322" s="6"/>
      <c r="Z322" s="25"/>
      <c r="AA322" s="25"/>
      <c r="AB322" s="25"/>
      <c r="AC322" s="25"/>
      <c r="AD322" s="6">
        <f t="shared" si="92"/>
        <v>9.0250000000000021</v>
      </c>
      <c r="AE322" s="6">
        <f t="shared" si="93"/>
        <v>38</v>
      </c>
      <c r="AF322" s="6">
        <f t="shared" si="94"/>
        <v>4.2757149343567242</v>
      </c>
      <c r="AG322" s="6">
        <f t="shared" si="95"/>
        <v>1.6470960030136219</v>
      </c>
      <c r="AH322" s="6">
        <f t="shared" si="104"/>
        <v>1.3143094656715513</v>
      </c>
      <c r="AI322" s="6">
        <f t="shared" si="105"/>
        <v>8.8767217532573314E-2</v>
      </c>
      <c r="AJ322" s="6">
        <f t="shared" si="106"/>
        <v>0.49943759695518947</v>
      </c>
      <c r="AK322" s="6">
        <f t="shared" si="107"/>
        <v>0.81487186871636186</v>
      </c>
      <c r="AL322" s="6">
        <f t="shared" si="96"/>
        <v>0.73730000000000007</v>
      </c>
      <c r="AM322" s="6">
        <v>16.2</v>
      </c>
      <c r="AN322" s="6">
        <f t="shared" si="110"/>
        <v>23.602333333333327</v>
      </c>
    </row>
    <row r="323" spans="1:40" x14ac:dyDescent="0.2">
      <c r="A323" s="1">
        <f t="shared" si="109"/>
        <v>318</v>
      </c>
      <c r="B323" s="2">
        <v>20.59</v>
      </c>
      <c r="C323" s="2">
        <v>86.849166666666704</v>
      </c>
      <c r="D323" s="2">
        <v>1.629116666666667</v>
      </c>
      <c r="E323" s="2">
        <v>26.19</v>
      </c>
      <c r="F323" s="2">
        <v>100</v>
      </c>
      <c r="G323" s="2">
        <v>6.225439999999999</v>
      </c>
      <c r="H323" s="2">
        <v>17.46</v>
      </c>
      <c r="I323" s="2">
        <v>64.45</v>
      </c>
      <c r="J323" s="2">
        <v>3.81</v>
      </c>
      <c r="K323" s="3">
        <v>11.41</v>
      </c>
      <c r="L323" s="3">
        <v>4.9284140000000001</v>
      </c>
      <c r="N323" s="6">
        <f t="shared" si="97"/>
        <v>3.5183022330740719</v>
      </c>
      <c r="O323" s="6">
        <f t="shared" si="98"/>
        <v>19.487646211370361</v>
      </c>
      <c r="P323" s="6">
        <f t="shared" si="99"/>
        <v>3.823577999999999</v>
      </c>
      <c r="Q323" s="6">
        <f t="shared" si="91"/>
        <v>4.2263755430004259</v>
      </c>
      <c r="R323" s="6">
        <f t="shared" si="100"/>
        <v>4.4083636414914444</v>
      </c>
      <c r="S323" s="6">
        <f t="shared" si="101"/>
        <v>3.8403419399999992</v>
      </c>
      <c r="T323" s="6">
        <f t="shared" si="102"/>
        <v>3.0370147387582187</v>
      </c>
      <c r="U323" s="6">
        <f t="shared" si="103"/>
        <v>14.553629277430657</v>
      </c>
      <c r="X323" s="6"/>
      <c r="Y323" s="6"/>
      <c r="Z323" s="25"/>
      <c r="AA323" s="25"/>
      <c r="AB323" s="25"/>
      <c r="AC323" s="25"/>
      <c r="AD323" s="6">
        <f t="shared" si="92"/>
        <v>4.3650000000000002</v>
      </c>
      <c r="AE323" s="6">
        <f t="shared" si="93"/>
        <v>17.774999999999999</v>
      </c>
      <c r="AF323" s="6">
        <f t="shared" si="94"/>
        <v>2.7663439760352948</v>
      </c>
      <c r="AG323" s="6">
        <f t="shared" si="95"/>
        <v>1.7235054085328065</v>
      </c>
      <c r="AH323" s="6">
        <f t="shared" si="104"/>
        <v>0.52141928375124413</v>
      </c>
      <c r="AI323" s="6">
        <f t="shared" si="105"/>
        <v>3.6587398394363015E-2</v>
      </c>
      <c r="AJ323" s="6">
        <f t="shared" si="106"/>
        <v>9.2682277686783637E-2</v>
      </c>
      <c r="AK323" s="6">
        <f t="shared" si="107"/>
        <v>0.42873700606446052</v>
      </c>
      <c r="AL323" s="6">
        <f t="shared" si="96"/>
        <v>0.68889999999999996</v>
      </c>
      <c r="AM323" s="6">
        <v>16.2</v>
      </c>
      <c r="AN323" s="6">
        <f t="shared" si="110"/>
        <v>23.602333333333327</v>
      </c>
    </row>
    <row r="324" spans="1:40" x14ac:dyDescent="0.2">
      <c r="A324" s="1">
        <f t="shared" si="109"/>
        <v>319</v>
      </c>
      <c r="B324" s="2">
        <v>21.37</v>
      </c>
      <c r="C324" s="2">
        <v>75.827916666666695</v>
      </c>
      <c r="D324" s="2">
        <v>2.2333129999999999</v>
      </c>
      <c r="E324" s="2">
        <v>29.88</v>
      </c>
      <c r="F324" s="2">
        <v>91.6</v>
      </c>
      <c r="G324" s="2">
        <v>8.9585600000000003</v>
      </c>
      <c r="H324" s="2">
        <v>15.4</v>
      </c>
      <c r="I324" s="2">
        <v>48.33</v>
      </c>
      <c r="J324" s="2">
        <v>0</v>
      </c>
      <c r="K324" s="3">
        <v>25.9</v>
      </c>
      <c r="L324" s="3">
        <v>12.72518</v>
      </c>
      <c r="N324" s="6">
        <f t="shared" si="97"/>
        <v>3.5183022330740719</v>
      </c>
      <c r="O324" s="6">
        <f t="shared" si="98"/>
        <v>19.487646211370361</v>
      </c>
      <c r="P324" s="6">
        <f t="shared" si="99"/>
        <v>3.823577999999999</v>
      </c>
      <c r="Q324" s="6">
        <f t="shared" si="91"/>
        <v>5.5536780909539996</v>
      </c>
      <c r="R324" s="6">
        <f t="shared" si="100"/>
        <v>5.792819952608447</v>
      </c>
      <c r="S324" s="6">
        <f t="shared" si="101"/>
        <v>8.8160417999999989</v>
      </c>
      <c r="T324" s="6">
        <f t="shared" si="102"/>
        <v>6.0374946712823476</v>
      </c>
      <c r="U324" s="6">
        <f t="shared" si="103"/>
        <v>16.104931555219125</v>
      </c>
      <c r="X324" s="6"/>
      <c r="Y324" s="6"/>
      <c r="Z324" s="25"/>
      <c r="AA324" s="25"/>
      <c r="AB324" s="25"/>
      <c r="AC324" s="25"/>
      <c r="AD324" s="6">
        <f t="shared" si="92"/>
        <v>7.2399999999999993</v>
      </c>
      <c r="AE324" s="6">
        <f t="shared" si="93"/>
        <v>21.634999999999998</v>
      </c>
      <c r="AF324" s="6">
        <f t="shared" si="94"/>
        <v>3.3512441031381464</v>
      </c>
      <c r="AG324" s="6">
        <f t="shared" si="95"/>
        <v>1.5350074453555953</v>
      </c>
      <c r="AH324" s="6">
        <f t="shared" si="104"/>
        <v>0.90811832889127553</v>
      </c>
      <c r="AI324" s="6">
        <f t="shared" si="105"/>
        <v>6.2232117664338039E-2</v>
      </c>
      <c r="AJ324" s="6">
        <f t="shared" si="106"/>
        <v>0.19647140045562744</v>
      </c>
      <c r="AK324" s="6">
        <f t="shared" si="107"/>
        <v>0.71164692843564814</v>
      </c>
      <c r="AL324" s="6">
        <f t="shared" si="96"/>
        <v>0.69669999999999999</v>
      </c>
      <c r="AM324" s="6">
        <v>16.2</v>
      </c>
      <c r="AN324" s="6">
        <f t="shared" si="110"/>
        <v>23.602333333333327</v>
      </c>
    </row>
    <row r="325" spans="1:40" x14ac:dyDescent="0.2">
      <c r="A325" s="1">
        <f t="shared" si="109"/>
        <v>320</v>
      </c>
      <c r="B325" s="2">
        <v>22.85</v>
      </c>
      <c r="C325" s="2">
        <v>80.19229</v>
      </c>
      <c r="D325" s="2">
        <v>1.397556</v>
      </c>
      <c r="E325" s="2">
        <v>31.62</v>
      </c>
      <c r="F325" s="2">
        <v>100</v>
      </c>
      <c r="G325" s="2">
        <v>7.95</v>
      </c>
      <c r="H325" s="2">
        <v>17.27</v>
      </c>
      <c r="I325" s="2">
        <v>45.97</v>
      </c>
      <c r="J325" s="2">
        <v>35.049999999999997</v>
      </c>
      <c r="K325" s="3">
        <v>24.62</v>
      </c>
      <c r="L325" s="3">
        <v>12.487719999999999</v>
      </c>
      <c r="N325" s="6">
        <f t="shared" si="97"/>
        <v>3.5183022330740719</v>
      </c>
      <c r="O325" s="6">
        <f t="shared" si="98"/>
        <v>19.487646211370361</v>
      </c>
      <c r="P325" s="6">
        <f t="shared" si="99"/>
        <v>3.823577999999999</v>
      </c>
      <c r="Q325" s="6">
        <f t="shared" si="91"/>
        <v>5.7375878871316957</v>
      </c>
      <c r="R325" s="6">
        <f t="shared" si="100"/>
        <v>5.9846489206059967</v>
      </c>
      <c r="S325" s="6">
        <f t="shared" si="101"/>
        <v>8.5583692285714275</v>
      </c>
      <c r="T325" s="6">
        <f t="shared" si="102"/>
        <v>5.957135511963906</v>
      </c>
      <c r="U325" s="6">
        <f t="shared" si="103"/>
        <v>19.348146364764677</v>
      </c>
      <c r="X325" s="6"/>
      <c r="Y325" s="6"/>
      <c r="Z325" s="25"/>
      <c r="AA325" s="25"/>
      <c r="AB325" s="25"/>
      <c r="AC325" s="25"/>
      <c r="AD325" s="6">
        <f t="shared" si="92"/>
        <v>7.1750000000000007</v>
      </c>
      <c r="AE325" s="6">
        <f t="shared" si="93"/>
        <v>27.015000000000001</v>
      </c>
      <c r="AF325" s="6">
        <f t="shared" si="94"/>
        <v>3.6625721820639257</v>
      </c>
      <c r="AG325" s="6">
        <f t="shared" si="95"/>
        <v>1.7053086258074053</v>
      </c>
      <c r="AH325" s="6">
        <f t="shared" si="104"/>
        <v>0.97863177812826019</v>
      </c>
      <c r="AI325" s="6">
        <f t="shared" si="105"/>
        <v>6.7099975025644978E-2</v>
      </c>
      <c r="AJ325" s="6">
        <f t="shared" si="106"/>
        <v>0.26437737486134949</v>
      </c>
      <c r="AK325" s="6">
        <f t="shared" si="107"/>
        <v>0.7142544032669107</v>
      </c>
      <c r="AL325" s="6">
        <f t="shared" si="96"/>
        <v>0.71150000000000002</v>
      </c>
      <c r="AM325" s="6">
        <v>16.2</v>
      </c>
      <c r="AN325" s="6">
        <f t="shared" si="110"/>
        <v>23.602333333333327</v>
      </c>
    </row>
    <row r="326" spans="1:40" x14ac:dyDescent="0.2">
      <c r="A326" s="1">
        <f t="shared" si="109"/>
        <v>321</v>
      </c>
      <c r="B326" s="2">
        <v>22.06</v>
      </c>
      <c r="C326" s="2">
        <v>94.921880000000002</v>
      </c>
      <c r="D326" s="2">
        <v>0.96618850000000001</v>
      </c>
      <c r="E326" s="2">
        <v>29.16</v>
      </c>
      <c r="F326" s="2">
        <v>100</v>
      </c>
      <c r="G326" s="2">
        <v>10.24</v>
      </c>
      <c r="H326" s="2">
        <v>19.100000000000001</v>
      </c>
      <c r="I326" s="2">
        <v>63.12</v>
      </c>
      <c r="J326" s="2">
        <v>19.05</v>
      </c>
      <c r="K326" s="3">
        <v>13.95</v>
      </c>
      <c r="L326" s="3">
        <v>5.726718</v>
      </c>
      <c r="N326" s="6">
        <f t="shared" si="97"/>
        <v>3.5183022330740719</v>
      </c>
      <c r="O326" s="6">
        <f t="shared" si="98"/>
        <v>19.487646211370361</v>
      </c>
      <c r="P326" s="6">
        <f t="shared" si="99"/>
        <v>3.823577999999999</v>
      </c>
      <c r="Q326" s="6">
        <f t="shared" ref="Q326:Q371" si="111">0.0023*(SQRT(E326-H326))*(17.8+B326)*AM326</f>
        <v>4.7106315369207268</v>
      </c>
      <c r="R326" s="6">
        <f t="shared" si="100"/>
        <v>4.9134717406304569</v>
      </c>
      <c r="S326" s="6">
        <f t="shared" si="101"/>
        <v>4.7954360571428571</v>
      </c>
      <c r="T326" s="6">
        <f t="shared" si="102"/>
        <v>4.2399033640392565</v>
      </c>
      <c r="U326" s="6">
        <f t="shared" si="103"/>
        <v>17.555371822904966</v>
      </c>
      <c r="X326" s="6"/>
      <c r="Y326" s="6"/>
      <c r="Z326" s="25"/>
      <c r="AA326" s="25"/>
      <c r="AB326" s="25"/>
      <c r="AC326" s="25"/>
      <c r="AD326" s="6">
        <f t="shared" ref="AD326:AD371" si="112">(E326-H326)/2</f>
        <v>5.0299999999999994</v>
      </c>
      <c r="AE326" s="6">
        <f t="shared" ref="AE326:AE371" si="113">(F326-I326)/2</f>
        <v>18.440000000000001</v>
      </c>
      <c r="AF326" s="6">
        <f t="shared" ref="AF326:AF371" si="114">0.611*10^((7.5*E326)/(273.3+E326))</f>
        <v>3.2293270434514603</v>
      </c>
      <c r="AG326" s="6">
        <f t="shared" ref="AG326:AG371" si="115">0.611*10^((7.5*H326)/(273.3+H326))</f>
        <v>1.88778395682512</v>
      </c>
      <c r="AH326" s="6">
        <f t="shared" si="104"/>
        <v>0.67077154331317013</v>
      </c>
      <c r="AI326" s="6">
        <f t="shared" si="105"/>
        <v>4.6809307839553539E-2</v>
      </c>
      <c r="AJ326" s="6">
        <f t="shared" si="106"/>
        <v>0.12369027258694859</v>
      </c>
      <c r="AK326" s="6">
        <f t="shared" si="107"/>
        <v>0.54708127072622159</v>
      </c>
      <c r="AL326" s="6">
        <f t="shared" ref="AL326:AL371" si="116">IF(0&lt;B326&lt;16,0.407+0.0145*B326,0.483+0.01*B326)</f>
        <v>0.7036</v>
      </c>
      <c r="AM326" s="6">
        <v>16.2</v>
      </c>
      <c r="AN326" s="6">
        <f t="shared" si="110"/>
        <v>23.602333333333327</v>
      </c>
    </row>
    <row r="327" spans="1:40" x14ac:dyDescent="0.2">
      <c r="A327" s="1">
        <f t="shared" si="109"/>
        <v>322</v>
      </c>
      <c r="B327" s="2">
        <v>23.62</v>
      </c>
      <c r="C327" s="2">
        <v>77.695210000000003</v>
      </c>
      <c r="D327" s="2">
        <v>0.97539039999999999</v>
      </c>
      <c r="E327" s="2">
        <v>30.08</v>
      </c>
      <c r="F327" s="2">
        <v>100</v>
      </c>
      <c r="G327" s="2">
        <v>4.79</v>
      </c>
      <c r="H327" s="2">
        <v>17.98</v>
      </c>
      <c r="I327" s="2">
        <v>46.9</v>
      </c>
      <c r="J327" s="2">
        <v>0.254</v>
      </c>
      <c r="K327" s="3">
        <v>24.48</v>
      </c>
      <c r="L327" s="3">
        <v>12.75859</v>
      </c>
      <c r="N327" s="6">
        <f t="shared" ref="N327:N371" si="117">IF(0&lt;AN327&lt;26.5,16*(((10*AN327)/$Z$6)^$Z$6)/30,((-415.85)+(32.24*AN327)-(0.43*AN327^2))/30)</f>
        <v>3.5183022330740719</v>
      </c>
      <c r="O327" s="6">
        <f t="shared" ref="O327:O371" si="118">IF(0&lt;AN327&lt;26.5,(16*((10*AN327)/$Z$6)/30),(-415.85+32.24*AN327-(-0.43*(AN327^2)))/30)</f>
        <v>19.487646211370361</v>
      </c>
      <c r="P327" s="6">
        <f t="shared" ref="P327:P371" si="119">(0.01*AN327*AM327)</f>
        <v>3.823577999999999</v>
      </c>
      <c r="Q327" s="6">
        <f t="shared" si="111"/>
        <v>5.3684094264815663</v>
      </c>
      <c r="R327" s="6">
        <f t="shared" ref="R327:R371" si="120">Q327*$W$1</f>
        <v>5.5995736033291941</v>
      </c>
      <c r="S327" s="6">
        <f t="shared" ref="S327:S371" si="121">1.26*AL327*((K327*0.95)/2.45)</f>
        <v>8.6017963885714295</v>
      </c>
      <c r="T327" s="6">
        <f t="shared" ref="T327:T371" si="122">((0.408*AI327)*(K327*0.95) + ((0.063*900*G327*AK327)/((AD327+273))))/(AI327+0.063*(1+0.34*G327))</f>
        <v>4.9924819299537679</v>
      </c>
      <c r="U327" s="6">
        <f t="shared" ref="U327:U371" si="123">1.21*(10^((7.45*B327)/(234.7+B327)))*((1-0.01*(C327/100))+(0.21*B327)-2.3)</f>
        <v>21.211569785108537</v>
      </c>
      <c r="X327" s="6"/>
      <c r="Y327" s="6"/>
      <c r="Z327" s="25"/>
      <c r="AA327" s="25"/>
      <c r="AB327" s="25"/>
      <c r="AC327" s="25"/>
      <c r="AD327" s="6">
        <f t="shared" si="112"/>
        <v>6.0499999999999989</v>
      </c>
      <c r="AE327" s="6">
        <f t="shared" si="113"/>
        <v>26.55</v>
      </c>
      <c r="AF327" s="6">
        <f t="shared" si="114"/>
        <v>3.3858137988157733</v>
      </c>
      <c r="AG327" s="6">
        <f t="shared" si="115"/>
        <v>1.7741805570336751</v>
      </c>
      <c r="AH327" s="6">
        <f t="shared" ref="AH327:AH371" si="124">(AF327-AG327)/2</f>
        <v>0.80581662089104911</v>
      </c>
      <c r="AI327" s="6">
        <f t="shared" ref="AI327:AI371" si="125">(4098*AH327)/((237.3+AD327)^2)</f>
        <v>5.576291570547922E-2</v>
      </c>
      <c r="AJ327" s="6">
        <f t="shared" ref="AJ327:AJ371" si="126">(AE327*AH327)/100</f>
        <v>0.21394431284657356</v>
      </c>
      <c r="AK327" s="6">
        <f t="shared" ref="AK327:AK371" si="127">AH327-AJ327</f>
        <v>0.59187230804447555</v>
      </c>
      <c r="AL327" s="6">
        <f t="shared" si="116"/>
        <v>0.71920000000000006</v>
      </c>
      <c r="AM327" s="6">
        <v>16.2</v>
      </c>
      <c r="AN327" s="6">
        <f t="shared" si="110"/>
        <v>23.602333333333327</v>
      </c>
    </row>
    <row r="328" spans="1:40" x14ac:dyDescent="0.2">
      <c r="A328" s="1">
        <f t="shared" si="109"/>
        <v>323</v>
      </c>
      <c r="B328" s="2">
        <v>25.31</v>
      </c>
      <c r="C328" s="2">
        <v>67.329270833333311</v>
      </c>
      <c r="D328" s="2">
        <v>1.1111839999999999</v>
      </c>
      <c r="E328" s="2">
        <v>33</v>
      </c>
      <c r="F328" s="2">
        <v>100</v>
      </c>
      <c r="G328" s="2">
        <v>6.32</v>
      </c>
      <c r="H328" s="2">
        <v>18.13</v>
      </c>
      <c r="I328" s="2">
        <v>33.340000000000003</v>
      </c>
      <c r="J328" s="2">
        <v>0</v>
      </c>
      <c r="K328" s="3">
        <v>30.5</v>
      </c>
      <c r="L328" s="3">
        <v>15.81503</v>
      </c>
      <c r="N328" s="6">
        <f t="shared" si="117"/>
        <v>3.5183022330740719</v>
      </c>
      <c r="O328" s="6">
        <f t="shared" si="118"/>
        <v>19.487646211370361</v>
      </c>
      <c r="P328" s="6">
        <f t="shared" si="119"/>
        <v>3.823577999999999</v>
      </c>
      <c r="Q328" s="6">
        <f t="shared" si="111"/>
        <v>6.1940735457341045</v>
      </c>
      <c r="R328" s="6">
        <f t="shared" si="120"/>
        <v>6.46079089137287</v>
      </c>
      <c r="S328" s="6">
        <f t="shared" si="121"/>
        <v>10.968941571428569</v>
      </c>
      <c r="T328" s="6">
        <f t="shared" si="122"/>
        <v>6.5388448410191833</v>
      </c>
      <c r="U328" s="6">
        <f t="shared" si="123"/>
        <v>25.760471636099776</v>
      </c>
      <c r="X328" s="6"/>
      <c r="Y328" s="6"/>
      <c r="Z328" s="25"/>
      <c r="AA328" s="25"/>
      <c r="AB328" s="25"/>
      <c r="AC328" s="25"/>
      <c r="AD328" s="6">
        <f t="shared" si="112"/>
        <v>7.4350000000000005</v>
      </c>
      <c r="AE328" s="6">
        <f t="shared" si="113"/>
        <v>33.33</v>
      </c>
      <c r="AF328" s="6">
        <f t="shared" si="114"/>
        <v>3.9271053508234131</v>
      </c>
      <c r="AG328" s="6">
        <f t="shared" si="115"/>
        <v>1.7890389893314851</v>
      </c>
      <c r="AH328" s="6">
        <f t="shared" si="124"/>
        <v>1.0690331807459641</v>
      </c>
      <c r="AI328" s="6">
        <f t="shared" si="125"/>
        <v>7.3142697501400844E-2</v>
      </c>
      <c r="AJ328" s="6">
        <f t="shared" si="126"/>
        <v>0.35630875914262977</v>
      </c>
      <c r="AK328" s="6">
        <f t="shared" si="127"/>
        <v>0.71272442160333438</v>
      </c>
      <c r="AL328" s="6">
        <f t="shared" si="116"/>
        <v>0.73609999999999998</v>
      </c>
      <c r="AM328" s="6">
        <v>16.2</v>
      </c>
      <c r="AN328" s="6">
        <f t="shared" si="110"/>
        <v>23.602333333333327</v>
      </c>
    </row>
    <row r="329" spans="1:40" x14ac:dyDescent="0.2">
      <c r="A329" s="1">
        <f t="shared" si="109"/>
        <v>324</v>
      </c>
      <c r="B329" s="2">
        <v>25.66</v>
      </c>
      <c r="C329" s="2">
        <v>63.433124999999997</v>
      </c>
      <c r="D329" s="2">
        <v>1.428561</v>
      </c>
      <c r="E329" s="2">
        <v>33.83</v>
      </c>
      <c r="F329" s="2">
        <v>96.8</v>
      </c>
      <c r="G329" s="2">
        <v>7.98</v>
      </c>
      <c r="H329" s="2">
        <v>18.7</v>
      </c>
      <c r="I329" s="2">
        <v>27.8</v>
      </c>
      <c r="J329" s="2">
        <v>0</v>
      </c>
      <c r="K329" s="3">
        <v>30.73</v>
      </c>
      <c r="L329" s="3">
        <v>15.417759999999999</v>
      </c>
      <c r="N329" s="6">
        <f t="shared" si="117"/>
        <v>3.5183022330740719</v>
      </c>
      <c r="O329" s="6">
        <f t="shared" si="118"/>
        <v>19.487646211370361</v>
      </c>
      <c r="P329" s="6">
        <f t="shared" si="119"/>
        <v>3.823577999999999</v>
      </c>
      <c r="Q329" s="6">
        <f t="shared" si="111"/>
        <v>6.2987161374255569</v>
      </c>
      <c r="R329" s="6">
        <f t="shared" si="120"/>
        <v>6.5699394021643513</v>
      </c>
      <c r="S329" s="6">
        <f t="shared" si="121"/>
        <v>11.10420648</v>
      </c>
      <c r="T329" s="6">
        <f t="shared" si="122"/>
        <v>6.7643005018327083</v>
      </c>
      <c r="U329" s="6">
        <f t="shared" si="123"/>
        <v>26.787163614203344</v>
      </c>
      <c r="X329" s="6"/>
      <c r="Y329" s="6"/>
      <c r="Z329" s="25"/>
      <c r="AA329" s="25"/>
      <c r="AB329" s="25"/>
      <c r="AC329" s="25"/>
      <c r="AD329" s="6">
        <f t="shared" si="112"/>
        <v>7.5649999999999995</v>
      </c>
      <c r="AE329" s="6">
        <f t="shared" si="113"/>
        <v>34.5</v>
      </c>
      <c r="AF329" s="6">
        <f t="shared" si="114"/>
        <v>4.0940881306636925</v>
      </c>
      <c r="AG329" s="6">
        <f t="shared" si="115"/>
        <v>1.8465004992954148</v>
      </c>
      <c r="AH329" s="6">
        <f t="shared" si="124"/>
        <v>1.1237938156841389</v>
      </c>
      <c r="AI329" s="6">
        <f t="shared" si="125"/>
        <v>7.6807771610895859E-2</v>
      </c>
      <c r="AJ329" s="6">
        <f t="shared" si="126"/>
        <v>0.38770886641102792</v>
      </c>
      <c r="AK329" s="6">
        <f t="shared" si="127"/>
        <v>0.73608494927311097</v>
      </c>
      <c r="AL329" s="6">
        <f t="shared" si="116"/>
        <v>0.73960000000000004</v>
      </c>
      <c r="AM329" s="6">
        <v>16.2</v>
      </c>
      <c r="AN329" s="6">
        <f>$X$16</f>
        <v>23.602333333333327</v>
      </c>
    </row>
    <row r="330" spans="1:40" x14ac:dyDescent="0.2">
      <c r="A330" s="1">
        <f t="shared" si="109"/>
        <v>325</v>
      </c>
      <c r="B330" s="2">
        <v>25.85</v>
      </c>
      <c r="C330" s="2">
        <v>68.862080000000006</v>
      </c>
      <c r="D330" s="2">
        <v>1.2047209999999999</v>
      </c>
      <c r="E330" s="2">
        <v>34.51</v>
      </c>
      <c r="F330" s="2">
        <v>89</v>
      </c>
      <c r="G330" s="2">
        <v>6.62</v>
      </c>
      <c r="H330" s="2">
        <v>18.760000000000002</v>
      </c>
      <c r="I330" s="2">
        <v>44.34</v>
      </c>
      <c r="J330" s="2">
        <v>0</v>
      </c>
      <c r="K330" s="3">
        <v>27.23</v>
      </c>
      <c r="L330" s="3">
        <v>14.961029999999999</v>
      </c>
      <c r="N330" s="6">
        <f t="shared" si="117"/>
        <v>3.5183022330740719</v>
      </c>
      <c r="O330" s="6">
        <f t="shared" si="118"/>
        <v>19.487646211370361</v>
      </c>
      <c r="P330" s="6">
        <f t="shared" si="119"/>
        <v>3.823577999999999</v>
      </c>
      <c r="Q330" s="6">
        <f t="shared" si="111"/>
        <v>6.4545709298462093</v>
      </c>
      <c r="R330" s="6">
        <f t="shared" si="120"/>
        <v>6.73250531550286</v>
      </c>
      <c r="S330" s="6">
        <f t="shared" si="121"/>
        <v>9.8647676999999998</v>
      </c>
      <c r="T330" s="6">
        <f t="shared" si="122"/>
        <v>7.3207116923750579</v>
      </c>
      <c r="U330" s="6">
        <f t="shared" si="123"/>
        <v>27.352122074768836</v>
      </c>
      <c r="X330" s="6"/>
      <c r="Y330" s="6"/>
      <c r="Z330" s="25"/>
      <c r="AA330" s="25"/>
      <c r="AB330" s="25"/>
      <c r="AC330" s="25"/>
      <c r="AD330" s="6">
        <f t="shared" si="112"/>
        <v>7.8749999999999982</v>
      </c>
      <c r="AE330" s="6">
        <f t="shared" si="113"/>
        <v>22.33</v>
      </c>
      <c r="AF330" s="6">
        <f t="shared" si="114"/>
        <v>4.2354624074104255</v>
      </c>
      <c r="AG330" s="6">
        <f t="shared" si="115"/>
        <v>1.8526421283739447</v>
      </c>
      <c r="AH330" s="6">
        <f t="shared" si="124"/>
        <v>1.1914101395182404</v>
      </c>
      <c r="AI330" s="6">
        <f t="shared" si="125"/>
        <v>8.1223346311279893E-2</v>
      </c>
      <c r="AJ330" s="6">
        <f t="shared" si="126"/>
        <v>0.26604188415442304</v>
      </c>
      <c r="AK330" s="6">
        <f t="shared" si="127"/>
        <v>0.92536825536381739</v>
      </c>
      <c r="AL330" s="6">
        <f t="shared" si="116"/>
        <v>0.74150000000000005</v>
      </c>
      <c r="AM330" s="6">
        <v>16.2</v>
      </c>
      <c r="AN330" s="6">
        <f t="shared" si="110"/>
        <v>23.602333333333327</v>
      </c>
    </row>
    <row r="331" spans="1:40" x14ac:dyDescent="0.2">
      <c r="A331" s="1">
        <f t="shared" si="109"/>
        <v>326</v>
      </c>
      <c r="B331" s="2">
        <v>24.84</v>
      </c>
      <c r="C331" s="2">
        <v>72.368541666666673</v>
      </c>
      <c r="D331" s="7">
        <v>2.3544339999999999</v>
      </c>
      <c r="E331" s="2">
        <v>29.64</v>
      </c>
      <c r="F331" s="2">
        <v>90.3</v>
      </c>
      <c r="G331" s="2">
        <v>8.76</v>
      </c>
      <c r="H331" s="2">
        <v>21.02</v>
      </c>
      <c r="I331" s="2">
        <v>53.05</v>
      </c>
      <c r="J331" s="2">
        <v>0</v>
      </c>
      <c r="K331" s="3">
        <v>26.27</v>
      </c>
      <c r="L331" s="3">
        <v>14.199920000000001</v>
      </c>
      <c r="N331" s="6">
        <f t="shared" si="117"/>
        <v>3.5183022330740719</v>
      </c>
      <c r="O331" s="6">
        <f t="shared" si="118"/>
        <v>19.487646211370361</v>
      </c>
      <c r="P331" s="6">
        <f t="shared" si="119"/>
        <v>3.823577999999999</v>
      </c>
      <c r="Q331" s="6">
        <f t="shared" si="111"/>
        <v>4.6645921759451205</v>
      </c>
      <c r="R331" s="6">
        <f t="shared" si="120"/>
        <v>4.8654499207667454</v>
      </c>
      <c r="S331" s="6">
        <f t="shared" si="121"/>
        <v>9.3873518228571413</v>
      </c>
      <c r="T331" s="6">
        <f t="shared" si="122"/>
        <v>4.4925476291156086</v>
      </c>
      <c r="U331" s="6">
        <f t="shared" si="123"/>
        <v>24.428241612786245</v>
      </c>
      <c r="X331" s="6"/>
      <c r="Y331" s="6"/>
      <c r="Z331" s="25"/>
      <c r="AA331" s="25"/>
      <c r="AB331" s="25"/>
      <c r="AC331" s="25"/>
      <c r="AD331" s="6">
        <f t="shared" si="112"/>
        <v>4.3100000000000005</v>
      </c>
      <c r="AE331" s="6">
        <f t="shared" si="113"/>
        <v>18.625</v>
      </c>
      <c r="AF331" s="6">
        <f t="shared" si="114"/>
        <v>3.3101668511467879</v>
      </c>
      <c r="AG331" s="6">
        <f t="shared" si="115"/>
        <v>2.0974068831102568</v>
      </c>
      <c r="AH331" s="6">
        <f t="shared" si="124"/>
        <v>0.60637998401826554</v>
      </c>
      <c r="AI331" s="6">
        <f t="shared" si="125"/>
        <v>4.2568368024835108E-2</v>
      </c>
      <c r="AJ331" s="6">
        <f t="shared" si="126"/>
        <v>0.11293827202340197</v>
      </c>
      <c r="AK331" s="6">
        <f t="shared" si="127"/>
        <v>0.49344171199486359</v>
      </c>
      <c r="AL331" s="6">
        <f t="shared" si="116"/>
        <v>0.73140000000000005</v>
      </c>
      <c r="AM331" s="6">
        <v>16.2</v>
      </c>
      <c r="AN331" s="6">
        <f t="shared" si="110"/>
        <v>23.602333333333327</v>
      </c>
    </row>
    <row r="332" spans="1:40" x14ac:dyDescent="0.2">
      <c r="A332" s="1">
        <f t="shared" si="109"/>
        <v>327</v>
      </c>
      <c r="B332" s="2">
        <v>21.93</v>
      </c>
      <c r="C332" s="2">
        <v>86.455416666666679</v>
      </c>
      <c r="D332" s="2">
        <v>1.494019</v>
      </c>
      <c r="E332" s="2">
        <v>24.51</v>
      </c>
      <c r="F332" s="2">
        <v>100</v>
      </c>
      <c r="G332" s="2">
        <v>6.49</v>
      </c>
      <c r="H332" s="2">
        <v>19.329999999999998</v>
      </c>
      <c r="I332" s="2">
        <v>71.03</v>
      </c>
      <c r="J332" s="2">
        <v>8.89</v>
      </c>
      <c r="K332" s="3">
        <v>8.44</v>
      </c>
      <c r="L332" s="3">
        <v>1.28067</v>
      </c>
      <c r="N332" s="6">
        <f t="shared" si="117"/>
        <v>3.5183022330740719</v>
      </c>
      <c r="O332" s="6">
        <f t="shared" si="118"/>
        <v>19.487646211370361</v>
      </c>
      <c r="P332" s="6">
        <f t="shared" si="119"/>
        <v>3.823577999999999</v>
      </c>
      <c r="Q332" s="6">
        <f t="shared" si="111"/>
        <v>3.3691961479771013</v>
      </c>
      <c r="R332" s="6">
        <f t="shared" si="120"/>
        <v>3.5142740271610986</v>
      </c>
      <c r="S332" s="6">
        <f t="shared" si="121"/>
        <v>2.8959641485714278</v>
      </c>
      <c r="T332" s="6">
        <f t="shared" si="122"/>
        <v>1.899479743496052</v>
      </c>
      <c r="U332" s="6">
        <f t="shared" si="123"/>
        <v>17.277836362533414</v>
      </c>
      <c r="X332" s="6"/>
      <c r="Y332" s="6"/>
      <c r="Z332" s="25"/>
      <c r="AA332" s="25"/>
      <c r="AB332" s="25"/>
      <c r="AC332" s="25"/>
      <c r="AD332" s="6">
        <f t="shared" si="112"/>
        <v>2.5900000000000016</v>
      </c>
      <c r="AE332" s="6">
        <f t="shared" si="113"/>
        <v>14.484999999999999</v>
      </c>
      <c r="AF332" s="6">
        <f t="shared" si="114"/>
        <v>2.5310293355196234</v>
      </c>
      <c r="AG332" s="6">
        <f t="shared" si="115"/>
        <v>1.9118862456611545</v>
      </c>
      <c r="AH332" s="6">
        <f t="shared" si="124"/>
        <v>0.30957154492923444</v>
      </c>
      <c r="AI332" s="6">
        <f t="shared" si="125"/>
        <v>2.204492876067584E-2</v>
      </c>
      <c r="AJ332" s="6">
        <f t="shared" si="126"/>
        <v>4.4841438282999607E-2</v>
      </c>
      <c r="AK332" s="6">
        <f t="shared" si="127"/>
        <v>0.26473010664623486</v>
      </c>
      <c r="AL332" s="6">
        <f t="shared" si="116"/>
        <v>0.70229999999999992</v>
      </c>
      <c r="AM332" s="6">
        <v>16.2</v>
      </c>
      <c r="AN332" s="6">
        <f t="shared" si="110"/>
        <v>23.602333333333327</v>
      </c>
    </row>
    <row r="333" spans="1:40" x14ac:dyDescent="0.2">
      <c r="A333" s="1">
        <f t="shared" si="109"/>
        <v>328</v>
      </c>
      <c r="B333" s="2">
        <v>22.74</v>
      </c>
      <c r="C333" s="2">
        <v>74.200310000000002</v>
      </c>
      <c r="D333" s="2">
        <v>1.8333219999999999</v>
      </c>
      <c r="E333" s="2">
        <v>29.35</v>
      </c>
      <c r="F333" s="2">
        <v>100</v>
      </c>
      <c r="G333" s="2">
        <v>10.029999999999999</v>
      </c>
      <c r="H333" s="2">
        <v>17.309999999999999</v>
      </c>
      <c r="I333" s="2">
        <v>46.28</v>
      </c>
      <c r="J333" s="2">
        <v>0</v>
      </c>
      <c r="K333" s="3">
        <v>23.27</v>
      </c>
      <c r="L333" s="3">
        <v>11.34915</v>
      </c>
      <c r="N333" s="6">
        <f t="shared" si="117"/>
        <v>3.5183022330740719</v>
      </c>
      <c r="O333" s="6">
        <f t="shared" si="118"/>
        <v>19.487646211370361</v>
      </c>
      <c r="P333" s="6">
        <f t="shared" si="119"/>
        <v>3.823577999999999</v>
      </c>
      <c r="Q333" s="6">
        <f t="shared" si="111"/>
        <v>5.2413098955267436</v>
      </c>
      <c r="R333" s="6">
        <f t="shared" si="120"/>
        <v>5.4670011555163613</v>
      </c>
      <c r="S333" s="6">
        <f t="shared" si="121"/>
        <v>8.0765781942857124</v>
      </c>
      <c r="T333" s="6">
        <f t="shared" si="122"/>
        <v>4.9502202814181926</v>
      </c>
      <c r="U333" s="6">
        <f t="shared" si="123"/>
        <v>19.095447917144828</v>
      </c>
      <c r="X333" s="6"/>
      <c r="Y333" s="6"/>
      <c r="Z333" s="25"/>
      <c r="AA333" s="25"/>
      <c r="AB333" s="25"/>
      <c r="AC333" s="25"/>
      <c r="AD333" s="6">
        <f t="shared" si="112"/>
        <v>6.0200000000000014</v>
      </c>
      <c r="AE333" s="6">
        <f t="shared" si="113"/>
        <v>26.86</v>
      </c>
      <c r="AF333" s="6">
        <f t="shared" si="114"/>
        <v>3.2611179243309367</v>
      </c>
      <c r="AG333" s="6">
        <f t="shared" si="115"/>
        <v>1.7091254644856972</v>
      </c>
      <c r="AH333" s="6">
        <f t="shared" si="124"/>
        <v>0.77599622992261974</v>
      </c>
      <c r="AI333" s="6">
        <f t="shared" si="125"/>
        <v>5.371257211536401E-2</v>
      </c>
      <c r="AJ333" s="6">
        <f t="shared" si="126"/>
        <v>0.20843258735721565</v>
      </c>
      <c r="AK333" s="6">
        <f t="shared" si="127"/>
        <v>0.56756364256540404</v>
      </c>
      <c r="AL333" s="6">
        <f t="shared" si="116"/>
        <v>0.71039999999999992</v>
      </c>
      <c r="AM333" s="6">
        <v>16.2</v>
      </c>
      <c r="AN333" s="6">
        <f t="shared" si="110"/>
        <v>23.602333333333327</v>
      </c>
    </row>
    <row r="334" spans="1:40" x14ac:dyDescent="0.2">
      <c r="A334" s="1">
        <f t="shared" si="109"/>
        <v>329</v>
      </c>
      <c r="B334" s="2">
        <v>21.97</v>
      </c>
      <c r="C334" s="2">
        <v>63.534480000000002</v>
      </c>
      <c r="D334" s="2">
        <v>2.1003129999999999</v>
      </c>
      <c r="E334" s="2">
        <v>28.4</v>
      </c>
      <c r="F334" s="2">
        <v>86.5</v>
      </c>
      <c r="G334" s="2">
        <v>8.5299999999999994</v>
      </c>
      <c r="H334" s="2">
        <v>15.93</v>
      </c>
      <c r="I334" s="2">
        <v>41.79</v>
      </c>
      <c r="J334" s="2">
        <v>0</v>
      </c>
      <c r="K334" s="3">
        <v>31.32</v>
      </c>
      <c r="L334" s="3">
        <v>15.662369999999999</v>
      </c>
      <c r="N334" s="6">
        <f t="shared" si="117"/>
        <v>3.5183022330740719</v>
      </c>
      <c r="O334" s="6">
        <f t="shared" si="118"/>
        <v>19.487646211370361</v>
      </c>
      <c r="P334" s="6">
        <f t="shared" si="119"/>
        <v>3.823577999999999</v>
      </c>
      <c r="Q334" s="6">
        <f t="shared" si="111"/>
        <v>5.2327702651799575</v>
      </c>
      <c r="R334" s="6">
        <f t="shared" si="120"/>
        <v>5.4580938079440671</v>
      </c>
      <c r="S334" s="6">
        <f t="shared" si="121"/>
        <v>10.752755554285713</v>
      </c>
      <c r="T334" s="6">
        <f t="shared" si="122"/>
        <v>5.5743665248489149</v>
      </c>
      <c r="U334" s="6">
        <f t="shared" si="123"/>
        <v>17.376305428617208</v>
      </c>
      <c r="X334" s="6"/>
      <c r="Y334" s="6"/>
      <c r="Z334" s="25"/>
      <c r="AA334" s="25"/>
      <c r="AB334" s="25"/>
      <c r="AC334" s="25"/>
      <c r="AD334" s="6">
        <f t="shared" si="112"/>
        <v>6.2349999999999994</v>
      </c>
      <c r="AE334" s="6">
        <f t="shared" si="113"/>
        <v>22.355</v>
      </c>
      <c r="AF334" s="6">
        <f t="shared" si="114"/>
        <v>3.1048494547771921</v>
      </c>
      <c r="AG334" s="6">
        <f t="shared" si="115"/>
        <v>1.581687805476288</v>
      </c>
      <c r="AH334" s="6">
        <f t="shared" si="124"/>
        <v>0.76158082465045207</v>
      </c>
      <c r="AI334" s="6">
        <f t="shared" si="125"/>
        <v>5.2621737536349467E-2</v>
      </c>
      <c r="AJ334" s="6">
        <f t="shared" si="126"/>
        <v>0.17025139335060857</v>
      </c>
      <c r="AK334" s="6">
        <f t="shared" si="127"/>
        <v>0.5913294312998435</v>
      </c>
      <c r="AL334" s="6">
        <f t="shared" si="116"/>
        <v>0.70269999999999999</v>
      </c>
      <c r="AM334" s="6">
        <v>16.2</v>
      </c>
      <c r="AN334" s="6">
        <f t="shared" si="110"/>
        <v>23.602333333333327</v>
      </c>
    </row>
    <row r="335" spans="1:40" x14ac:dyDescent="0.2">
      <c r="A335" s="1">
        <f t="shared" si="109"/>
        <v>330</v>
      </c>
      <c r="B335" s="2">
        <v>23.67</v>
      </c>
      <c r="C335" s="2">
        <v>64.141875000000013</v>
      </c>
      <c r="D335" s="2">
        <v>1.228739</v>
      </c>
      <c r="E335" s="2">
        <v>32.04</v>
      </c>
      <c r="F335" s="2">
        <v>99.6</v>
      </c>
      <c r="G335" s="2">
        <v>5.94</v>
      </c>
      <c r="H335" s="2">
        <v>14.87</v>
      </c>
      <c r="I335" s="2">
        <v>34.020000000000003</v>
      </c>
      <c r="J335" s="2">
        <v>0</v>
      </c>
      <c r="K335" s="3">
        <v>27.42</v>
      </c>
      <c r="L335" s="3">
        <v>14.11107</v>
      </c>
      <c r="N335" s="6">
        <f t="shared" si="117"/>
        <v>3.5183022330740719</v>
      </c>
      <c r="O335" s="6">
        <f t="shared" si="118"/>
        <v>19.487646211370361</v>
      </c>
      <c r="P335" s="6">
        <f t="shared" si="119"/>
        <v>3.823577999999999</v>
      </c>
      <c r="Q335" s="6">
        <f t="shared" si="111"/>
        <v>6.4026834906778936</v>
      </c>
      <c r="R335" s="6">
        <f t="shared" si="120"/>
        <v>6.6783835986907958</v>
      </c>
      <c r="S335" s="6">
        <f t="shared" si="121"/>
        <v>9.6415535828571421</v>
      </c>
      <c r="T335" s="6">
        <f t="shared" si="122"/>
        <v>6.4385471205435785</v>
      </c>
      <c r="U335" s="6">
        <f t="shared" si="123"/>
        <v>21.344702021681929</v>
      </c>
      <c r="X335" s="6"/>
      <c r="Y335" s="6"/>
      <c r="Z335" s="25"/>
      <c r="AA335" s="25"/>
      <c r="AB335" s="25"/>
      <c r="AC335" s="25"/>
      <c r="AD335" s="6">
        <f t="shared" si="112"/>
        <v>8.5850000000000009</v>
      </c>
      <c r="AE335" s="6">
        <f t="shared" si="113"/>
        <v>32.789999999999992</v>
      </c>
      <c r="AF335" s="6">
        <f t="shared" si="114"/>
        <v>3.7413881005958136</v>
      </c>
      <c r="AG335" s="6">
        <f t="shared" si="115"/>
        <v>1.489540614894032</v>
      </c>
      <c r="AH335" s="6">
        <f t="shared" si="124"/>
        <v>1.1259237428508908</v>
      </c>
      <c r="AI335" s="6">
        <f t="shared" si="125"/>
        <v>7.6316221507267523E-2</v>
      </c>
      <c r="AJ335" s="6">
        <f t="shared" si="126"/>
        <v>0.36919039528080705</v>
      </c>
      <c r="AK335" s="6">
        <f t="shared" si="127"/>
        <v>0.7567333475700837</v>
      </c>
      <c r="AL335" s="6">
        <f t="shared" si="116"/>
        <v>0.71970000000000001</v>
      </c>
      <c r="AM335" s="6">
        <v>16.2</v>
      </c>
      <c r="AN335" s="6">
        <f t="shared" si="110"/>
        <v>23.602333333333327</v>
      </c>
    </row>
    <row r="336" spans="1:40" x14ac:dyDescent="0.2">
      <c r="A336" s="1">
        <f t="shared" si="109"/>
        <v>331</v>
      </c>
      <c r="B336" s="2">
        <v>26.55</v>
      </c>
      <c r="C336" s="2">
        <v>59.586041666666659</v>
      </c>
      <c r="D336" s="2">
        <v>1.1075390000000001</v>
      </c>
      <c r="E336" s="2">
        <v>33.97</v>
      </c>
      <c r="F336" s="2">
        <v>95.7</v>
      </c>
      <c r="G336" s="2">
        <v>5.7699199999999999</v>
      </c>
      <c r="H336" s="2">
        <v>18.850000000000001</v>
      </c>
      <c r="I336" s="2">
        <v>30.67</v>
      </c>
      <c r="J336" s="2">
        <v>0</v>
      </c>
      <c r="K336" s="3">
        <v>29.93</v>
      </c>
      <c r="L336" s="3">
        <v>16.434889999999999</v>
      </c>
      <c r="N336" s="6">
        <f t="shared" si="117"/>
        <v>3.5183022330740719</v>
      </c>
      <c r="O336" s="6">
        <f t="shared" si="118"/>
        <v>19.487646211370361</v>
      </c>
      <c r="P336" s="6">
        <f t="shared" si="119"/>
        <v>3.823577999999999</v>
      </c>
      <c r="Q336" s="6">
        <f t="shared" si="111"/>
        <v>6.4255805220274302</v>
      </c>
      <c r="R336" s="6">
        <f t="shared" si="120"/>
        <v>6.7022665782018231</v>
      </c>
      <c r="S336" s="6">
        <f t="shared" si="121"/>
        <v>10.945272728571425</v>
      </c>
      <c r="T336" s="6">
        <f t="shared" si="122"/>
        <v>6.7686878376798294</v>
      </c>
      <c r="U336" s="6">
        <f t="shared" si="123"/>
        <v>29.531548242868187</v>
      </c>
      <c r="X336" s="6"/>
      <c r="Y336" s="6"/>
      <c r="Z336" s="25"/>
      <c r="AA336" s="25"/>
      <c r="AB336" s="25"/>
      <c r="AC336" s="25"/>
      <c r="AD336" s="6">
        <f t="shared" si="112"/>
        <v>7.5599999999999987</v>
      </c>
      <c r="AE336" s="6">
        <f t="shared" si="113"/>
        <v>32.515000000000001</v>
      </c>
      <c r="AF336" s="6">
        <f t="shared" si="114"/>
        <v>4.1228542109972617</v>
      </c>
      <c r="AG336" s="6">
        <f t="shared" si="115"/>
        <v>1.8618881335014397</v>
      </c>
      <c r="AH336" s="6">
        <f t="shared" si="124"/>
        <v>1.130483038747911</v>
      </c>
      <c r="AI336" s="6">
        <f t="shared" si="125"/>
        <v>7.7268114468745541E-2</v>
      </c>
      <c r="AJ336" s="6">
        <f t="shared" si="126"/>
        <v>0.36757656004888323</v>
      </c>
      <c r="AK336" s="6">
        <f t="shared" si="127"/>
        <v>0.76290647869902783</v>
      </c>
      <c r="AL336" s="6">
        <f t="shared" si="116"/>
        <v>0.74849999999999994</v>
      </c>
      <c r="AM336" s="6">
        <v>16.2</v>
      </c>
      <c r="AN336" s="6">
        <f t="shared" si="110"/>
        <v>23.602333333333327</v>
      </c>
    </row>
    <row r="337" spans="1:40" x14ac:dyDescent="0.2">
      <c r="A337" s="1">
        <f t="shared" si="109"/>
        <v>332</v>
      </c>
      <c r="B337" s="2">
        <v>27.55</v>
      </c>
      <c r="C337" s="2">
        <v>58.546666666666681</v>
      </c>
      <c r="D337" s="2">
        <v>1.36656</v>
      </c>
      <c r="E337" s="2">
        <v>34.74</v>
      </c>
      <c r="F337" s="2">
        <v>95.4</v>
      </c>
      <c r="G337" s="2">
        <v>5.9976799999999999</v>
      </c>
      <c r="H337" s="2">
        <v>19.670000000000002</v>
      </c>
      <c r="I337" s="2">
        <v>32.25</v>
      </c>
      <c r="J337" s="2">
        <v>0</v>
      </c>
      <c r="K337" s="3">
        <v>24.7</v>
      </c>
      <c r="L337" s="3">
        <v>13.44233</v>
      </c>
      <c r="N337" s="6">
        <f t="shared" si="117"/>
        <v>3.5183022330740719</v>
      </c>
      <c r="O337" s="6">
        <f t="shared" si="118"/>
        <v>19.487646211370361</v>
      </c>
      <c r="P337" s="6">
        <f t="shared" si="119"/>
        <v>3.823577999999999</v>
      </c>
      <c r="Q337" s="6">
        <f t="shared" si="111"/>
        <v>6.5595911024629165</v>
      </c>
      <c r="R337" s="6">
        <f t="shared" si="120"/>
        <v>6.8420476658870788</v>
      </c>
      <c r="S337" s="6">
        <f t="shared" si="121"/>
        <v>9.1533612857142845</v>
      </c>
      <c r="T337" s="6">
        <f t="shared" si="122"/>
        <v>6.3886846069688623</v>
      </c>
      <c r="U337" s="6">
        <f t="shared" si="123"/>
        <v>32.860155284408634</v>
      </c>
      <c r="X337" s="6"/>
      <c r="Y337" s="6"/>
      <c r="Z337" s="25"/>
      <c r="AA337" s="25"/>
      <c r="AB337" s="25"/>
      <c r="AC337" s="25"/>
      <c r="AD337" s="6">
        <f t="shared" si="112"/>
        <v>7.5350000000000001</v>
      </c>
      <c r="AE337" s="6">
        <f t="shared" si="113"/>
        <v>31.575000000000003</v>
      </c>
      <c r="AF337" s="6">
        <f t="shared" si="114"/>
        <v>4.2842314048701926</v>
      </c>
      <c r="AG337" s="6">
        <f t="shared" si="115"/>
        <v>1.9480094607964409</v>
      </c>
      <c r="AH337" s="6">
        <f t="shared" si="124"/>
        <v>1.1681109720368759</v>
      </c>
      <c r="AI337" s="6">
        <f t="shared" si="125"/>
        <v>7.9856276038946281E-2</v>
      </c>
      <c r="AJ337" s="6">
        <f t="shared" si="126"/>
        <v>0.3688310394206436</v>
      </c>
      <c r="AK337" s="6">
        <f t="shared" si="127"/>
        <v>0.79927993261623231</v>
      </c>
      <c r="AL337" s="6">
        <f t="shared" si="116"/>
        <v>0.75849999999999995</v>
      </c>
      <c r="AM337" s="6">
        <v>16.2</v>
      </c>
      <c r="AN337" s="6">
        <f t="shared" si="110"/>
        <v>23.602333333333327</v>
      </c>
    </row>
    <row r="338" spans="1:40" x14ac:dyDescent="0.2">
      <c r="A338" s="1">
        <f t="shared" si="109"/>
        <v>333</v>
      </c>
      <c r="B338" s="2">
        <v>26.4</v>
      </c>
      <c r="C338" s="2">
        <v>70.098750000000024</v>
      </c>
      <c r="D338" s="2">
        <v>1.884196</v>
      </c>
      <c r="E338" s="2">
        <v>34.64</v>
      </c>
      <c r="F338" s="2">
        <v>100</v>
      </c>
      <c r="G338" s="2">
        <v>13.6656</v>
      </c>
      <c r="H338" s="2">
        <v>20.58</v>
      </c>
      <c r="I338" s="2">
        <v>38.85</v>
      </c>
      <c r="J338" s="2">
        <v>1.016</v>
      </c>
      <c r="K338" s="3">
        <v>22.09</v>
      </c>
      <c r="L338" s="3">
        <v>11.66916</v>
      </c>
      <c r="N338" s="6">
        <f t="shared" si="117"/>
        <v>3.5183022330740719</v>
      </c>
      <c r="O338" s="6">
        <f t="shared" si="118"/>
        <v>19.487646211370361</v>
      </c>
      <c r="P338" s="6">
        <f t="shared" si="119"/>
        <v>3.823577999999999</v>
      </c>
      <c r="Q338" s="6">
        <f t="shared" si="111"/>
        <v>6.175296011599432</v>
      </c>
      <c r="R338" s="6">
        <f t="shared" si="120"/>
        <v>6.4412047949850919</v>
      </c>
      <c r="S338" s="6">
        <f t="shared" si="121"/>
        <v>8.0620295142857135</v>
      </c>
      <c r="T338" s="6">
        <f t="shared" si="122"/>
        <v>6.4361338262798462</v>
      </c>
      <c r="U338" s="6">
        <f t="shared" si="123"/>
        <v>29.048079837937426</v>
      </c>
      <c r="X338" s="6"/>
      <c r="Y338" s="6"/>
      <c r="Z338" s="25"/>
      <c r="AA338" s="25"/>
      <c r="AB338" s="25"/>
      <c r="AC338" s="25"/>
      <c r="AD338" s="6">
        <f t="shared" si="112"/>
        <v>7.0300000000000011</v>
      </c>
      <c r="AE338" s="6">
        <f t="shared" si="113"/>
        <v>30.574999999999999</v>
      </c>
      <c r="AF338" s="6">
        <f t="shared" si="114"/>
        <v>4.2629678290829753</v>
      </c>
      <c r="AG338" s="6">
        <f t="shared" si="115"/>
        <v>2.0476493292764739</v>
      </c>
      <c r="AH338" s="6">
        <f t="shared" si="124"/>
        <v>1.1076592499032507</v>
      </c>
      <c r="AI338" s="6">
        <f t="shared" si="125"/>
        <v>7.6036924539012979E-2</v>
      </c>
      <c r="AJ338" s="6">
        <f t="shared" si="126"/>
        <v>0.33866681565791895</v>
      </c>
      <c r="AK338" s="6">
        <f t="shared" si="127"/>
        <v>0.76899243424533181</v>
      </c>
      <c r="AL338" s="6">
        <f t="shared" si="116"/>
        <v>0.747</v>
      </c>
      <c r="AM338" s="6">
        <v>16.2</v>
      </c>
      <c r="AN338" s="6">
        <f t="shared" si="110"/>
        <v>23.602333333333327</v>
      </c>
    </row>
    <row r="339" spans="1:40" x14ac:dyDescent="0.2">
      <c r="A339" s="1">
        <f t="shared" si="109"/>
        <v>334</v>
      </c>
      <c r="B339" s="2">
        <v>24.42</v>
      </c>
      <c r="C339" s="2">
        <v>86.556666666666672</v>
      </c>
      <c r="D339" s="2">
        <v>1.3283039999999999</v>
      </c>
      <c r="E339" s="2">
        <v>29.79</v>
      </c>
      <c r="F339" s="2">
        <v>100</v>
      </c>
      <c r="G339" s="2">
        <v>6.33</v>
      </c>
      <c r="H339" s="2">
        <v>20.92</v>
      </c>
      <c r="I339" s="2">
        <v>57.54</v>
      </c>
      <c r="J339" s="2">
        <v>1.27</v>
      </c>
      <c r="K339" s="3">
        <v>14.4</v>
      </c>
      <c r="L339" s="3">
        <v>7.1946490000000001</v>
      </c>
      <c r="N339" s="6">
        <f t="shared" si="117"/>
        <v>3.5183022330740719</v>
      </c>
      <c r="O339" s="6">
        <f t="shared" si="118"/>
        <v>19.487646211370361</v>
      </c>
      <c r="P339" s="6">
        <f t="shared" si="119"/>
        <v>3.823577999999999</v>
      </c>
      <c r="Q339" s="6">
        <f t="shared" si="111"/>
        <v>4.6851434151134468</v>
      </c>
      <c r="R339" s="6">
        <f t="shared" si="120"/>
        <v>4.8868860980812023</v>
      </c>
      <c r="S339" s="6">
        <f t="shared" si="121"/>
        <v>5.1161636571428568</v>
      </c>
      <c r="T339" s="6">
        <f t="shared" si="122"/>
        <v>3.6358666905909929</v>
      </c>
      <c r="U339" s="6">
        <f t="shared" si="123"/>
        <v>23.275563186099468</v>
      </c>
      <c r="X339" s="6"/>
      <c r="Y339" s="6"/>
      <c r="Z339" s="25"/>
      <c r="AA339" s="25"/>
      <c r="AB339" s="25"/>
      <c r="AC339" s="25"/>
      <c r="AD339" s="6">
        <f t="shared" si="112"/>
        <v>4.4349999999999987</v>
      </c>
      <c r="AE339" s="6">
        <f t="shared" si="113"/>
        <v>21.23</v>
      </c>
      <c r="AF339" s="6">
        <f t="shared" si="114"/>
        <v>3.3357883703707811</v>
      </c>
      <c r="AG339" s="6">
        <f t="shared" si="115"/>
        <v>2.0860063721828763</v>
      </c>
      <c r="AH339" s="6">
        <f t="shared" si="124"/>
        <v>0.6248909990939524</v>
      </c>
      <c r="AI339" s="6">
        <f t="shared" si="125"/>
        <v>4.3822500354268282E-2</v>
      </c>
      <c r="AJ339" s="6">
        <f t="shared" si="126"/>
        <v>0.1326643591076461</v>
      </c>
      <c r="AK339" s="6">
        <f t="shared" si="127"/>
        <v>0.49222663998630634</v>
      </c>
      <c r="AL339" s="6">
        <f t="shared" si="116"/>
        <v>0.72720000000000007</v>
      </c>
      <c r="AM339" s="6">
        <v>16.2</v>
      </c>
      <c r="AN339" s="6">
        <f t="shared" si="110"/>
        <v>23.602333333333327</v>
      </c>
    </row>
    <row r="340" spans="1:40" x14ac:dyDescent="0.2">
      <c r="A340" s="1">
        <f t="shared" si="109"/>
        <v>335</v>
      </c>
      <c r="B340" s="2">
        <v>26.35</v>
      </c>
      <c r="C340" s="2">
        <v>78.191249999999997</v>
      </c>
      <c r="D340" s="2">
        <v>1.3075600000000001</v>
      </c>
      <c r="E340" s="2">
        <v>32.47</v>
      </c>
      <c r="F340" s="2">
        <v>100</v>
      </c>
      <c r="G340" s="2">
        <v>6.91</v>
      </c>
      <c r="H340" s="2">
        <v>21.73</v>
      </c>
      <c r="I340" s="2">
        <v>48.2</v>
      </c>
      <c r="J340" s="2">
        <v>0</v>
      </c>
      <c r="K340" s="3">
        <v>21.19</v>
      </c>
      <c r="L340" s="3">
        <v>11.66799</v>
      </c>
      <c r="N340" s="6">
        <f t="shared" si="117"/>
        <v>3.5183022330740719</v>
      </c>
      <c r="O340" s="6">
        <f t="shared" si="118"/>
        <v>19.487646211370361</v>
      </c>
      <c r="P340" s="6">
        <f t="shared" si="119"/>
        <v>3.823577999999999</v>
      </c>
      <c r="Q340" s="6">
        <f t="shared" si="111"/>
        <v>5.3910790397129533</v>
      </c>
      <c r="R340" s="6">
        <f t="shared" si="120"/>
        <v>5.6232193720781236</v>
      </c>
      <c r="S340" s="6">
        <f t="shared" si="121"/>
        <v>7.728386528571427</v>
      </c>
      <c r="T340" s="6">
        <f t="shared" si="122"/>
        <v>4.9471656169411915</v>
      </c>
      <c r="U340" s="6">
        <f t="shared" si="123"/>
        <v>28.885109733748333</v>
      </c>
      <c r="X340" s="6"/>
      <c r="Y340" s="6"/>
      <c r="Z340" s="25"/>
      <c r="AA340" s="25"/>
      <c r="AB340" s="25"/>
      <c r="AC340" s="25"/>
      <c r="AD340" s="6">
        <f t="shared" si="112"/>
        <v>5.3699999999999992</v>
      </c>
      <c r="AE340" s="6">
        <f t="shared" si="113"/>
        <v>25.9</v>
      </c>
      <c r="AF340" s="6">
        <f t="shared" si="114"/>
        <v>3.82360630351782</v>
      </c>
      <c r="AG340" s="6">
        <f t="shared" si="115"/>
        <v>2.1799305661838861</v>
      </c>
      <c r="AH340" s="6">
        <f t="shared" si="124"/>
        <v>0.82183786866696695</v>
      </c>
      <c r="AI340" s="6">
        <f t="shared" si="125"/>
        <v>5.7190767209737314E-2</v>
      </c>
      <c r="AJ340" s="6">
        <f t="shared" si="126"/>
        <v>0.21285600798474444</v>
      </c>
      <c r="AK340" s="6">
        <f t="shared" si="127"/>
        <v>0.60898186068222249</v>
      </c>
      <c r="AL340" s="6">
        <f t="shared" si="116"/>
        <v>0.74649999999999994</v>
      </c>
      <c r="AM340" s="6">
        <v>16.2</v>
      </c>
      <c r="AN340" s="6">
        <f t="shared" si="110"/>
        <v>23.602333333333327</v>
      </c>
    </row>
    <row r="341" spans="1:40" x14ac:dyDescent="0.2">
      <c r="A341" s="1">
        <f t="shared" si="109"/>
        <v>336</v>
      </c>
      <c r="B341" s="2">
        <v>27.62</v>
      </c>
      <c r="C341" s="2">
        <v>66.398020833333362</v>
      </c>
      <c r="D341" s="2">
        <v>1.3182910000000001</v>
      </c>
      <c r="E341" s="2">
        <v>36.01</v>
      </c>
      <c r="F341" s="2">
        <v>93.2</v>
      </c>
      <c r="G341" s="2">
        <v>5.38</v>
      </c>
      <c r="H341" s="2">
        <v>20.92</v>
      </c>
      <c r="I341" s="2">
        <v>35.78</v>
      </c>
      <c r="J341" s="2">
        <v>0</v>
      </c>
      <c r="K341" s="3">
        <v>29.63</v>
      </c>
      <c r="L341" s="3">
        <v>16.726569999999999</v>
      </c>
      <c r="N341" s="6">
        <f t="shared" si="117"/>
        <v>3.807181811897332</v>
      </c>
      <c r="O341" s="6">
        <f t="shared" si="118"/>
        <v>20.801591521436013</v>
      </c>
      <c r="P341" s="6">
        <f t="shared" si="119"/>
        <v>4.0904748387096781</v>
      </c>
      <c r="Q341" s="6">
        <f t="shared" si="111"/>
        <v>6.8175584104895099</v>
      </c>
      <c r="R341" s="6">
        <f t="shared" si="120"/>
        <v>7.1111230686352496</v>
      </c>
      <c r="S341" s="6">
        <f t="shared" si="121"/>
        <v>10.990461188571427</v>
      </c>
      <c r="T341" s="6">
        <f t="shared" si="122"/>
        <v>7.3488573558269668</v>
      </c>
      <c r="U341" s="6">
        <f t="shared" si="123"/>
        <v>33.097540862420161</v>
      </c>
      <c r="X341" s="6"/>
      <c r="Y341" s="6"/>
      <c r="Z341" s="25"/>
      <c r="AA341" s="25"/>
      <c r="AB341" s="25"/>
      <c r="AC341" s="25"/>
      <c r="AD341" s="6">
        <f t="shared" si="112"/>
        <v>7.5449999999999982</v>
      </c>
      <c r="AE341" s="6">
        <f t="shared" si="113"/>
        <v>28.71</v>
      </c>
      <c r="AF341" s="6">
        <f t="shared" si="114"/>
        <v>4.5624104947519495</v>
      </c>
      <c r="AG341" s="6">
        <f t="shared" si="115"/>
        <v>2.0860063721828763</v>
      </c>
      <c r="AH341" s="6">
        <f t="shared" si="124"/>
        <v>1.2382020612845366</v>
      </c>
      <c r="AI341" s="6">
        <f t="shared" si="125"/>
        <v>8.4641041244907386E-2</v>
      </c>
      <c r="AJ341" s="6">
        <f t="shared" si="126"/>
        <v>0.35548781179479044</v>
      </c>
      <c r="AK341" s="6">
        <f t="shared" si="127"/>
        <v>0.88271424948974619</v>
      </c>
      <c r="AL341" s="6">
        <f t="shared" si="116"/>
        <v>0.75919999999999999</v>
      </c>
      <c r="AM341" s="6">
        <v>16.8</v>
      </c>
      <c r="AN341" s="6">
        <f>$X$17</f>
        <v>24.348064516129035</v>
      </c>
    </row>
    <row r="342" spans="1:40" x14ac:dyDescent="0.2">
      <c r="A342" s="1">
        <f t="shared" si="109"/>
        <v>337</v>
      </c>
      <c r="B342" s="2">
        <v>25.38</v>
      </c>
      <c r="C342" s="2">
        <v>84.38458333333331</v>
      </c>
      <c r="D342" s="2">
        <v>1.581413</v>
      </c>
      <c r="E342" s="2">
        <v>30.89</v>
      </c>
      <c r="F342" s="2">
        <v>100</v>
      </c>
      <c r="G342" s="2">
        <v>11.74</v>
      </c>
      <c r="H342" s="2">
        <v>21.02</v>
      </c>
      <c r="I342" s="2">
        <v>61.41</v>
      </c>
      <c r="J342" s="2">
        <v>4.3179999999999996</v>
      </c>
      <c r="K342" s="3">
        <v>15.8</v>
      </c>
      <c r="L342" s="3">
        <v>8.2992270000000001</v>
      </c>
      <c r="N342" s="6">
        <f t="shared" si="117"/>
        <v>3.807181811897332</v>
      </c>
      <c r="O342" s="6">
        <f t="shared" si="118"/>
        <v>20.801591521436013</v>
      </c>
      <c r="P342" s="6">
        <f t="shared" si="119"/>
        <v>4.0904748387096781</v>
      </c>
      <c r="Q342" s="6">
        <f t="shared" si="111"/>
        <v>5.241774479702312</v>
      </c>
      <c r="R342" s="6">
        <f t="shared" si="120"/>
        <v>5.4674857447269387</v>
      </c>
      <c r="S342" s="6">
        <f t="shared" si="121"/>
        <v>5.6876749714285699</v>
      </c>
      <c r="T342" s="6">
        <f t="shared" si="122"/>
        <v>4.6362269157333253</v>
      </c>
      <c r="U342" s="6">
        <f t="shared" si="123"/>
        <v>25.951915010052829</v>
      </c>
      <c r="X342" s="6"/>
      <c r="Y342" s="6"/>
      <c r="Z342" s="25"/>
      <c r="AA342" s="25"/>
      <c r="AB342" s="25"/>
      <c r="AC342" s="25"/>
      <c r="AD342" s="6">
        <f t="shared" si="112"/>
        <v>4.9350000000000005</v>
      </c>
      <c r="AE342" s="6">
        <f t="shared" si="113"/>
        <v>19.295000000000002</v>
      </c>
      <c r="AF342" s="6">
        <f t="shared" si="114"/>
        <v>3.5290191742895551</v>
      </c>
      <c r="AG342" s="6">
        <f t="shared" si="115"/>
        <v>2.0974068831102568</v>
      </c>
      <c r="AH342" s="6">
        <f t="shared" si="124"/>
        <v>0.71580614558964917</v>
      </c>
      <c r="AI342" s="6">
        <f t="shared" si="125"/>
        <v>4.9991203203500763E-2</v>
      </c>
      <c r="AJ342" s="6">
        <f t="shared" si="126"/>
        <v>0.13811479579152283</v>
      </c>
      <c r="AK342" s="6">
        <f t="shared" si="127"/>
        <v>0.57769134979812631</v>
      </c>
      <c r="AL342" s="6">
        <f t="shared" si="116"/>
        <v>0.7367999999999999</v>
      </c>
      <c r="AM342" s="6">
        <v>16.8</v>
      </c>
      <c r="AN342" s="6">
        <f t="shared" ref="AN342:AN371" si="128">$X$17</f>
        <v>24.348064516129035</v>
      </c>
    </row>
    <row r="343" spans="1:40" x14ac:dyDescent="0.2">
      <c r="A343" s="1">
        <f t="shared" si="109"/>
        <v>338</v>
      </c>
      <c r="B343" s="2">
        <v>22.47</v>
      </c>
      <c r="C343" s="2">
        <v>99.390624999999986</v>
      </c>
      <c r="D343" s="2">
        <v>1.2286060000000001</v>
      </c>
      <c r="E343" s="2">
        <v>25.38</v>
      </c>
      <c r="F343" s="2">
        <v>100</v>
      </c>
      <c r="G343" s="2">
        <v>6.13</v>
      </c>
      <c r="H343" s="2">
        <v>20.97</v>
      </c>
      <c r="I343" s="2">
        <v>89.2</v>
      </c>
      <c r="J343" s="2">
        <v>26.42</v>
      </c>
      <c r="K343" s="3">
        <v>5.6429999999999998</v>
      </c>
      <c r="L343" s="3">
        <v>0.97416700000000001</v>
      </c>
      <c r="N343" s="6">
        <f t="shared" si="117"/>
        <v>3.807181811897332</v>
      </c>
      <c r="O343" s="6">
        <f t="shared" si="118"/>
        <v>20.801591521436013</v>
      </c>
      <c r="P343" s="6">
        <f t="shared" si="119"/>
        <v>4.0904748387096781</v>
      </c>
      <c r="Q343" s="6">
        <f t="shared" si="111"/>
        <v>3.26766888</v>
      </c>
      <c r="R343" s="6">
        <f t="shared" si="120"/>
        <v>3.4083749861940791</v>
      </c>
      <c r="S343" s="6">
        <f t="shared" si="121"/>
        <v>1.9511349659999997</v>
      </c>
      <c r="T343" s="6">
        <f t="shared" si="122"/>
        <v>1.7620131931964145</v>
      </c>
      <c r="U343" s="6">
        <f t="shared" si="123"/>
        <v>18.463712881587131</v>
      </c>
      <c r="X343" s="6"/>
      <c r="Y343" s="6"/>
      <c r="Z343" s="25"/>
      <c r="AA343" s="25"/>
      <c r="AB343" s="25"/>
      <c r="AC343" s="25"/>
      <c r="AD343" s="6">
        <f t="shared" si="112"/>
        <v>2.2050000000000001</v>
      </c>
      <c r="AE343" s="6">
        <f t="shared" si="113"/>
        <v>5.3999999999999986</v>
      </c>
      <c r="AF343" s="6">
        <f t="shared" si="114"/>
        <v>2.6506070481308805</v>
      </c>
      <c r="AG343" s="6">
        <f t="shared" si="115"/>
        <v>2.0916998290912403</v>
      </c>
      <c r="AH343" s="6">
        <f t="shared" si="124"/>
        <v>0.27945360951982012</v>
      </c>
      <c r="AI343" s="6">
        <f t="shared" si="125"/>
        <v>1.9964227439531718E-2</v>
      </c>
      <c r="AJ343" s="6">
        <f t="shared" si="126"/>
        <v>1.5090494914070282E-2</v>
      </c>
      <c r="AK343" s="6">
        <f t="shared" si="127"/>
        <v>0.26436311460574985</v>
      </c>
      <c r="AL343" s="6">
        <f t="shared" si="116"/>
        <v>0.7077</v>
      </c>
      <c r="AM343" s="6">
        <v>16.8</v>
      </c>
      <c r="AN343" s="6">
        <f t="shared" si="128"/>
        <v>24.348064516129035</v>
      </c>
    </row>
    <row r="344" spans="1:40" x14ac:dyDescent="0.2">
      <c r="A344" s="1">
        <f t="shared" si="109"/>
        <v>339</v>
      </c>
      <c r="B344" s="2">
        <v>21.89</v>
      </c>
      <c r="C344" s="2">
        <v>84.455000000000013</v>
      </c>
      <c r="D344" s="2">
        <v>1.7469969999999999</v>
      </c>
      <c r="E344" s="2">
        <v>25.09</v>
      </c>
      <c r="F344" s="2">
        <v>100</v>
      </c>
      <c r="G344" s="2">
        <v>6.84</v>
      </c>
      <c r="H344" s="2">
        <v>19.190000000000001</v>
      </c>
      <c r="I344" s="2">
        <v>70.34</v>
      </c>
      <c r="J344" s="2">
        <v>1.016</v>
      </c>
      <c r="K344" s="3">
        <v>10.28</v>
      </c>
      <c r="L344" s="3">
        <v>4.9945209999999998</v>
      </c>
      <c r="N344" s="6">
        <f t="shared" si="117"/>
        <v>3.807181811897332</v>
      </c>
      <c r="O344" s="6">
        <f t="shared" si="118"/>
        <v>20.801591521436013</v>
      </c>
      <c r="P344" s="6">
        <f t="shared" si="119"/>
        <v>4.0904748387096781</v>
      </c>
      <c r="Q344" s="6">
        <f t="shared" si="111"/>
        <v>3.725153923091058</v>
      </c>
      <c r="R344" s="6">
        <f t="shared" si="120"/>
        <v>3.8855593750326083</v>
      </c>
      <c r="S344" s="6">
        <f t="shared" si="121"/>
        <v>3.5253027771428562</v>
      </c>
      <c r="T344" s="6">
        <f t="shared" si="122"/>
        <v>2.2467990028888338</v>
      </c>
      <c r="U344" s="6">
        <f t="shared" si="123"/>
        <v>17.192760923401003</v>
      </c>
      <c r="X344" s="6"/>
      <c r="Y344" s="6"/>
      <c r="Z344" s="25"/>
      <c r="AA344" s="25"/>
      <c r="AB344" s="25"/>
      <c r="AC344" s="25"/>
      <c r="AD344" s="6">
        <f t="shared" si="112"/>
        <v>2.9499999999999993</v>
      </c>
      <c r="AE344" s="6">
        <f t="shared" si="113"/>
        <v>14.829999999999998</v>
      </c>
      <c r="AF344" s="6">
        <f t="shared" si="114"/>
        <v>2.6102109959796054</v>
      </c>
      <c r="AG344" s="6">
        <f t="shared" si="115"/>
        <v>1.8971833962172915</v>
      </c>
      <c r="AH344" s="6">
        <f t="shared" si="124"/>
        <v>0.35651379988115695</v>
      </c>
      <c r="AI344" s="6">
        <f t="shared" si="125"/>
        <v>2.5311711190766317E-2</v>
      </c>
      <c r="AJ344" s="6">
        <f t="shared" si="126"/>
        <v>5.287099652237557E-2</v>
      </c>
      <c r="AK344" s="6">
        <f t="shared" si="127"/>
        <v>0.30364280335878135</v>
      </c>
      <c r="AL344" s="6">
        <f t="shared" si="116"/>
        <v>0.70189999999999997</v>
      </c>
      <c r="AM344" s="6">
        <v>16.8</v>
      </c>
      <c r="AN344" s="6">
        <f t="shared" si="128"/>
        <v>24.348064516129035</v>
      </c>
    </row>
    <row r="345" spans="1:40" x14ac:dyDescent="0.2">
      <c r="A345" s="1">
        <f t="shared" si="109"/>
        <v>340</v>
      </c>
      <c r="B345" s="2">
        <v>23.57</v>
      </c>
      <c r="C345" s="2">
        <v>85.59333333333332</v>
      </c>
      <c r="D345" s="2">
        <v>1.2033720000000001</v>
      </c>
      <c r="E345" s="2">
        <v>31.7</v>
      </c>
      <c r="F345" s="2">
        <v>100</v>
      </c>
      <c r="G345" s="2">
        <v>7.33</v>
      </c>
      <c r="H345" s="2">
        <v>19.239999999999998</v>
      </c>
      <c r="I345" s="2">
        <v>57.2</v>
      </c>
      <c r="J345" s="2">
        <v>17.27</v>
      </c>
      <c r="K345" s="3">
        <v>21.81</v>
      </c>
      <c r="L345" s="3">
        <v>12.774139999999999</v>
      </c>
      <c r="N345" s="6">
        <f t="shared" si="117"/>
        <v>3.807181811897332</v>
      </c>
      <c r="O345" s="6">
        <f t="shared" si="118"/>
        <v>20.801591521436013</v>
      </c>
      <c r="P345" s="6">
        <f t="shared" si="119"/>
        <v>4.0904748387096781</v>
      </c>
      <c r="Q345" s="6">
        <f t="shared" si="111"/>
        <v>5.6426311208415738</v>
      </c>
      <c r="R345" s="6">
        <f t="shared" si="120"/>
        <v>5.8856033077000998</v>
      </c>
      <c r="S345" s="6">
        <f t="shared" si="121"/>
        <v>7.6582823914285703</v>
      </c>
      <c r="T345" s="6">
        <f t="shared" si="122"/>
        <v>5.5333970271343791</v>
      </c>
      <c r="U345" s="6">
        <f t="shared" si="123"/>
        <v>21.082295607481722</v>
      </c>
      <c r="X345" s="6"/>
      <c r="Y345" s="6"/>
      <c r="Z345" s="25"/>
      <c r="AA345" s="25"/>
      <c r="AB345" s="25"/>
      <c r="AC345" s="25"/>
      <c r="AD345" s="6">
        <f t="shared" si="112"/>
        <v>6.23</v>
      </c>
      <c r="AE345" s="6">
        <f t="shared" si="113"/>
        <v>21.4</v>
      </c>
      <c r="AF345" s="6">
        <f t="shared" si="114"/>
        <v>3.6774722729797391</v>
      </c>
      <c r="AG345" s="6">
        <f t="shared" si="115"/>
        <v>1.9024230024248228</v>
      </c>
      <c r="AH345" s="6">
        <f t="shared" si="124"/>
        <v>0.88752463527745817</v>
      </c>
      <c r="AI345" s="6">
        <f t="shared" si="125"/>
        <v>6.1326394622363563E-2</v>
      </c>
      <c r="AJ345" s="6">
        <f t="shared" si="126"/>
        <v>0.18993027194937603</v>
      </c>
      <c r="AK345" s="6">
        <f t="shared" si="127"/>
        <v>0.69759436332808211</v>
      </c>
      <c r="AL345" s="6">
        <f t="shared" si="116"/>
        <v>0.71870000000000001</v>
      </c>
      <c r="AM345" s="6">
        <v>16.8</v>
      </c>
      <c r="AN345" s="6">
        <f t="shared" si="128"/>
        <v>24.348064516129035</v>
      </c>
    </row>
    <row r="346" spans="1:40" x14ac:dyDescent="0.2">
      <c r="A346" s="1">
        <f t="shared" si="109"/>
        <v>341</v>
      </c>
      <c r="B346" s="2">
        <v>26.68</v>
      </c>
      <c r="C346" s="2">
        <v>76.831250000000011</v>
      </c>
      <c r="D346" s="2">
        <v>1.388231</v>
      </c>
      <c r="E346" s="2">
        <v>34.26</v>
      </c>
      <c r="F346" s="2">
        <v>100</v>
      </c>
      <c r="G346" s="2">
        <v>6.84</v>
      </c>
      <c r="H346" s="2">
        <v>20.91</v>
      </c>
      <c r="I346" s="2">
        <v>43.85</v>
      </c>
      <c r="J346" s="2">
        <v>0</v>
      </c>
      <c r="K346" s="3">
        <v>24.97</v>
      </c>
      <c r="L346" s="3">
        <v>13.951180000000001</v>
      </c>
      <c r="N346" s="6">
        <f t="shared" si="117"/>
        <v>3.807181811897332</v>
      </c>
      <c r="O346" s="6">
        <f t="shared" si="118"/>
        <v>20.801591521436013</v>
      </c>
      <c r="P346" s="6">
        <f t="shared" si="119"/>
        <v>4.0904748387096781</v>
      </c>
      <c r="Q346" s="6">
        <f t="shared" si="111"/>
        <v>6.279752524190747</v>
      </c>
      <c r="R346" s="6">
        <f t="shared" si="120"/>
        <v>6.5501592140941982</v>
      </c>
      <c r="S346" s="6">
        <f t="shared" si="121"/>
        <v>9.1472815028571421</v>
      </c>
      <c r="T346" s="6">
        <f t="shared" si="122"/>
        <v>6.1949336559748671</v>
      </c>
      <c r="U346" s="6">
        <f t="shared" si="123"/>
        <v>29.937032278513438</v>
      </c>
      <c r="X346" s="6"/>
      <c r="Y346" s="6"/>
      <c r="Z346" s="25"/>
      <c r="AA346" s="25"/>
      <c r="AB346" s="25"/>
      <c r="AC346" s="25"/>
      <c r="AD346" s="6">
        <f t="shared" si="112"/>
        <v>6.6749999999999989</v>
      </c>
      <c r="AE346" s="6">
        <f t="shared" si="113"/>
        <v>28.074999999999999</v>
      </c>
      <c r="AF346" s="6">
        <f t="shared" si="114"/>
        <v>4.1830008452891452</v>
      </c>
      <c r="AG346" s="6">
        <f t="shared" si="115"/>
        <v>2.0848693100370528</v>
      </c>
      <c r="AH346" s="6">
        <f t="shared" si="124"/>
        <v>1.0490657676260462</v>
      </c>
      <c r="AI346" s="6">
        <f t="shared" si="125"/>
        <v>7.2224412261839441E-2</v>
      </c>
      <c r="AJ346" s="6">
        <f t="shared" si="126"/>
        <v>0.29452521426101247</v>
      </c>
      <c r="AK346" s="6">
        <f t="shared" si="127"/>
        <v>0.75454055336503378</v>
      </c>
      <c r="AL346" s="6">
        <f t="shared" si="116"/>
        <v>0.74980000000000002</v>
      </c>
      <c r="AM346" s="6">
        <v>16.8</v>
      </c>
      <c r="AN346" s="6">
        <f t="shared" si="128"/>
        <v>24.348064516129035</v>
      </c>
    </row>
    <row r="347" spans="1:40" x14ac:dyDescent="0.2">
      <c r="A347" s="1">
        <f t="shared" si="109"/>
        <v>342</v>
      </c>
      <c r="B347" s="2">
        <v>28.01</v>
      </c>
      <c r="C347" s="2">
        <v>67.087190000000007</v>
      </c>
      <c r="D347" s="2">
        <v>1.4622219999999999</v>
      </c>
      <c r="E347" s="2">
        <v>34.74</v>
      </c>
      <c r="F347" s="2">
        <v>100</v>
      </c>
      <c r="G347" s="2">
        <v>9.2799999999999994</v>
      </c>
      <c r="H347" s="2">
        <v>21.97</v>
      </c>
      <c r="I347" s="2">
        <v>32.93</v>
      </c>
      <c r="J347" s="2">
        <v>0</v>
      </c>
      <c r="K347" s="3">
        <v>27.07</v>
      </c>
      <c r="L347" s="3">
        <v>14.46293</v>
      </c>
      <c r="N347" s="6">
        <f t="shared" si="117"/>
        <v>3.807181811897332</v>
      </c>
      <c r="O347" s="6">
        <f t="shared" si="118"/>
        <v>20.801591521436013</v>
      </c>
      <c r="P347" s="6">
        <f t="shared" si="119"/>
        <v>4.0904748387096781</v>
      </c>
      <c r="Q347" s="6">
        <f t="shared" si="111"/>
        <v>6.3254708421086177</v>
      </c>
      <c r="R347" s="6">
        <f t="shared" si="120"/>
        <v>6.5978461667581838</v>
      </c>
      <c r="S347" s="6">
        <f t="shared" si="121"/>
        <v>10.092477162857142</v>
      </c>
      <c r="T347" s="6">
        <f t="shared" si="122"/>
        <v>6.1508077052584715</v>
      </c>
      <c r="U347" s="6">
        <f t="shared" si="123"/>
        <v>34.476933781079282</v>
      </c>
      <c r="X347" s="6"/>
      <c r="Y347" s="6"/>
      <c r="Z347" s="25"/>
      <c r="AA347" s="25"/>
      <c r="AB347" s="25"/>
      <c r="AC347" s="25"/>
      <c r="AD347" s="6">
        <f t="shared" si="112"/>
        <v>6.3850000000000016</v>
      </c>
      <c r="AE347" s="6">
        <f t="shared" si="113"/>
        <v>33.534999999999997</v>
      </c>
      <c r="AF347" s="6">
        <f t="shared" si="114"/>
        <v>4.2842314048701926</v>
      </c>
      <c r="AG347" s="6">
        <f t="shared" si="115"/>
        <v>2.2084612118532378</v>
      </c>
      <c r="AH347" s="6">
        <f t="shared" si="124"/>
        <v>1.0378850965084774</v>
      </c>
      <c r="AI347" s="6">
        <f t="shared" si="125"/>
        <v>7.1624835195237838E-2</v>
      </c>
      <c r="AJ347" s="6">
        <f t="shared" si="126"/>
        <v>0.34805476711411787</v>
      </c>
      <c r="AK347" s="6">
        <f t="shared" si="127"/>
        <v>0.68983032939435951</v>
      </c>
      <c r="AL347" s="6">
        <f t="shared" si="116"/>
        <v>0.7631</v>
      </c>
      <c r="AM347" s="6">
        <v>16.8</v>
      </c>
      <c r="AN347" s="6">
        <f t="shared" si="128"/>
        <v>24.348064516129035</v>
      </c>
    </row>
    <row r="348" spans="1:40" x14ac:dyDescent="0.2">
      <c r="A348" s="1">
        <f t="shared" si="109"/>
        <v>343</v>
      </c>
      <c r="B348" s="2">
        <v>23.95</v>
      </c>
      <c r="C348" s="2">
        <v>86.112290000000002</v>
      </c>
      <c r="D348" s="2">
        <v>1.1207199999999999</v>
      </c>
      <c r="E348" s="2">
        <v>29.07</v>
      </c>
      <c r="F348" s="2">
        <v>100</v>
      </c>
      <c r="G348" s="2">
        <v>7.78</v>
      </c>
      <c r="H348" s="2">
        <v>20.39</v>
      </c>
      <c r="I348" s="2">
        <v>60.96</v>
      </c>
      <c r="J348" s="2">
        <v>0</v>
      </c>
      <c r="K348" s="3">
        <v>14.53</v>
      </c>
      <c r="L348" s="3">
        <v>7.0318839999999998</v>
      </c>
      <c r="N348" s="6">
        <f t="shared" si="117"/>
        <v>3.807181811897332</v>
      </c>
      <c r="O348" s="6">
        <f t="shared" si="118"/>
        <v>20.801591521436013</v>
      </c>
      <c r="P348" s="6">
        <f t="shared" si="119"/>
        <v>4.0904748387096781</v>
      </c>
      <c r="Q348" s="6">
        <f t="shared" si="111"/>
        <v>4.7528429081668584</v>
      </c>
      <c r="R348" s="6">
        <f t="shared" si="120"/>
        <v>4.9575007371939845</v>
      </c>
      <c r="S348" s="6">
        <f t="shared" si="121"/>
        <v>5.1289862142857121</v>
      </c>
      <c r="T348" s="6">
        <f t="shared" si="122"/>
        <v>3.667282659500295</v>
      </c>
      <c r="U348" s="6">
        <f t="shared" si="123"/>
        <v>22.043144253408784</v>
      </c>
      <c r="X348" s="6"/>
      <c r="Y348" s="6"/>
      <c r="Z348" s="25"/>
      <c r="AA348" s="25"/>
      <c r="AB348" s="25"/>
      <c r="AC348" s="25"/>
      <c r="AD348" s="6">
        <f t="shared" si="112"/>
        <v>4.34</v>
      </c>
      <c r="AE348" s="6">
        <f t="shared" si="113"/>
        <v>19.52</v>
      </c>
      <c r="AF348" s="6">
        <f t="shared" si="114"/>
        <v>3.2143627473281886</v>
      </c>
      <c r="AG348" s="6">
        <f t="shared" si="115"/>
        <v>2.0264846157252028</v>
      </c>
      <c r="AH348" s="6">
        <f t="shared" si="124"/>
        <v>0.59393906580149292</v>
      </c>
      <c r="AI348" s="6">
        <f t="shared" si="125"/>
        <v>4.1684653085121051E-2</v>
      </c>
      <c r="AJ348" s="6">
        <f t="shared" si="126"/>
        <v>0.11593690564445142</v>
      </c>
      <c r="AK348" s="6">
        <f t="shared" si="127"/>
        <v>0.4780021601570415</v>
      </c>
      <c r="AL348" s="6">
        <f t="shared" si="116"/>
        <v>0.72249999999999992</v>
      </c>
      <c r="AM348" s="6">
        <v>16.8</v>
      </c>
      <c r="AN348" s="6">
        <f t="shared" si="128"/>
        <v>24.348064516129035</v>
      </c>
    </row>
    <row r="349" spans="1:40" x14ac:dyDescent="0.2">
      <c r="A349" s="1">
        <f t="shared" si="109"/>
        <v>344</v>
      </c>
      <c r="B349" s="2">
        <v>24.55</v>
      </c>
      <c r="C349" s="2">
        <v>85.323229166666664</v>
      </c>
      <c r="D349" s="2">
        <v>1.110762</v>
      </c>
      <c r="E349" s="2">
        <v>29.83</v>
      </c>
      <c r="F349" s="2">
        <v>100</v>
      </c>
      <c r="G349" s="2">
        <v>5.71</v>
      </c>
      <c r="H349" s="2">
        <v>20.58</v>
      </c>
      <c r="I349" s="2">
        <v>58.46</v>
      </c>
      <c r="J349" s="2">
        <v>0</v>
      </c>
      <c r="K349" s="3">
        <v>19.47</v>
      </c>
      <c r="L349" s="3">
        <v>11.19576</v>
      </c>
      <c r="N349" s="6">
        <f t="shared" si="117"/>
        <v>3.807181811897332</v>
      </c>
      <c r="O349" s="6">
        <f t="shared" si="118"/>
        <v>20.801591521436013</v>
      </c>
      <c r="P349" s="6">
        <f t="shared" si="119"/>
        <v>4.0904748387096781</v>
      </c>
      <c r="Q349" s="6">
        <f t="shared" si="111"/>
        <v>4.9769284678150649</v>
      </c>
      <c r="R349" s="6">
        <f t="shared" si="120"/>
        <v>5.1912354405315666</v>
      </c>
      <c r="S349" s="6">
        <f t="shared" si="121"/>
        <v>6.9298458428571417</v>
      </c>
      <c r="T349" s="6">
        <f t="shared" si="122"/>
        <v>4.0772512145410884</v>
      </c>
      <c r="U349" s="6">
        <f t="shared" si="123"/>
        <v>23.626037518596171</v>
      </c>
      <c r="X349" s="6"/>
      <c r="Y349" s="6"/>
      <c r="Z349" s="25"/>
      <c r="AA349" s="25"/>
      <c r="AB349" s="25"/>
      <c r="AC349" s="25"/>
      <c r="AD349" s="6">
        <f t="shared" si="112"/>
        <v>4.625</v>
      </c>
      <c r="AE349" s="6">
        <f t="shared" si="113"/>
        <v>20.77</v>
      </c>
      <c r="AF349" s="6">
        <f t="shared" si="114"/>
        <v>3.342649897983117</v>
      </c>
      <c r="AG349" s="6">
        <f t="shared" si="115"/>
        <v>2.0476493292764739</v>
      </c>
      <c r="AH349" s="6">
        <f t="shared" si="124"/>
        <v>0.64750028435332152</v>
      </c>
      <c r="AI349" s="6">
        <f t="shared" si="125"/>
        <v>4.5336753541667843E-2</v>
      </c>
      <c r="AJ349" s="6">
        <f t="shared" si="126"/>
        <v>0.1344858090601849</v>
      </c>
      <c r="AK349" s="6">
        <f t="shared" si="127"/>
        <v>0.5130144752931366</v>
      </c>
      <c r="AL349" s="6">
        <f t="shared" si="116"/>
        <v>0.72850000000000004</v>
      </c>
      <c r="AM349" s="6">
        <v>16.8</v>
      </c>
      <c r="AN349" s="6">
        <f t="shared" si="128"/>
        <v>24.348064516129035</v>
      </c>
    </row>
    <row r="350" spans="1:40" x14ac:dyDescent="0.2">
      <c r="A350" s="1">
        <f t="shared" si="109"/>
        <v>345</v>
      </c>
      <c r="B350" s="2">
        <v>23.55</v>
      </c>
      <c r="C350" s="2">
        <v>90.024166666666645</v>
      </c>
      <c r="D350" s="2">
        <v>1.4755739999999999</v>
      </c>
      <c r="E350" s="2">
        <v>30.6</v>
      </c>
      <c r="F350" s="2">
        <v>100</v>
      </c>
      <c r="G350" s="2">
        <v>9.0399999999999991</v>
      </c>
      <c r="H350" s="2">
        <v>18.52</v>
      </c>
      <c r="I350" s="2">
        <v>57.81</v>
      </c>
      <c r="J350" s="2">
        <v>9.4</v>
      </c>
      <c r="K350" s="3">
        <v>15.22</v>
      </c>
      <c r="L350" s="3">
        <v>7.5708469999999997</v>
      </c>
      <c r="N350" s="6">
        <f t="shared" si="117"/>
        <v>3.807181811897332</v>
      </c>
      <c r="O350" s="6">
        <f t="shared" si="118"/>
        <v>20.801591521436013</v>
      </c>
      <c r="P350" s="6">
        <f t="shared" si="119"/>
        <v>4.0904748387096781</v>
      </c>
      <c r="Q350" s="6">
        <f t="shared" si="111"/>
        <v>5.5532355956079948</v>
      </c>
      <c r="R350" s="6">
        <f t="shared" si="120"/>
        <v>5.7923584033743554</v>
      </c>
      <c r="S350" s="6">
        <f t="shared" si="121"/>
        <v>5.3428070571428572</v>
      </c>
      <c r="T350" s="6">
        <f t="shared" si="122"/>
        <v>4.8824999570967611</v>
      </c>
      <c r="U350" s="6">
        <f t="shared" si="123"/>
        <v>21.030008023087767</v>
      </c>
      <c r="X350" s="6"/>
      <c r="Y350" s="6"/>
      <c r="Z350" s="25"/>
      <c r="AA350" s="25"/>
      <c r="AB350" s="25"/>
      <c r="AC350" s="25"/>
      <c r="AD350" s="6">
        <f t="shared" si="112"/>
        <v>6.0400000000000009</v>
      </c>
      <c r="AE350" s="6">
        <f t="shared" si="113"/>
        <v>21.094999999999999</v>
      </c>
      <c r="AF350" s="6">
        <f t="shared" si="114"/>
        <v>3.4771532833275658</v>
      </c>
      <c r="AG350" s="6">
        <f t="shared" si="115"/>
        <v>1.8281825237777591</v>
      </c>
      <c r="AH350" s="6">
        <f t="shared" si="124"/>
        <v>0.82448537977490333</v>
      </c>
      <c r="AI350" s="6">
        <f t="shared" si="125"/>
        <v>5.7059492619346404E-2</v>
      </c>
      <c r="AJ350" s="6">
        <f t="shared" si="126"/>
        <v>0.17392519086351585</v>
      </c>
      <c r="AK350" s="6">
        <f t="shared" si="127"/>
        <v>0.65056018891138745</v>
      </c>
      <c r="AL350" s="6">
        <f t="shared" si="116"/>
        <v>0.71850000000000003</v>
      </c>
      <c r="AM350" s="6">
        <v>16.8</v>
      </c>
      <c r="AN350" s="6">
        <f t="shared" si="128"/>
        <v>24.348064516129035</v>
      </c>
    </row>
    <row r="351" spans="1:40" x14ac:dyDescent="0.2">
      <c r="A351" s="1">
        <f t="shared" si="109"/>
        <v>346</v>
      </c>
      <c r="B351" s="2">
        <v>22.48</v>
      </c>
      <c r="C351" s="2">
        <v>74.205624999999984</v>
      </c>
      <c r="D351" s="2">
        <v>1.8041320000000001</v>
      </c>
      <c r="E351" s="2">
        <v>29.59</v>
      </c>
      <c r="F351" s="2">
        <v>100</v>
      </c>
      <c r="G351" s="2">
        <v>10.210000000000001</v>
      </c>
      <c r="H351" s="2">
        <v>16.84</v>
      </c>
      <c r="I351" s="2">
        <v>42.41</v>
      </c>
      <c r="J351" s="2">
        <v>0</v>
      </c>
      <c r="K351" s="3">
        <v>25.47</v>
      </c>
      <c r="L351" s="3">
        <v>12.9398</v>
      </c>
      <c r="N351" s="6">
        <f t="shared" si="117"/>
        <v>3.807181811897332</v>
      </c>
      <c r="O351" s="6">
        <f t="shared" si="118"/>
        <v>20.801591521436013</v>
      </c>
      <c r="P351" s="6">
        <f t="shared" si="119"/>
        <v>4.0904748387096781</v>
      </c>
      <c r="Q351" s="6">
        <f t="shared" si="111"/>
        <v>5.5575281608049609</v>
      </c>
      <c r="R351" s="6">
        <f t="shared" si="120"/>
        <v>5.7968358068020693</v>
      </c>
      <c r="S351" s="6">
        <f t="shared" si="121"/>
        <v>8.8078025314285693</v>
      </c>
      <c r="T351" s="6">
        <f t="shared" si="122"/>
        <v>5.2198124238837611</v>
      </c>
      <c r="U351" s="6">
        <f t="shared" si="123"/>
        <v>18.499987346830743</v>
      </c>
      <c r="X351" s="6"/>
      <c r="Y351" s="6"/>
      <c r="Z351" s="25"/>
      <c r="AA351" s="25"/>
      <c r="AB351" s="25"/>
      <c r="AC351" s="25"/>
      <c r="AD351" s="6">
        <f t="shared" si="112"/>
        <v>6.375</v>
      </c>
      <c r="AE351" s="6">
        <f t="shared" si="113"/>
        <v>28.795000000000002</v>
      </c>
      <c r="AF351" s="6">
        <f t="shared" si="114"/>
        <v>3.3016645483551526</v>
      </c>
      <c r="AG351" s="6">
        <f t="shared" si="115"/>
        <v>1.6647472393319052</v>
      </c>
      <c r="AH351" s="6">
        <f t="shared" si="124"/>
        <v>0.8184586545116237</v>
      </c>
      <c r="AI351" s="6">
        <f t="shared" si="125"/>
        <v>5.6486771057227846E-2</v>
      </c>
      <c r="AJ351" s="6">
        <f t="shared" si="126"/>
        <v>0.23567516956662207</v>
      </c>
      <c r="AK351" s="6">
        <f t="shared" si="127"/>
        <v>0.58278348494500165</v>
      </c>
      <c r="AL351" s="6">
        <f t="shared" si="116"/>
        <v>0.70779999999999998</v>
      </c>
      <c r="AM351" s="6">
        <v>16.8</v>
      </c>
      <c r="AN351" s="6">
        <f t="shared" si="128"/>
        <v>24.348064516129035</v>
      </c>
    </row>
    <row r="352" spans="1:40" x14ac:dyDescent="0.2">
      <c r="A352" s="1">
        <f t="shared" si="109"/>
        <v>347</v>
      </c>
      <c r="B352" s="2">
        <v>23.62</v>
      </c>
      <c r="C352" s="2">
        <v>65.70354166666668</v>
      </c>
      <c r="D352" s="2">
        <v>1.463565</v>
      </c>
      <c r="E352" s="2">
        <v>31.27</v>
      </c>
      <c r="F352" s="2">
        <v>93.1</v>
      </c>
      <c r="G352" s="2">
        <v>7.86</v>
      </c>
      <c r="H352" s="2">
        <v>17.12</v>
      </c>
      <c r="I352" s="2">
        <v>28.41</v>
      </c>
      <c r="J352" s="2">
        <v>0</v>
      </c>
      <c r="K352" s="3">
        <v>29.29</v>
      </c>
      <c r="L352" s="3">
        <v>15.44093</v>
      </c>
      <c r="N352" s="6">
        <f t="shared" si="117"/>
        <v>3.807181811897332</v>
      </c>
      <c r="O352" s="6">
        <f t="shared" si="118"/>
        <v>20.801591521436013</v>
      </c>
      <c r="P352" s="6">
        <f t="shared" si="119"/>
        <v>4.0904748387096781</v>
      </c>
      <c r="Q352" s="6">
        <f t="shared" si="111"/>
        <v>6.0204011804691362</v>
      </c>
      <c r="R352" s="6">
        <f t="shared" si="120"/>
        <v>6.2796401789536</v>
      </c>
      <c r="S352" s="6">
        <f t="shared" si="121"/>
        <v>10.291936937142857</v>
      </c>
      <c r="T352" s="6">
        <f t="shared" si="122"/>
        <v>5.9612772254379562</v>
      </c>
      <c r="U352" s="6">
        <f t="shared" si="123"/>
        <v>21.218533972685957</v>
      </c>
      <c r="X352" s="6"/>
      <c r="Y352" s="6"/>
      <c r="Z352" s="25"/>
      <c r="AA352" s="25"/>
      <c r="AB352" s="25"/>
      <c r="AC352" s="25"/>
      <c r="AD352" s="6">
        <f t="shared" si="112"/>
        <v>7.0749999999999993</v>
      </c>
      <c r="AE352" s="6">
        <f t="shared" si="113"/>
        <v>32.344999999999999</v>
      </c>
      <c r="AF352" s="6">
        <f t="shared" si="114"/>
        <v>3.59800065838155</v>
      </c>
      <c r="AG352" s="6">
        <f t="shared" si="115"/>
        <v>1.6910619652393883</v>
      </c>
      <c r="AH352" s="6">
        <f t="shared" si="124"/>
        <v>0.95346934657108084</v>
      </c>
      <c r="AI352" s="6">
        <f t="shared" si="125"/>
        <v>6.5428225211475732E-2</v>
      </c>
      <c r="AJ352" s="6">
        <f t="shared" si="126"/>
        <v>0.30839966014841608</v>
      </c>
      <c r="AK352" s="6">
        <f t="shared" si="127"/>
        <v>0.64506968642266482</v>
      </c>
      <c r="AL352" s="6">
        <f t="shared" si="116"/>
        <v>0.71920000000000006</v>
      </c>
      <c r="AM352" s="6">
        <v>16.8</v>
      </c>
      <c r="AN352" s="6">
        <f t="shared" si="128"/>
        <v>24.348064516129035</v>
      </c>
    </row>
    <row r="353" spans="1:40" x14ac:dyDescent="0.2">
      <c r="A353" s="1">
        <f t="shared" si="109"/>
        <v>348</v>
      </c>
      <c r="B353" s="2">
        <v>23.71</v>
      </c>
      <c r="C353" s="2">
        <v>74.9270833333333</v>
      </c>
      <c r="D353" s="2">
        <v>0.96586870000000002</v>
      </c>
      <c r="E353" s="2">
        <v>30.74</v>
      </c>
      <c r="F353" s="2">
        <v>100</v>
      </c>
      <c r="G353" s="2">
        <v>5.0599999999999996</v>
      </c>
      <c r="H353" s="2">
        <v>17.13</v>
      </c>
      <c r="I353" s="2">
        <v>44.22</v>
      </c>
      <c r="J353" s="2">
        <v>0</v>
      </c>
      <c r="K353" s="3">
        <v>18.29</v>
      </c>
      <c r="L353" s="3">
        <v>8.8286669999999994</v>
      </c>
      <c r="N353" s="6">
        <f t="shared" si="117"/>
        <v>3.807181811897332</v>
      </c>
      <c r="O353" s="6">
        <f t="shared" si="118"/>
        <v>20.801591521436013</v>
      </c>
      <c r="P353" s="6">
        <f t="shared" si="119"/>
        <v>4.0904748387096781</v>
      </c>
      <c r="Q353" s="6">
        <f t="shared" si="111"/>
        <v>5.9172363123279936</v>
      </c>
      <c r="R353" s="6">
        <f t="shared" si="120"/>
        <v>6.172033022617037</v>
      </c>
      <c r="S353" s="6">
        <f t="shared" si="121"/>
        <v>6.4347930257142849</v>
      </c>
      <c r="T353" s="6">
        <f t="shared" si="122"/>
        <v>4.7530156953542821</v>
      </c>
      <c r="U353" s="6">
        <f t="shared" si="123"/>
        <v>21.439000608616503</v>
      </c>
      <c r="X353" s="6"/>
      <c r="Y353" s="6"/>
      <c r="Z353" s="25"/>
      <c r="AA353" s="25"/>
      <c r="AB353" s="25"/>
      <c r="AC353" s="25"/>
      <c r="AD353" s="6">
        <f t="shared" si="112"/>
        <v>6.8049999999999997</v>
      </c>
      <c r="AE353" s="6">
        <f t="shared" si="113"/>
        <v>27.89</v>
      </c>
      <c r="AF353" s="6">
        <f t="shared" si="114"/>
        <v>3.5021084707355521</v>
      </c>
      <c r="AG353" s="6">
        <f t="shared" si="115"/>
        <v>1.6920084848635848</v>
      </c>
      <c r="AH353" s="6">
        <f t="shared" si="124"/>
        <v>0.90504999293598365</v>
      </c>
      <c r="AI353" s="6">
        <f t="shared" si="125"/>
        <v>6.2243094072179685E-2</v>
      </c>
      <c r="AJ353" s="6">
        <f t="shared" si="126"/>
        <v>0.25241844302984584</v>
      </c>
      <c r="AK353" s="6">
        <f t="shared" si="127"/>
        <v>0.65263154990613781</v>
      </c>
      <c r="AL353" s="6">
        <f t="shared" si="116"/>
        <v>0.72009999999999996</v>
      </c>
      <c r="AM353" s="6">
        <v>16.8</v>
      </c>
      <c r="AN353" s="6">
        <f t="shared" si="128"/>
        <v>24.348064516129035</v>
      </c>
    </row>
    <row r="354" spans="1:40" x14ac:dyDescent="0.2">
      <c r="A354" s="1">
        <f t="shared" si="109"/>
        <v>349</v>
      </c>
      <c r="B354" s="2">
        <v>22.43</v>
      </c>
      <c r="C354" s="2">
        <v>92.002399999999994</v>
      </c>
      <c r="D354" s="2">
        <v>1.1432530000000001</v>
      </c>
      <c r="E354" s="2">
        <v>25.62</v>
      </c>
      <c r="F354" s="2">
        <v>100</v>
      </c>
      <c r="G354" s="2">
        <v>6.03</v>
      </c>
      <c r="H354" s="2">
        <v>20.100000000000001</v>
      </c>
      <c r="I354" s="2">
        <v>72.39</v>
      </c>
      <c r="J354" s="2">
        <v>3.81</v>
      </c>
      <c r="K354" s="3">
        <v>9.26</v>
      </c>
      <c r="L354" s="3">
        <v>2.0039729999999998</v>
      </c>
      <c r="N354" s="6">
        <f t="shared" si="117"/>
        <v>3.807181811897332</v>
      </c>
      <c r="O354" s="6">
        <f t="shared" si="118"/>
        <v>20.801591521436013</v>
      </c>
      <c r="P354" s="6">
        <f t="shared" si="119"/>
        <v>4.0904748387096781</v>
      </c>
      <c r="Q354" s="6">
        <f t="shared" si="111"/>
        <v>3.6522179715072318</v>
      </c>
      <c r="R354" s="6">
        <f t="shared" si="120"/>
        <v>3.8094827950296262</v>
      </c>
      <c r="S354" s="6">
        <f t="shared" si="121"/>
        <v>3.1999464514285711</v>
      </c>
      <c r="T354" s="6">
        <f t="shared" si="122"/>
        <v>2.1075294619784115</v>
      </c>
      <c r="U354" s="6">
        <f t="shared" si="123"/>
        <v>18.377404706064439</v>
      </c>
      <c r="X354" s="6"/>
      <c r="Y354" s="6"/>
      <c r="Z354" s="25"/>
      <c r="AA354" s="25"/>
      <c r="AB354" s="25"/>
      <c r="AC354" s="25"/>
      <c r="AD354" s="6">
        <f t="shared" si="112"/>
        <v>2.76</v>
      </c>
      <c r="AE354" s="6">
        <f t="shared" si="113"/>
        <v>13.805</v>
      </c>
      <c r="AF354" s="6">
        <f t="shared" si="114"/>
        <v>2.6844501348522289</v>
      </c>
      <c r="AG354" s="6">
        <f t="shared" si="115"/>
        <v>1.9945498319680648</v>
      </c>
      <c r="AH354" s="6">
        <f t="shared" si="124"/>
        <v>0.34495015144208208</v>
      </c>
      <c r="AI354" s="6">
        <f t="shared" si="125"/>
        <v>2.4529499699862799E-2</v>
      </c>
      <c r="AJ354" s="6">
        <f t="shared" si="126"/>
        <v>4.7620368406579426E-2</v>
      </c>
      <c r="AK354" s="6">
        <f t="shared" si="127"/>
        <v>0.29732978303550267</v>
      </c>
      <c r="AL354" s="6">
        <f t="shared" si="116"/>
        <v>0.70730000000000004</v>
      </c>
      <c r="AM354" s="6">
        <v>16.8</v>
      </c>
      <c r="AN354" s="6">
        <f t="shared" si="128"/>
        <v>24.348064516129035</v>
      </c>
    </row>
    <row r="355" spans="1:40" x14ac:dyDescent="0.2">
      <c r="A355" s="1">
        <f t="shared" si="109"/>
        <v>350</v>
      </c>
      <c r="B355" s="2">
        <v>24.96</v>
      </c>
      <c r="C355" s="2">
        <v>76.392709999999994</v>
      </c>
      <c r="D355" s="2">
        <v>1.5947180000000001</v>
      </c>
      <c r="E355" s="2">
        <v>31.37</v>
      </c>
      <c r="F355" s="2">
        <v>100</v>
      </c>
      <c r="G355" s="2">
        <v>9.18</v>
      </c>
      <c r="H355" s="2">
        <v>20.29</v>
      </c>
      <c r="I355" s="2">
        <v>43.4</v>
      </c>
      <c r="J355" s="2">
        <v>1.27</v>
      </c>
      <c r="K355" s="3">
        <v>22.08</v>
      </c>
      <c r="L355" s="3">
        <v>12.050039999999999</v>
      </c>
      <c r="N355" s="6">
        <f t="shared" si="117"/>
        <v>3.807181811897332</v>
      </c>
      <c r="O355" s="6">
        <f t="shared" si="118"/>
        <v>20.801591521436013</v>
      </c>
      <c r="P355" s="6">
        <f t="shared" si="119"/>
        <v>4.0904748387096781</v>
      </c>
      <c r="Q355" s="6">
        <f t="shared" si="111"/>
        <v>5.4997721118922387</v>
      </c>
      <c r="R355" s="6">
        <f t="shared" si="120"/>
        <v>5.7365927773995535</v>
      </c>
      <c r="S355" s="6">
        <f t="shared" si="121"/>
        <v>7.9030376228571422</v>
      </c>
      <c r="T355" s="6">
        <f t="shared" si="122"/>
        <v>4.9119813935423631</v>
      </c>
      <c r="U355" s="6">
        <f t="shared" si="123"/>
        <v>24.760070488418567</v>
      </c>
      <c r="X355" s="6"/>
      <c r="Y355" s="6"/>
      <c r="Z355" s="25"/>
      <c r="AA355" s="25"/>
      <c r="AB355" s="25"/>
      <c r="AC355" s="25"/>
      <c r="AD355" s="6">
        <f t="shared" si="112"/>
        <v>5.5400000000000009</v>
      </c>
      <c r="AE355" s="6">
        <f t="shared" si="113"/>
        <v>28.3</v>
      </c>
      <c r="AF355" s="6">
        <f t="shared" si="114"/>
        <v>3.6163476957253091</v>
      </c>
      <c r="AG355" s="6">
        <f t="shared" si="115"/>
        <v>2.0154224182781468</v>
      </c>
      <c r="AH355" s="6">
        <f t="shared" si="124"/>
        <v>0.80046263872358114</v>
      </c>
      <c r="AI355" s="6">
        <f t="shared" si="125"/>
        <v>5.5625326336717379E-2</v>
      </c>
      <c r="AJ355" s="6">
        <f t="shared" si="126"/>
        <v>0.22653092675877345</v>
      </c>
      <c r="AK355" s="6">
        <f t="shared" si="127"/>
        <v>0.57393171196480774</v>
      </c>
      <c r="AL355" s="6">
        <f t="shared" si="116"/>
        <v>0.73260000000000003</v>
      </c>
      <c r="AM355" s="6">
        <v>16.8</v>
      </c>
      <c r="AN355" s="6">
        <f t="shared" si="128"/>
        <v>24.348064516129035</v>
      </c>
    </row>
    <row r="356" spans="1:40" x14ac:dyDescent="0.2">
      <c r="A356" s="1">
        <f t="shared" si="109"/>
        <v>351</v>
      </c>
      <c r="B356" s="2">
        <v>25.31</v>
      </c>
      <c r="C356" s="2">
        <v>63.750416666666673</v>
      </c>
      <c r="D356" s="2">
        <v>1.9275059999999999</v>
      </c>
      <c r="E356" s="2">
        <v>31.27</v>
      </c>
      <c r="F356" s="2">
        <v>100</v>
      </c>
      <c r="G356" s="2">
        <v>12.91</v>
      </c>
      <c r="H356" s="2">
        <v>20.58</v>
      </c>
      <c r="I356" s="2">
        <v>36.08</v>
      </c>
      <c r="J356" s="2">
        <v>0</v>
      </c>
      <c r="K356" s="3">
        <v>29.65</v>
      </c>
      <c r="L356" s="3">
        <v>16.092459999999999</v>
      </c>
      <c r="N356" s="6">
        <f t="shared" si="117"/>
        <v>3.807181811897332</v>
      </c>
      <c r="O356" s="6">
        <f t="shared" si="118"/>
        <v>20.801591521436013</v>
      </c>
      <c r="P356" s="6">
        <f t="shared" si="119"/>
        <v>4.0904748387096781</v>
      </c>
      <c r="Q356" s="6">
        <f t="shared" si="111"/>
        <v>5.4463305135446705</v>
      </c>
      <c r="R356" s="6">
        <f t="shared" si="120"/>
        <v>5.6808499791787979</v>
      </c>
      <c r="S356" s="6">
        <f t="shared" si="121"/>
        <v>10.663249757142854</v>
      </c>
      <c r="T356" s="6">
        <f t="shared" si="122"/>
        <v>5.1008307515059412</v>
      </c>
      <c r="U356" s="6">
        <f t="shared" si="123"/>
        <v>25.76277164928652</v>
      </c>
      <c r="X356" s="6"/>
      <c r="Y356" s="6"/>
      <c r="Z356" s="25"/>
      <c r="AA356" s="25"/>
      <c r="AB356" s="25"/>
      <c r="AC356" s="25"/>
      <c r="AD356" s="6">
        <f t="shared" si="112"/>
        <v>5.3450000000000006</v>
      </c>
      <c r="AE356" s="6">
        <f t="shared" si="113"/>
        <v>31.96</v>
      </c>
      <c r="AF356" s="6">
        <f t="shared" si="114"/>
        <v>3.59800065838155</v>
      </c>
      <c r="AG356" s="6">
        <f t="shared" si="115"/>
        <v>2.0476493292764739</v>
      </c>
      <c r="AH356" s="6">
        <f t="shared" si="124"/>
        <v>0.77517566455253806</v>
      </c>
      <c r="AI356" s="6">
        <f t="shared" si="125"/>
        <v>5.395471355014194E-2</v>
      </c>
      <c r="AJ356" s="6">
        <f t="shared" si="126"/>
        <v>0.24774614239099116</v>
      </c>
      <c r="AK356" s="6">
        <f t="shared" si="127"/>
        <v>0.52742952216154693</v>
      </c>
      <c r="AL356" s="6">
        <f t="shared" si="116"/>
        <v>0.73609999999999998</v>
      </c>
      <c r="AM356" s="6">
        <v>16.8</v>
      </c>
      <c r="AN356" s="6">
        <f t="shared" si="128"/>
        <v>24.348064516129035</v>
      </c>
    </row>
    <row r="357" spans="1:40" x14ac:dyDescent="0.2">
      <c r="A357" s="1">
        <f t="shared" si="109"/>
        <v>352</v>
      </c>
      <c r="B357" s="2">
        <v>24.17</v>
      </c>
      <c r="C357" s="2">
        <v>59.585937500000007</v>
      </c>
      <c r="D357" s="2">
        <v>2.0650240000000002</v>
      </c>
      <c r="E357" s="2">
        <v>32.33</v>
      </c>
      <c r="F357" s="2">
        <v>92.5</v>
      </c>
      <c r="G357" s="2">
        <v>10.02144</v>
      </c>
      <c r="H357" s="2">
        <v>16.12</v>
      </c>
      <c r="I357" s="2">
        <v>26.87</v>
      </c>
      <c r="J357" s="2">
        <v>0</v>
      </c>
      <c r="K357" s="3">
        <v>30.84</v>
      </c>
      <c r="L357" s="3">
        <v>15.2828</v>
      </c>
      <c r="N357" s="6">
        <f t="shared" si="117"/>
        <v>3.807181811897332</v>
      </c>
      <c r="O357" s="6">
        <f t="shared" si="118"/>
        <v>20.801591521436013</v>
      </c>
      <c r="P357" s="6">
        <f t="shared" si="119"/>
        <v>4.0904748387096781</v>
      </c>
      <c r="Q357" s="6">
        <f t="shared" si="111"/>
        <v>6.5293145968473825</v>
      </c>
      <c r="R357" s="6">
        <f t="shared" si="120"/>
        <v>6.8104674513062946</v>
      </c>
      <c r="S357" s="6">
        <f t="shared" si="121"/>
        <v>10.919448308571427</v>
      </c>
      <c r="T357" s="6">
        <f t="shared" si="122"/>
        <v>6.7709749196259343</v>
      </c>
      <c r="U357" s="6">
        <f t="shared" si="123"/>
        <v>22.629946019888347</v>
      </c>
      <c r="X357" s="6"/>
      <c r="Y357" s="6"/>
      <c r="Z357" s="25"/>
      <c r="AA357" s="25"/>
      <c r="AB357" s="25"/>
      <c r="AC357" s="25"/>
      <c r="AD357" s="6">
        <f t="shared" si="112"/>
        <v>8.1049999999999986</v>
      </c>
      <c r="AE357" s="6">
        <f t="shared" si="113"/>
        <v>32.814999999999998</v>
      </c>
      <c r="AF357" s="6">
        <f t="shared" si="114"/>
        <v>3.7966666202173185</v>
      </c>
      <c r="AG357" s="6">
        <f t="shared" si="115"/>
        <v>1.5987230111276931</v>
      </c>
      <c r="AH357" s="6">
        <f t="shared" si="124"/>
        <v>1.0989718045448127</v>
      </c>
      <c r="AI357" s="6">
        <f t="shared" si="125"/>
        <v>7.4781072639631282E-2</v>
      </c>
      <c r="AJ357" s="6">
        <f t="shared" si="126"/>
        <v>0.36062759766138031</v>
      </c>
      <c r="AK357" s="6">
        <f t="shared" si="127"/>
        <v>0.73834420688343239</v>
      </c>
      <c r="AL357" s="6">
        <f t="shared" si="116"/>
        <v>0.72470000000000001</v>
      </c>
      <c r="AM357" s="6">
        <v>16.8</v>
      </c>
      <c r="AN357" s="6">
        <f t="shared" si="128"/>
        <v>24.348064516129035</v>
      </c>
    </row>
    <row r="358" spans="1:40" x14ac:dyDescent="0.2">
      <c r="A358" s="1">
        <f t="shared" ref="A358:A371" si="129">A357+1</f>
        <v>353</v>
      </c>
      <c r="B358" s="2">
        <v>24.67</v>
      </c>
      <c r="C358" s="2">
        <v>63.768229166666664</v>
      </c>
      <c r="D358" s="2">
        <v>1.529145</v>
      </c>
      <c r="E358" s="2">
        <v>32.44</v>
      </c>
      <c r="F358" s="2">
        <v>95.2</v>
      </c>
      <c r="G358" s="2">
        <v>11.4</v>
      </c>
      <c r="H358" s="2">
        <v>17.18</v>
      </c>
      <c r="I358" s="2">
        <v>32.25</v>
      </c>
      <c r="J358" s="2">
        <v>0</v>
      </c>
      <c r="K358" s="3">
        <v>29.22</v>
      </c>
      <c r="L358" s="3">
        <v>15.21414</v>
      </c>
      <c r="N358" s="6">
        <f t="shared" si="117"/>
        <v>3.807181811897332</v>
      </c>
      <c r="O358" s="6">
        <f t="shared" si="118"/>
        <v>20.801591521436013</v>
      </c>
      <c r="P358" s="6">
        <f t="shared" si="119"/>
        <v>4.0904748387096781</v>
      </c>
      <c r="Q358" s="6">
        <f t="shared" si="111"/>
        <v>6.4105699812776713</v>
      </c>
      <c r="R358" s="6">
        <f t="shared" si="120"/>
        <v>6.686609682261766</v>
      </c>
      <c r="S358" s="6">
        <f t="shared" si="121"/>
        <v>10.417238897142855</v>
      </c>
      <c r="T358" s="6">
        <f t="shared" si="122"/>
        <v>6.5705221080203176</v>
      </c>
      <c r="U358" s="6">
        <f t="shared" si="123"/>
        <v>23.96561674038967</v>
      </c>
      <c r="X358" s="6"/>
      <c r="Y358" s="6"/>
      <c r="Z358" s="25"/>
      <c r="AA358" s="25"/>
      <c r="AB358" s="25"/>
      <c r="AC358" s="25"/>
      <c r="AD358" s="6">
        <f t="shared" si="112"/>
        <v>7.629999999999999</v>
      </c>
      <c r="AE358" s="6">
        <f t="shared" si="113"/>
        <v>31.475000000000001</v>
      </c>
      <c r="AF358" s="6">
        <f t="shared" si="114"/>
        <v>3.8178195494086897</v>
      </c>
      <c r="AG358" s="6">
        <f t="shared" si="115"/>
        <v>1.6967480551408314</v>
      </c>
      <c r="AH358" s="6">
        <f t="shared" si="124"/>
        <v>1.0605357471339292</v>
      </c>
      <c r="AI358" s="6">
        <f t="shared" si="125"/>
        <v>7.2445814714119844E-2</v>
      </c>
      <c r="AJ358" s="6">
        <f t="shared" si="126"/>
        <v>0.33380362641040423</v>
      </c>
      <c r="AK358" s="6">
        <f t="shared" si="127"/>
        <v>0.72673212072352489</v>
      </c>
      <c r="AL358" s="6">
        <f t="shared" si="116"/>
        <v>0.72970000000000002</v>
      </c>
      <c r="AM358" s="6">
        <v>16.8</v>
      </c>
      <c r="AN358" s="6">
        <f t="shared" si="128"/>
        <v>24.348064516129035</v>
      </c>
    </row>
    <row r="359" spans="1:40" x14ac:dyDescent="0.2">
      <c r="A359" s="1">
        <f t="shared" si="129"/>
        <v>354</v>
      </c>
      <c r="B359" s="2">
        <v>25.8</v>
      </c>
      <c r="C359" s="2">
        <v>66.674270833333352</v>
      </c>
      <c r="D359" s="2">
        <v>1.177751</v>
      </c>
      <c r="E359" s="2">
        <v>33.35</v>
      </c>
      <c r="F359" s="2">
        <v>90.9</v>
      </c>
      <c r="G359" s="2">
        <v>5.67</v>
      </c>
      <c r="H359" s="2">
        <v>18.71</v>
      </c>
      <c r="I359" s="2">
        <v>40.5</v>
      </c>
      <c r="J359" s="2">
        <v>0</v>
      </c>
      <c r="K359" s="3">
        <v>24</v>
      </c>
      <c r="L359" s="3">
        <v>12.25958</v>
      </c>
      <c r="N359" s="6">
        <f t="shared" si="117"/>
        <v>3.807181811897332</v>
      </c>
      <c r="O359" s="6">
        <f t="shared" si="118"/>
        <v>20.801591521436013</v>
      </c>
      <c r="P359" s="6">
        <f t="shared" si="119"/>
        <v>4.0904748387096781</v>
      </c>
      <c r="Q359" s="6">
        <f t="shared" si="111"/>
        <v>6.4460570576049241</v>
      </c>
      <c r="R359" s="6">
        <f t="shared" si="120"/>
        <v>6.7236248351823296</v>
      </c>
      <c r="S359" s="6">
        <f t="shared" si="121"/>
        <v>8.6887542857142837</v>
      </c>
      <c r="T359" s="6">
        <f t="shared" si="122"/>
        <v>6.225568520756469</v>
      </c>
      <c r="U359" s="6">
        <f t="shared" si="123"/>
        <v>27.203091810660258</v>
      </c>
      <c r="X359" s="6"/>
      <c r="Y359" s="6"/>
      <c r="Z359" s="25"/>
      <c r="AA359" s="25"/>
      <c r="AB359" s="25"/>
      <c r="AC359" s="25"/>
      <c r="AD359" s="6">
        <f t="shared" si="112"/>
        <v>7.32</v>
      </c>
      <c r="AE359" s="6">
        <f t="shared" si="113"/>
        <v>25.200000000000003</v>
      </c>
      <c r="AF359" s="6">
        <f t="shared" si="114"/>
        <v>3.9967827297711245</v>
      </c>
      <c r="AG359" s="6">
        <f t="shared" si="115"/>
        <v>1.8475228635087124</v>
      </c>
      <c r="AH359" s="6">
        <f t="shared" si="124"/>
        <v>1.0746299331312059</v>
      </c>
      <c r="AI359" s="6">
        <f t="shared" si="125"/>
        <v>7.3594771935376627E-2</v>
      </c>
      <c r="AJ359" s="6">
        <f t="shared" si="126"/>
        <v>0.27080674314906394</v>
      </c>
      <c r="AK359" s="6">
        <f t="shared" si="127"/>
        <v>0.80382318998214197</v>
      </c>
      <c r="AL359" s="6">
        <f t="shared" si="116"/>
        <v>0.74099999999999999</v>
      </c>
      <c r="AM359" s="6">
        <v>16.8</v>
      </c>
      <c r="AN359" s="6">
        <f t="shared" si="128"/>
        <v>24.348064516129035</v>
      </c>
    </row>
    <row r="360" spans="1:40" x14ac:dyDescent="0.2">
      <c r="A360" s="1">
        <f t="shared" si="129"/>
        <v>355</v>
      </c>
      <c r="B360" s="2">
        <v>25.21</v>
      </c>
      <c r="C360" s="2">
        <v>78.441562499999989</v>
      </c>
      <c r="D360" s="2">
        <v>1.584544</v>
      </c>
      <c r="E360" s="2">
        <v>33.299999999999997</v>
      </c>
      <c r="F360" s="2">
        <v>100</v>
      </c>
      <c r="G360" s="2">
        <v>11.05</v>
      </c>
      <c r="H360" s="2">
        <v>20.82</v>
      </c>
      <c r="I360" s="2">
        <v>42.96</v>
      </c>
      <c r="J360" s="2">
        <v>14.73</v>
      </c>
      <c r="K360" s="1">
        <v>18.690000000000001</v>
      </c>
      <c r="L360" s="3">
        <v>9.6670549999999995</v>
      </c>
      <c r="N360" s="6">
        <f t="shared" si="117"/>
        <v>3.807181811897332</v>
      </c>
      <c r="O360" s="6">
        <f t="shared" si="118"/>
        <v>20.801591521436013</v>
      </c>
      <c r="P360" s="6">
        <f t="shared" si="119"/>
        <v>4.0904748387096781</v>
      </c>
      <c r="Q360" s="6">
        <f t="shared" si="111"/>
        <v>5.8710239628079171</v>
      </c>
      <c r="R360" s="6">
        <f t="shared" si="120"/>
        <v>6.1238307653070834</v>
      </c>
      <c r="S360" s="6">
        <f t="shared" si="121"/>
        <v>6.7124921400000002</v>
      </c>
      <c r="T360" s="6">
        <f t="shared" si="122"/>
        <v>5.5006568494657202</v>
      </c>
      <c r="U360" s="6">
        <f t="shared" si="123"/>
        <v>25.466199456994797</v>
      </c>
      <c r="X360" s="6"/>
      <c r="Y360" s="6"/>
      <c r="Z360" s="25"/>
      <c r="AA360" s="25"/>
      <c r="AB360" s="25"/>
      <c r="AC360" s="25"/>
      <c r="AD360" s="6">
        <f t="shared" si="112"/>
        <v>6.2399999999999984</v>
      </c>
      <c r="AE360" s="6">
        <f t="shared" si="113"/>
        <v>28.52</v>
      </c>
      <c r="AF360" s="6">
        <f t="shared" si="114"/>
        <v>3.9867634365677822</v>
      </c>
      <c r="AG360" s="6">
        <f t="shared" si="115"/>
        <v>2.0746601398950379</v>
      </c>
      <c r="AH360" s="6">
        <f t="shared" si="124"/>
        <v>0.95605164833637213</v>
      </c>
      <c r="AI360" s="6">
        <f t="shared" si="125"/>
        <v>6.6056065961872079E-2</v>
      </c>
      <c r="AJ360" s="6">
        <f t="shared" si="126"/>
        <v>0.27266593010553331</v>
      </c>
      <c r="AK360" s="6">
        <f t="shared" si="127"/>
        <v>0.68338571823083882</v>
      </c>
      <c r="AL360" s="6">
        <f t="shared" si="116"/>
        <v>0.73509999999999998</v>
      </c>
      <c r="AM360" s="6">
        <v>16.8</v>
      </c>
      <c r="AN360" s="6">
        <f>$X$17</f>
        <v>24.348064516129035</v>
      </c>
    </row>
    <row r="361" spans="1:40" x14ac:dyDescent="0.2">
      <c r="A361" s="1">
        <f t="shared" si="129"/>
        <v>356</v>
      </c>
      <c r="B361" s="2">
        <v>23.04</v>
      </c>
      <c r="C361" s="2">
        <v>92.665310000000005</v>
      </c>
      <c r="D361" s="2">
        <v>1.395667</v>
      </c>
      <c r="E361" s="2">
        <v>30.03</v>
      </c>
      <c r="F361" s="2">
        <v>100</v>
      </c>
      <c r="G361" s="2">
        <v>7.48</v>
      </c>
      <c r="H361" s="2">
        <v>20.39</v>
      </c>
      <c r="I361" s="2">
        <v>59.15</v>
      </c>
      <c r="J361" s="2">
        <v>9.65</v>
      </c>
      <c r="K361" s="1">
        <v>14.06</v>
      </c>
      <c r="L361" s="3">
        <v>7.0877480000000004</v>
      </c>
      <c r="N361" s="6">
        <f t="shared" si="117"/>
        <v>3.807181811897332</v>
      </c>
      <c r="O361" s="6">
        <f t="shared" si="118"/>
        <v>20.801591521436013</v>
      </c>
      <c r="P361" s="6">
        <f t="shared" si="119"/>
        <v>4.0904748387096781</v>
      </c>
      <c r="Q361" s="6">
        <f t="shared" si="111"/>
        <v>4.8996083726321658</v>
      </c>
      <c r="R361" s="6">
        <f t="shared" si="120"/>
        <v>5.1105859353248029</v>
      </c>
      <c r="S361" s="6">
        <f t="shared" si="121"/>
        <v>4.9005688114285704</v>
      </c>
      <c r="T361" s="6">
        <f t="shared" si="122"/>
        <v>3.9849385231831902</v>
      </c>
      <c r="U361" s="6">
        <f t="shared" si="123"/>
        <v>19.789139740975525</v>
      </c>
      <c r="X361" s="6"/>
      <c r="Y361" s="6"/>
      <c r="Z361" s="25"/>
      <c r="AA361" s="25"/>
      <c r="AB361" s="25"/>
      <c r="AC361" s="25"/>
      <c r="AD361" s="6">
        <f t="shared" si="112"/>
        <v>4.82</v>
      </c>
      <c r="AE361" s="6">
        <f t="shared" si="113"/>
        <v>20.425000000000001</v>
      </c>
      <c r="AF361" s="6">
        <f t="shared" si="114"/>
        <v>3.3771423709612436</v>
      </c>
      <c r="AG361" s="6">
        <f t="shared" si="115"/>
        <v>2.0264846157252028</v>
      </c>
      <c r="AH361" s="6">
        <f t="shared" si="124"/>
        <v>0.67532887761802041</v>
      </c>
      <c r="AI361" s="6">
        <f t="shared" si="125"/>
        <v>4.7209124286740727E-2</v>
      </c>
      <c r="AJ361" s="6">
        <f t="shared" si="126"/>
        <v>0.13793592325348067</v>
      </c>
      <c r="AK361" s="6">
        <f t="shared" si="127"/>
        <v>0.53739295436453971</v>
      </c>
      <c r="AL361" s="6">
        <f t="shared" si="116"/>
        <v>0.71340000000000003</v>
      </c>
      <c r="AM361" s="6">
        <v>16.8</v>
      </c>
      <c r="AN361" s="6">
        <f t="shared" si="128"/>
        <v>24.348064516129035</v>
      </c>
    </row>
    <row r="362" spans="1:40" x14ac:dyDescent="0.2">
      <c r="A362" s="1">
        <f t="shared" si="129"/>
        <v>357</v>
      </c>
      <c r="B362" s="2">
        <v>24.26</v>
      </c>
      <c r="C362" s="2">
        <v>86.928849999999997</v>
      </c>
      <c r="D362" s="2">
        <v>1.2267710000000001</v>
      </c>
      <c r="E362" s="2">
        <v>29.12</v>
      </c>
      <c r="F362" s="2">
        <v>100</v>
      </c>
      <c r="G362" s="2">
        <v>6.21</v>
      </c>
      <c r="H362" s="2">
        <v>20.29</v>
      </c>
      <c r="I362" s="2">
        <v>64.73</v>
      </c>
      <c r="J362" s="2">
        <v>2.794</v>
      </c>
      <c r="K362" s="1">
        <v>19.21</v>
      </c>
      <c r="L362" s="3">
        <v>10.445510000000001</v>
      </c>
      <c r="N362" s="6">
        <f t="shared" si="117"/>
        <v>3.807181811897332</v>
      </c>
      <c r="O362" s="6">
        <f t="shared" si="118"/>
        <v>20.801591521436013</v>
      </c>
      <c r="P362" s="6">
        <f t="shared" si="119"/>
        <v>4.0904748387096781</v>
      </c>
      <c r="Q362" s="6">
        <f t="shared" si="111"/>
        <v>4.829328388251457</v>
      </c>
      <c r="R362" s="6">
        <f t="shared" si="120"/>
        <v>5.0372796887037197</v>
      </c>
      <c r="S362" s="6">
        <f t="shared" si="121"/>
        <v>6.8100877028571425</v>
      </c>
      <c r="T362" s="6">
        <f t="shared" si="122"/>
        <v>3.9700038856920505</v>
      </c>
      <c r="U362" s="6">
        <f t="shared" si="123"/>
        <v>22.850166491392525</v>
      </c>
      <c r="X362" s="6"/>
      <c r="Y362" s="6"/>
      <c r="Z362" s="25"/>
      <c r="AA362" s="25"/>
      <c r="AB362" s="25"/>
      <c r="AC362" s="25"/>
      <c r="AD362" s="6">
        <f t="shared" si="112"/>
        <v>4.4150000000000009</v>
      </c>
      <c r="AE362" s="6">
        <f t="shared" si="113"/>
        <v>17.634999999999998</v>
      </c>
      <c r="AF362" s="6">
        <f t="shared" si="114"/>
        <v>3.2226687635996925</v>
      </c>
      <c r="AG362" s="6">
        <f t="shared" si="115"/>
        <v>2.0154224182781468</v>
      </c>
      <c r="AH362" s="6">
        <f t="shared" si="124"/>
        <v>0.60362317266077281</v>
      </c>
      <c r="AI362" s="6">
        <f t="shared" si="125"/>
        <v>4.2338030711934066E-2</v>
      </c>
      <c r="AJ362" s="6">
        <f t="shared" si="126"/>
        <v>0.10644894649872727</v>
      </c>
      <c r="AK362" s="6">
        <f t="shared" si="127"/>
        <v>0.49717422616204554</v>
      </c>
      <c r="AL362" s="6">
        <f t="shared" si="116"/>
        <v>0.72560000000000002</v>
      </c>
      <c r="AM362" s="6">
        <v>16.8</v>
      </c>
      <c r="AN362" s="6">
        <f t="shared" si="128"/>
        <v>24.348064516129035</v>
      </c>
    </row>
    <row r="363" spans="1:40" x14ac:dyDescent="0.2">
      <c r="A363" s="1">
        <f t="shared" si="129"/>
        <v>358</v>
      </c>
      <c r="B363" s="2">
        <v>24.31</v>
      </c>
      <c r="C363" s="2">
        <v>80.579689999999999</v>
      </c>
      <c r="D363" s="2">
        <v>2.0876730000000001</v>
      </c>
      <c r="E363" s="2">
        <v>29.83</v>
      </c>
      <c r="F363" s="2">
        <v>99.3</v>
      </c>
      <c r="G363" s="2">
        <v>10.28</v>
      </c>
      <c r="H363" s="2">
        <v>20.2</v>
      </c>
      <c r="I363" s="2">
        <v>57.88</v>
      </c>
      <c r="J363" s="2">
        <v>0</v>
      </c>
      <c r="K363" s="1">
        <v>21.08</v>
      </c>
      <c r="L363" s="3">
        <v>11.654070000000001</v>
      </c>
      <c r="N363" s="6">
        <f t="shared" si="117"/>
        <v>3.807181811897332</v>
      </c>
      <c r="O363" s="6">
        <f t="shared" si="118"/>
        <v>20.801591521436013</v>
      </c>
      <c r="P363" s="6">
        <f t="shared" si="119"/>
        <v>4.0904748387096781</v>
      </c>
      <c r="Q363" s="6">
        <f t="shared" si="111"/>
        <v>5.0493503196706468</v>
      </c>
      <c r="R363" s="6">
        <f t="shared" si="120"/>
        <v>5.2667757836272902</v>
      </c>
      <c r="S363" s="6">
        <f t="shared" si="121"/>
        <v>7.4781661371428543</v>
      </c>
      <c r="T363" s="6">
        <f t="shared" si="122"/>
        <v>4.5284160394118684</v>
      </c>
      <c r="U363" s="6">
        <f t="shared" si="123"/>
        <v>22.986256893040252</v>
      </c>
      <c r="X363" s="6"/>
      <c r="Y363" s="6"/>
      <c r="Z363" s="25"/>
      <c r="AA363" s="25"/>
      <c r="AB363" s="25"/>
      <c r="AC363" s="25"/>
      <c r="AD363" s="6">
        <f t="shared" si="112"/>
        <v>4.8149999999999995</v>
      </c>
      <c r="AE363" s="6">
        <f t="shared" si="113"/>
        <v>20.709999999999997</v>
      </c>
      <c r="AF363" s="6">
        <f t="shared" si="114"/>
        <v>3.342649897983117</v>
      </c>
      <c r="AG363" s="6">
        <f t="shared" si="115"/>
        <v>2.0055116845231993</v>
      </c>
      <c r="AH363" s="6">
        <f t="shared" si="124"/>
        <v>0.66856910672995884</v>
      </c>
      <c r="AI363" s="6">
        <f t="shared" si="125"/>
        <v>4.6738510275606729E-2</v>
      </c>
      <c r="AJ363" s="6">
        <f t="shared" si="126"/>
        <v>0.13846066200377447</v>
      </c>
      <c r="AK363" s="6">
        <f t="shared" si="127"/>
        <v>0.53010844472618435</v>
      </c>
      <c r="AL363" s="6">
        <f t="shared" si="116"/>
        <v>0.72609999999999997</v>
      </c>
      <c r="AM363" s="6">
        <v>16.8</v>
      </c>
      <c r="AN363" s="6">
        <f t="shared" si="128"/>
        <v>24.348064516129035</v>
      </c>
    </row>
    <row r="364" spans="1:40" x14ac:dyDescent="0.2">
      <c r="A364" s="1">
        <f t="shared" si="129"/>
        <v>359</v>
      </c>
      <c r="B364" s="2">
        <v>25.19</v>
      </c>
      <c r="C364" s="2">
        <v>70.807916666666685</v>
      </c>
      <c r="D364" s="2">
        <v>1.586479</v>
      </c>
      <c r="E364" s="2">
        <v>32.01</v>
      </c>
      <c r="F364" s="2">
        <v>95.7</v>
      </c>
      <c r="G364" s="2">
        <v>8.35</v>
      </c>
      <c r="H364" s="2">
        <v>19.43</v>
      </c>
      <c r="I364" s="2">
        <v>43.75</v>
      </c>
      <c r="J364" s="2">
        <v>0</v>
      </c>
      <c r="K364" s="3">
        <v>25.85</v>
      </c>
      <c r="L364" s="3">
        <v>14.33182</v>
      </c>
      <c r="N364" s="6">
        <f t="shared" si="117"/>
        <v>3.807181811897332</v>
      </c>
      <c r="O364" s="6">
        <f t="shared" si="118"/>
        <v>20.801591521436013</v>
      </c>
      <c r="P364" s="6">
        <f t="shared" si="119"/>
        <v>4.0904748387096781</v>
      </c>
      <c r="Q364" s="6">
        <f t="shared" si="111"/>
        <v>5.8917577725222126</v>
      </c>
      <c r="R364" s="6">
        <f t="shared" si="120"/>
        <v>6.1454573746710999</v>
      </c>
      <c r="S364" s="6">
        <f t="shared" si="121"/>
        <v>9.2814720428571427</v>
      </c>
      <c r="T364" s="6">
        <f t="shared" si="122"/>
        <v>5.7971123910721607</v>
      </c>
      <c r="U364" s="6">
        <f t="shared" si="123"/>
        <v>25.413931208073265</v>
      </c>
      <c r="X364" s="6"/>
      <c r="Y364" s="6"/>
      <c r="Z364" s="25"/>
      <c r="AA364" s="25"/>
      <c r="AB364" s="25"/>
      <c r="AC364" s="25"/>
      <c r="AD364" s="6">
        <f t="shared" si="112"/>
        <v>6.2899999999999991</v>
      </c>
      <c r="AE364" s="6">
        <f t="shared" si="113"/>
        <v>25.975000000000001</v>
      </c>
      <c r="AF364" s="6">
        <f t="shared" si="114"/>
        <v>3.7357098298320977</v>
      </c>
      <c r="AG364" s="6">
        <f t="shared" si="115"/>
        <v>1.9224493002720187</v>
      </c>
      <c r="AH364" s="6">
        <f t="shared" si="124"/>
        <v>0.9066302647800395</v>
      </c>
      <c r="AI364" s="6">
        <f t="shared" si="125"/>
        <v>6.2615702248638827E-2</v>
      </c>
      <c r="AJ364" s="6">
        <f t="shared" si="126"/>
        <v>0.23549721127661527</v>
      </c>
      <c r="AK364" s="6">
        <f t="shared" si="127"/>
        <v>0.67113305350342423</v>
      </c>
      <c r="AL364" s="6">
        <f t="shared" si="116"/>
        <v>0.7349</v>
      </c>
      <c r="AM364" s="6">
        <v>16.8</v>
      </c>
      <c r="AN364" s="6">
        <f t="shared" si="128"/>
        <v>24.348064516129035</v>
      </c>
    </row>
    <row r="365" spans="1:40" x14ac:dyDescent="0.2">
      <c r="A365" s="1">
        <f t="shared" si="129"/>
        <v>360</v>
      </c>
      <c r="B365" s="2">
        <v>25.08</v>
      </c>
      <c r="C365" s="2">
        <v>80.656040000000004</v>
      </c>
      <c r="D365" s="2">
        <v>1.3708849999999999</v>
      </c>
      <c r="E365" s="2">
        <v>32.130000000000003</v>
      </c>
      <c r="F365" s="2">
        <v>100</v>
      </c>
      <c r="G365" s="2">
        <v>8.5</v>
      </c>
      <c r="H365" s="2">
        <v>19.2</v>
      </c>
      <c r="I365" s="2">
        <v>49.29</v>
      </c>
      <c r="J365" s="2">
        <v>1.27</v>
      </c>
      <c r="K365" s="3">
        <v>21.75</v>
      </c>
      <c r="L365" s="3">
        <v>11.3271</v>
      </c>
      <c r="N365" s="6">
        <f t="shared" si="117"/>
        <v>3.807181811897332</v>
      </c>
      <c r="O365" s="6">
        <f t="shared" si="118"/>
        <v>20.801591521436013</v>
      </c>
      <c r="P365" s="6">
        <f t="shared" si="119"/>
        <v>4.0904748387096781</v>
      </c>
      <c r="Q365" s="6">
        <f t="shared" si="111"/>
        <v>5.9578718401840582</v>
      </c>
      <c r="R365" s="6">
        <f t="shared" si="120"/>
        <v>6.2144183198370548</v>
      </c>
      <c r="S365" s="6">
        <f t="shared" si="121"/>
        <v>7.7976732857142848</v>
      </c>
      <c r="T365" s="6">
        <f t="shared" si="122"/>
        <v>5.6209862429269402</v>
      </c>
      <c r="U365" s="6">
        <f t="shared" si="123"/>
        <v>25.095091878010088</v>
      </c>
      <c r="X365" s="6"/>
      <c r="Y365" s="6"/>
      <c r="Z365" s="25"/>
      <c r="AA365" s="25"/>
      <c r="AB365" s="25"/>
      <c r="AC365" s="25"/>
      <c r="AD365" s="6">
        <f t="shared" si="112"/>
        <v>6.4650000000000016</v>
      </c>
      <c r="AE365" s="6">
        <f t="shared" si="113"/>
        <v>25.355</v>
      </c>
      <c r="AF365" s="6">
        <f t="shared" si="114"/>
        <v>3.7584680226857521</v>
      </c>
      <c r="AG365" s="6">
        <f t="shared" si="115"/>
        <v>1.8982303049084703</v>
      </c>
      <c r="AH365" s="6">
        <f t="shared" si="124"/>
        <v>0.93011885888864088</v>
      </c>
      <c r="AI365" s="6">
        <f t="shared" si="125"/>
        <v>6.4145723139070104E-2</v>
      </c>
      <c r="AJ365" s="6">
        <f t="shared" si="126"/>
        <v>0.2358316366712149</v>
      </c>
      <c r="AK365" s="6">
        <f t="shared" si="127"/>
        <v>0.694287222217426</v>
      </c>
      <c r="AL365" s="6">
        <f t="shared" si="116"/>
        <v>0.73380000000000001</v>
      </c>
      <c r="AM365" s="6">
        <v>16.8</v>
      </c>
      <c r="AN365" s="6">
        <f t="shared" si="128"/>
        <v>24.348064516129035</v>
      </c>
    </row>
    <row r="366" spans="1:40" x14ac:dyDescent="0.2">
      <c r="A366" s="1">
        <f t="shared" si="129"/>
        <v>361</v>
      </c>
      <c r="B366" s="2">
        <v>22.69</v>
      </c>
      <c r="C366" s="2">
        <v>98.621250000000003</v>
      </c>
      <c r="D366" s="2">
        <v>1.163322</v>
      </c>
      <c r="E366" s="2">
        <v>28.25</v>
      </c>
      <c r="F366" s="2">
        <v>100</v>
      </c>
      <c r="G366" s="2">
        <v>7.95</v>
      </c>
      <c r="H366" s="2">
        <v>20.49</v>
      </c>
      <c r="I366" s="2">
        <v>72.19</v>
      </c>
      <c r="J366" s="2">
        <v>44.96</v>
      </c>
      <c r="K366" s="3">
        <v>11.2</v>
      </c>
      <c r="L366" s="3">
        <v>4.2892270000000003</v>
      </c>
      <c r="N366" s="6">
        <f t="shared" si="117"/>
        <v>3.807181811897332</v>
      </c>
      <c r="O366" s="6">
        <f t="shared" si="118"/>
        <v>20.801591521436013</v>
      </c>
      <c r="P366" s="6">
        <f t="shared" si="119"/>
        <v>4.0904748387096781</v>
      </c>
      <c r="Q366" s="6">
        <f t="shared" si="111"/>
        <v>4.3582862907001338</v>
      </c>
      <c r="R366" s="6">
        <f t="shared" si="120"/>
        <v>4.5459544774606764</v>
      </c>
      <c r="S366" s="6">
        <f t="shared" si="121"/>
        <v>3.884572799999999</v>
      </c>
      <c r="T366" s="6">
        <f t="shared" si="122"/>
        <v>3.2981012429390613</v>
      </c>
      <c r="U366" s="6">
        <f t="shared" si="123"/>
        <v>18.966478227977838</v>
      </c>
      <c r="X366" s="6"/>
      <c r="Y366" s="6"/>
      <c r="Z366" s="25"/>
      <c r="AA366" s="25"/>
      <c r="AB366" s="25"/>
      <c r="AC366" s="25"/>
      <c r="AD366" s="6">
        <f t="shared" si="112"/>
        <v>3.8800000000000008</v>
      </c>
      <c r="AE366" s="6">
        <f t="shared" si="113"/>
        <v>13.905000000000001</v>
      </c>
      <c r="AF366" s="6">
        <f t="shared" si="114"/>
        <v>3.0807822821379487</v>
      </c>
      <c r="AG366" s="6">
        <f t="shared" si="115"/>
        <v>2.0375999383238828</v>
      </c>
      <c r="AH366" s="6">
        <f t="shared" si="124"/>
        <v>0.52159117190703297</v>
      </c>
      <c r="AI366" s="6">
        <f t="shared" si="125"/>
        <v>3.6746806682576127E-2</v>
      </c>
      <c r="AJ366" s="6">
        <f t="shared" si="126"/>
        <v>7.2527252453672947E-2</v>
      </c>
      <c r="AK366" s="6">
        <f t="shared" si="127"/>
        <v>0.44906391945335999</v>
      </c>
      <c r="AL366" s="6">
        <f t="shared" si="116"/>
        <v>0.70989999999999998</v>
      </c>
      <c r="AM366" s="6">
        <v>16.8</v>
      </c>
      <c r="AN366" s="6">
        <f t="shared" si="128"/>
        <v>24.348064516129035</v>
      </c>
    </row>
    <row r="367" spans="1:40" x14ac:dyDescent="0.2">
      <c r="A367" s="1">
        <f t="shared" si="129"/>
        <v>362</v>
      </c>
      <c r="B367" s="2">
        <v>22.85</v>
      </c>
      <c r="C367" s="2">
        <v>97.728020833333304</v>
      </c>
      <c r="D367" s="2">
        <v>0.97919259999999997</v>
      </c>
      <c r="E367" s="2">
        <v>28.92</v>
      </c>
      <c r="F367" s="2">
        <v>100</v>
      </c>
      <c r="G367" s="2">
        <v>7.03</v>
      </c>
      <c r="H367" s="2">
        <v>20.77</v>
      </c>
      <c r="I367" s="2">
        <v>71.849999999999994</v>
      </c>
      <c r="J367" s="2">
        <v>36.07</v>
      </c>
      <c r="K367" s="3">
        <v>12.34</v>
      </c>
      <c r="L367" s="3">
        <v>5.2435260000000001</v>
      </c>
      <c r="N367" s="6">
        <f t="shared" si="117"/>
        <v>3.807181811897332</v>
      </c>
      <c r="O367" s="6">
        <f t="shared" si="118"/>
        <v>20.801591521436013</v>
      </c>
      <c r="P367" s="6">
        <f t="shared" si="119"/>
        <v>4.0904748387096781</v>
      </c>
      <c r="Q367" s="6">
        <f t="shared" si="111"/>
        <v>4.4841122124838053</v>
      </c>
      <c r="R367" s="6">
        <f t="shared" si="120"/>
        <v>4.6771984743806696</v>
      </c>
      <c r="S367" s="6">
        <f t="shared" si="121"/>
        <v>4.289613171428571</v>
      </c>
      <c r="T367" s="6">
        <f t="shared" si="122"/>
        <v>3.4825598362029484</v>
      </c>
      <c r="U367" s="6">
        <f t="shared" si="123"/>
        <v>19.338426102455966</v>
      </c>
      <c r="X367" s="6"/>
      <c r="Y367" s="6"/>
      <c r="Z367" s="25"/>
      <c r="AA367" s="25"/>
      <c r="AB367" s="25"/>
      <c r="AC367" s="25"/>
      <c r="AD367" s="6">
        <f t="shared" si="112"/>
        <v>4.0750000000000011</v>
      </c>
      <c r="AE367" s="6">
        <f t="shared" si="113"/>
        <v>14.075000000000003</v>
      </c>
      <c r="AF367" s="6">
        <f t="shared" si="114"/>
        <v>3.1895565824310421</v>
      </c>
      <c r="AG367" s="6">
        <f t="shared" si="115"/>
        <v>2.0690073097251602</v>
      </c>
      <c r="AH367" s="6">
        <f t="shared" si="124"/>
        <v>0.56027463635294095</v>
      </c>
      <c r="AI367" s="6">
        <f t="shared" si="125"/>
        <v>3.9408358279213532E-2</v>
      </c>
      <c r="AJ367" s="6">
        <f t="shared" si="126"/>
        <v>7.8858655066676456E-2</v>
      </c>
      <c r="AK367" s="6">
        <f t="shared" si="127"/>
        <v>0.4814159812862645</v>
      </c>
      <c r="AL367" s="6">
        <f t="shared" si="116"/>
        <v>0.71150000000000002</v>
      </c>
      <c r="AM367" s="6">
        <v>16.8</v>
      </c>
      <c r="AN367" s="6">
        <f t="shared" si="128"/>
        <v>24.348064516129035</v>
      </c>
    </row>
    <row r="368" spans="1:40" x14ac:dyDescent="0.2">
      <c r="A368" s="1">
        <f t="shared" si="129"/>
        <v>363</v>
      </c>
      <c r="B368" s="2">
        <v>25.29</v>
      </c>
      <c r="C368" s="2">
        <v>84.192400000000006</v>
      </c>
      <c r="D368" s="2">
        <v>1.112628</v>
      </c>
      <c r="E368" s="2">
        <v>32.29</v>
      </c>
      <c r="F368" s="2">
        <v>100</v>
      </c>
      <c r="G368" s="2">
        <v>12.26</v>
      </c>
      <c r="H368" s="2">
        <v>19.53</v>
      </c>
      <c r="I368" s="2">
        <v>53.74</v>
      </c>
      <c r="J368" s="2">
        <v>32.770000000000003</v>
      </c>
      <c r="K368" s="3">
        <v>19.989999999999998</v>
      </c>
      <c r="L368" s="3">
        <v>11.97456</v>
      </c>
      <c r="N368" s="6">
        <f t="shared" si="117"/>
        <v>3.807181811897332</v>
      </c>
      <c r="O368" s="6">
        <f t="shared" si="118"/>
        <v>20.801591521436013</v>
      </c>
      <c r="P368" s="6">
        <f t="shared" si="119"/>
        <v>4.0904748387096781</v>
      </c>
      <c r="Q368" s="6">
        <f t="shared" si="111"/>
        <v>5.9475616030566254</v>
      </c>
      <c r="R368" s="6">
        <f t="shared" si="120"/>
        <v>6.2036641230021319</v>
      </c>
      <c r="S368" s="6">
        <f t="shared" si="121"/>
        <v>7.1871988885714266</v>
      </c>
      <c r="T368" s="6">
        <f t="shared" si="122"/>
        <v>5.8285007767998476</v>
      </c>
      <c r="U368" s="6">
        <f t="shared" si="123"/>
        <v>25.692020799230814</v>
      </c>
      <c r="X368" s="6"/>
      <c r="Y368" s="6"/>
      <c r="Z368" s="25"/>
      <c r="AA368" s="25"/>
      <c r="AB368" s="25"/>
      <c r="AC368" s="25"/>
      <c r="AD368" s="6">
        <f t="shared" si="112"/>
        <v>6.379999999999999</v>
      </c>
      <c r="AE368" s="6">
        <f t="shared" si="113"/>
        <v>23.13</v>
      </c>
      <c r="AF368" s="6">
        <f t="shared" si="114"/>
        <v>3.7889999803588794</v>
      </c>
      <c r="AG368" s="6">
        <f t="shared" si="115"/>
        <v>1.933063440802901</v>
      </c>
      <c r="AH368" s="6">
        <f t="shared" si="124"/>
        <v>0.92796826977798919</v>
      </c>
      <c r="AI368" s="6">
        <f t="shared" si="125"/>
        <v>6.4042062283142256E-2</v>
      </c>
      <c r="AJ368" s="6">
        <f t="shared" si="126"/>
        <v>0.2146390607996489</v>
      </c>
      <c r="AK368" s="6">
        <f t="shared" si="127"/>
        <v>0.71332920897834029</v>
      </c>
      <c r="AL368" s="6">
        <f t="shared" si="116"/>
        <v>0.7359</v>
      </c>
      <c r="AM368" s="6">
        <v>16.8</v>
      </c>
      <c r="AN368" s="6">
        <f t="shared" si="128"/>
        <v>24.348064516129035</v>
      </c>
    </row>
    <row r="369" spans="1:40" x14ac:dyDescent="0.2">
      <c r="A369" s="1">
        <f t="shared" si="129"/>
        <v>364</v>
      </c>
      <c r="B369" s="2">
        <v>23.17</v>
      </c>
      <c r="C369" s="2">
        <v>87.765100000000004</v>
      </c>
      <c r="D369" s="2">
        <v>1.102508</v>
      </c>
      <c r="E369" s="2">
        <v>31.53</v>
      </c>
      <c r="F369" s="2">
        <v>100</v>
      </c>
      <c r="G369" s="2">
        <v>8.31</v>
      </c>
      <c r="H369" s="2">
        <v>18.670000000000002</v>
      </c>
      <c r="I369" s="2">
        <v>51.18</v>
      </c>
      <c r="J369" s="2">
        <v>19.3</v>
      </c>
      <c r="K369" s="3">
        <v>21.14</v>
      </c>
      <c r="L369" s="3">
        <v>11.34239</v>
      </c>
      <c r="N369" s="6">
        <f t="shared" si="117"/>
        <v>3.807181811897332</v>
      </c>
      <c r="O369" s="6">
        <f t="shared" si="118"/>
        <v>20.801591521436013</v>
      </c>
      <c r="P369" s="6">
        <f t="shared" si="119"/>
        <v>4.0904748387096781</v>
      </c>
      <c r="Q369" s="6">
        <f t="shared" si="111"/>
        <v>5.6770610685958198</v>
      </c>
      <c r="R369" s="6">
        <f t="shared" si="120"/>
        <v>5.9215158119993543</v>
      </c>
      <c r="S369" s="6">
        <f t="shared" si="121"/>
        <v>7.3817074799999993</v>
      </c>
      <c r="T369" s="6">
        <f t="shared" si="122"/>
        <v>5.4692384457253</v>
      </c>
      <c r="U369" s="6">
        <f t="shared" si="123"/>
        <v>20.102653486730134</v>
      </c>
      <c r="X369" s="6"/>
      <c r="Y369" s="6"/>
      <c r="Z369" s="25"/>
      <c r="AA369" s="25"/>
      <c r="AB369" s="25"/>
      <c r="AC369" s="25"/>
      <c r="AD369" s="6">
        <f t="shared" si="112"/>
        <v>6.43</v>
      </c>
      <c r="AE369" s="6">
        <f t="shared" si="113"/>
        <v>24.41</v>
      </c>
      <c r="AF369" s="6">
        <f t="shared" si="114"/>
        <v>3.6458724430007456</v>
      </c>
      <c r="AG369" s="6">
        <f t="shared" si="115"/>
        <v>1.8434363804996226</v>
      </c>
      <c r="AH369" s="6">
        <f t="shared" si="124"/>
        <v>0.90121803125056155</v>
      </c>
      <c r="AI369" s="6">
        <f t="shared" si="125"/>
        <v>6.217042688940521E-2</v>
      </c>
      <c r="AJ369" s="6">
        <f t="shared" si="126"/>
        <v>0.21998732142826205</v>
      </c>
      <c r="AK369" s="6">
        <f t="shared" si="127"/>
        <v>0.6812307098222995</v>
      </c>
      <c r="AL369" s="6">
        <f t="shared" si="116"/>
        <v>0.7147</v>
      </c>
      <c r="AM369" s="6">
        <v>16.8</v>
      </c>
      <c r="AN369" s="6">
        <f t="shared" si="128"/>
        <v>24.348064516129035</v>
      </c>
    </row>
    <row r="370" spans="1:40" x14ac:dyDescent="0.2">
      <c r="A370" s="1">
        <f t="shared" si="129"/>
        <v>365</v>
      </c>
      <c r="B370" s="2">
        <v>23.83</v>
      </c>
      <c r="C370" s="2">
        <v>77.834479166666711</v>
      </c>
      <c r="D370" s="2">
        <v>1.296449</v>
      </c>
      <c r="E370" s="2">
        <v>30.94</v>
      </c>
      <c r="F370" s="2">
        <v>100</v>
      </c>
      <c r="G370" s="2">
        <v>7.98</v>
      </c>
      <c r="H370" s="2">
        <v>17.850000000000001</v>
      </c>
      <c r="I370" s="2">
        <v>44.5</v>
      </c>
      <c r="J370" s="2">
        <v>0.254</v>
      </c>
      <c r="K370" s="3">
        <v>28.81</v>
      </c>
      <c r="L370" s="3">
        <v>15.474959999999999</v>
      </c>
      <c r="N370" s="6">
        <f t="shared" si="117"/>
        <v>3.807181811897332</v>
      </c>
      <c r="O370" s="6">
        <f t="shared" si="118"/>
        <v>20.801591521436013</v>
      </c>
      <c r="P370" s="6">
        <f t="shared" si="119"/>
        <v>4.0904748387096781</v>
      </c>
      <c r="Q370" s="6">
        <f t="shared" si="111"/>
        <v>5.8198709125897388</v>
      </c>
      <c r="R370" s="6">
        <f t="shared" si="120"/>
        <v>6.0704750602972268</v>
      </c>
      <c r="S370" s="6">
        <f t="shared" si="121"/>
        <v>10.152833322857139</v>
      </c>
      <c r="T370" s="6">
        <f t="shared" si="122"/>
        <v>5.8358681941936528</v>
      </c>
      <c r="U370" s="6">
        <f t="shared" si="123"/>
        <v>21.741109143840468</v>
      </c>
      <c r="X370" s="6"/>
      <c r="Y370" s="6"/>
      <c r="Z370" s="25"/>
      <c r="AA370" s="25"/>
      <c r="AB370" s="25"/>
      <c r="AC370" s="25"/>
      <c r="AD370" s="6">
        <f t="shared" si="112"/>
        <v>6.5449999999999999</v>
      </c>
      <c r="AE370" s="6">
        <f t="shared" si="113"/>
        <v>27.75</v>
      </c>
      <c r="AF370" s="6">
        <f t="shared" si="114"/>
        <v>3.5380293484376368</v>
      </c>
      <c r="AG370" s="6">
        <f t="shared" si="115"/>
        <v>1.7613908616721903</v>
      </c>
      <c r="AH370" s="6">
        <f t="shared" si="124"/>
        <v>0.88831924338272328</v>
      </c>
      <c r="AI370" s="6">
        <f t="shared" si="125"/>
        <v>6.122281783198423E-2</v>
      </c>
      <c r="AJ370" s="6">
        <f t="shared" si="126"/>
        <v>0.24650859003870573</v>
      </c>
      <c r="AK370" s="6">
        <f t="shared" si="127"/>
        <v>0.64181065334401755</v>
      </c>
      <c r="AL370" s="6">
        <f t="shared" si="116"/>
        <v>0.72129999999999994</v>
      </c>
      <c r="AM370" s="6">
        <v>16.8</v>
      </c>
      <c r="AN370" s="6">
        <f t="shared" si="128"/>
        <v>24.348064516129035</v>
      </c>
    </row>
    <row r="371" spans="1:40" x14ac:dyDescent="0.2">
      <c r="A371" s="1">
        <f t="shared" si="129"/>
        <v>366</v>
      </c>
      <c r="B371" s="2">
        <v>25.05</v>
      </c>
      <c r="C371" s="2">
        <v>74.998541666666668</v>
      </c>
      <c r="D371" s="2">
        <v>1.381426</v>
      </c>
      <c r="E371" s="2">
        <v>32.49</v>
      </c>
      <c r="F371" s="2">
        <v>100</v>
      </c>
      <c r="G371" s="2">
        <v>7.58</v>
      </c>
      <c r="H371" s="2">
        <v>18.86</v>
      </c>
      <c r="I371" s="2">
        <v>39.1</v>
      </c>
      <c r="J371" s="2">
        <v>0</v>
      </c>
      <c r="K371" s="3">
        <v>28.13</v>
      </c>
      <c r="L371" s="3">
        <v>15.1881</v>
      </c>
      <c r="N371" s="6">
        <f t="shared" si="117"/>
        <v>3.807181811897332</v>
      </c>
      <c r="O371" s="6">
        <f t="shared" si="118"/>
        <v>20.801591521436013</v>
      </c>
      <c r="P371" s="6">
        <f t="shared" si="119"/>
        <v>4.0904748387096781</v>
      </c>
      <c r="Q371" s="6">
        <f t="shared" si="111"/>
        <v>6.1127392690772346</v>
      </c>
      <c r="R371" s="6">
        <f t="shared" si="120"/>
        <v>6.375954353688714</v>
      </c>
      <c r="S371" s="6">
        <f t="shared" si="121"/>
        <v>10.080867728571429</v>
      </c>
      <c r="T371" s="6">
        <f t="shared" si="122"/>
        <v>6.0967886310507744</v>
      </c>
      <c r="U371" s="6">
        <f t="shared" si="123"/>
        <v>25.013927287423417</v>
      </c>
      <c r="X371" s="6"/>
      <c r="Y371" s="6"/>
      <c r="Z371" s="25"/>
      <c r="AA371" s="25"/>
      <c r="AB371" s="25"/>
      <c r="AC371" s="25"/>
      <c r="AD371" s="6">
        <f t="shared" si="112"/>
        <v>6.8150000000000013</v>
      </c>
      <c r="AE371" s="6">
        <f t="shared" si="113"/>
        <v>30.45</v>
      </c>
      <c r="AF371" s="6">
        <f t="shared" si="114"/>
        <v>3.8274683796966045</v>
      </c>
      <c r="AG371" s="6">
        <f t="shared" si="115"/>
        <v>1.8629179589021692</v>
      </c>
      <c r="AH371" s="6">
        <f t="shared" si="124"/>
        <v>0.98227521039721766</v>
      </c>
      <c r="AI371" s="6">
        <f t="shared" si="125"/>
        <v>6.7548577209165642E-2</v>
      </c>
      <c r="AJ371" s="6">
        <f t="shared" si="126"/>
        <v>0.29910280156595276</v>
      </c>
      <c r="AK371" s="6">
        <f t="shared" si="127"/>
        <v>0.68317240883126495</v>
      </c>
      <c r="AL371" s="6">
        <f t="shared" si="116"/>
        <v>0.73350000000000004</v>
      </c>
      <c r="AM371" s="6">
        <v>16.8</v>
      </c>
      <c r="AN371" s="6">
        <f t="shared" si="128"/>
        <v>24.348064516129035</v>
      </c>
    </row>
  </sheetData>
  <mergeCells count="4">
    <mergeCell ref="AD4:AK4"/>
    <mergeCell ref="B1:L1"/>
    <mergeCell ref="B2:L2"/>
    <mergeCell ref="W4:AC4"/>
  </mergeCells>
  <phoneticPr fontId="0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  <ignoredErrors>
    <ignoredError sqref="X6:X17" formulaRange="1"/>
    <ignoredError sqref="AB9:AB11 AB16 AB7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6413F-1A20-4E02-B773-9CD946A3FA82}">
  <dimension ref="A1:AM371"/>
  <sheetViews>
    <sheetView topLeftCell="R1" workbookViewId="0">
      <selection activeCell="L6" sqref="L6:L371"/>
    </sheetView>
  </sheetViews>
  <sheetFormatPr defaultColWidth="9.6640625" defaultRowHeight="12.75" x14ac:dyDescent="0.2"/>
  <cols>
    <col min="1" max="1" width="10.5" style="19" bestFit="1" customWidth="1"/>
    <col min="2" max="2" width="11.5" style="19" bestFit="1" customWidth="1"/>
    <col min="3" max="3" width="12.83203125" style="19" bestFit="1" customWidth="1"/>
    <col min="4" max="4" width="11.5" style="19" bestFit="1" customWidth="1"/>
    <col min="5" max="5" width="12" style="19" bestFit="1" customWidth="1"/>
    <col min="6" max="6" width="12.83203125" style="19" customWidth="1"/>
    <col min="7" max="7" width="19.5" style="19" bestFit="1" customWidth="1"/>
    <col min="8" max="8" width="11" style="19" bestFit="1" customWidth="1"/>
    <col min="9" max="9" width="12.33203125" style="19" bestFit="1" customWidth="1"/>
    <col min="10" max="10" width="11.83203125" style="19" bestFit="1" customWidth="1"/>
    <col min="11" max="12" width="21.6640625" style="19" bestFit="1" customWidth="1"/>
    <col min="13" max="13" width="7.1640625" style="19" customWidth="1"/>
    <col min="14" max="14" width="13.6640625" style="20" bestFit="1" customWidth="1"/>
    <col min="15" max="15" width="23" style="20" bestFit="1" customWidth="1"/>
    <col min="16" max="16" width="10.6640625" style="20" bestFit="1" customWidth="1"/>
    <col min="17" max="17" width="22" style="20" bestFit="1" customWidth="1"/>
    <col min="18" max="18" width="32.5" style="5" bestFit="1" customWidth="1"/>
    <col min="19" max="19" width="16.5" style="20" bestFit="1" customWidth="1"/>
    <col min="20" max="20" width="17.83203125" style="20" bestFit="1" customWidth="1"/>
    <col min="21" max="21" width="13.33203125" style="19" bestFit="1" customWidth="1"/>
    <col min="22" max="22" width="12.33203125" style="20" bestFit="1" customWidth="1"/>
    <col min="23" max="23" width="10.1640625" style="20" bestFit="1" customWidth="1"/>
    <col min="24" max="24" width="14.33203125" style="20" customWidth="1"/>
    <col min="25" max="25" width="10.6640625" style="20" bestFit="1" customWidth="1"/>
    <col min="26" max="26" width="10.1640625" style="20" bestFit="1" customWidth="1"/>
    <col min="27" max="27" width="10.6640625" style="20" bestFit="1" customWidth="1"/>
    <col min="28" max="28" width="10.1640625" style="20" bestFit="1" customWidth="1"/>
    <col min="29" max="29" width="12.33203125" style="20" bestFit="1" customWidth="1"/>
    <col min="30" max="33" width="10.1640625" style="20" bestFit="1" customWidth="1"/>
    <col min="34" max="34" width="15.6640625" style="20" bestFit="1" customWidth="1"/>
    <col min="35" max="37" width="9.6640625" style="19"/>
    <col min="38" max="38" width="15.5" style="19" bestFit="1" customWidth="1"/>
    <col min="39" max="16384" width="9.6640625" style="19"/>
  </cols>
  <sheetData>
    <row r="1" spans="1:39" x14ac:dyDescent="0.2">
      <c r="A1" s="30" t="s">
        <v>66</v>
      </c>
      <c r="B1" s="30"/>
      <c r="C1" s="30"/>
      <c r="D1" s="30"/>
      <c r="E1" s="30"/>
      <c r="F1" s="30"/>
      <c r="G1" s="30"/>
      <c r="H1" s="30"/>
      <c r="I1" s="30"/>
      <c r="J1" s="30"/>
      <c r="K1" s="30"/>
      <c r="N1" s="5">
        <f t="shared" ref="N1:S1" si="0">SUM(N6:N371)</f>
        <v>1892.2104373728773</v>
      </c>
      <c r="O1" s="6">
        <f t="shared" si="0"/>
        <v>1841.448651701344</v>
      </c>
      <c r="P1" s="5">
        <f t="shared" si="0"/>
        <v>48.607312886728408</v>
      </c>
      <c r="Q1" s="5">
        <f t="shared" si="0"/>
        <v>1854.1187547487195</v>
      </c>
      <c r="R1" s="5">
        <f t="shared" si="0"/>
        <v>927.98462554889954</v>
      </c>
      <c r="S1" s="5">
        <f t="shared" si="0"/>
        <v>77.350707349669563</v>
      </c>
      <c r="T1" s="5">
        <f>SUM(T6:T371)</f>
        <v>927.98462554889988</v>
      </c>
      <c r="U1" s="5">
        <f>SUM(U6:U371)</f>
        <v>13769.761685847063</v>
      </c>
      <c r="V1" s="5"/>
      <c r="W1" s="5">
        <f>T1/Q1</f>
        <v>0.50049902314626304</v>
      </c>
      <c r="X1" s="5"/>
      <c r="Y1" s="5"/>
      <c r="Z1"/>
      <c r="AA1"/>
      <c r="AB1"/>
      <c r="AC1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39" x14ac:dyDescent="0.2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21"/>
      <c r="M2" s="21"/>
      <c r="N2" s="5"/>
      <c r="O2" s="6"/>
      <c r="P2" s="5"/>
      <c r="Q2" s="5"/>
      <c r="S2" s="5"/>
      <c r="T2" s="5"/>
      <c r="U2" s="5"/>
      <c r="V2" s="5"/>
      <c r="W2" s="5"/>
      <c r="X2" s="5"/>
      <c r="Y2" s="5"/>
      <c r="Z2"/>
      <c r="AA2"/>
      <c r="AB2"/>
      <c r="AC2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39" x14ac:dyDescent="0.2">
      <c r="N3" s="5"/>
      <c r="O3" s="6"/>
      <c r="P3" s="5"/>
      <c r="Q3" s="5"/>
      <c r="S3" s="5"/>
      <c r="T3" s="5"/>
      <c r="U3" s="5"/>
      <c r="V3" s="5"/>
      <c r="W3" s="5"/>
      <c r="X3" s="5"/>
      <c r="Y3" s="5"/>
      <c r="Z3"/>
      <c r="AA3"/>
      <c r="AB3"/>
      <c r="AC3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spans="1:39" x14ac:dyDescent="0.2">
      <c r="A4" s="21" t="s">
        <v>2</v>
      </c>
      <c r="B4" s="22" t="s">
        <v>2</v>
      </c>
      <c r="C4" s="22" t="s">
        <v>2</v>
      </c>
      <c r="D4" s="22" t="s">
        <v>2</v>
      </c>
      <c r="E4" s="22" t="s">
        <v>2</v>
      </c>
      <c r="F4" s="22" t="s">
        <v>2</v>
      </c>
      <c r="G4" s="22" t="s">
        <v>2</v>
      </c>
      <c r="H4" s="22" t="s">
        <v>2</v>
      </c>
      <c r="I4" s="22" t="s">
        <v>2</v>
      </c>
      <c r="J4" s="22" t="s">
        <v>2</v>
      </c>
      <c r="K4" s="22" t="s">
        <v>2</v>
      </c>
      <c r="L4" s="22" t="s">
        <v>2</v>
      </c>
      <c r="N4" s="11"/>
      <c r="O4" s="15"/>
      <c r="P4" s="11"/>
      <c r="Q4" s="11"/>
      <c r="R4" s="11"/>
      <c r="S4" s="11"/>
      <c r="T4" s="11"/>
      <c r="U4" s="5"/>
      <c r="V4" s="5"/>
      <c r="W4" s="31" t="s">
        <v>8</v>
      </c>
      <c r="X4" s="31"/>
      <c r="Y4" s="31"/>
      <c r="Z4" s="31"/>
      <c r="AA4" s="31"/>
      <c r="AB4" s="31"/>
      <c r="AC4" s="31"/>
      <c r="AD4" s="32" t="s">
        <v>13</v>
      </c>
      <c r="AE4" s="32"/>
      <c r="AF4" s="32"/>
      <c r="AG4" s="32"/>
      <c r="AH4" s="32"/>
      <c r="AI4" s="32"/>
      <c r="AJ4" s="32"/>
      <c r="AK4" s="32"/>
      <c r="AL4" s="5" t="s">
        <v>11</v>
      </c>
      <c r="AM4" s="5" t="s">
        <v>9</v>
      </c>
    </row>
    <row r="5" spans="1:39" x14ac:dyDescent="0.2">
      <c r="A5" s="21" t="s">
        <v>3</v>
      </c>
      <c r="B5" s="18" t="s">
        <v>63</v>
      </c>
      <c r="C5" s="19" t="s">
        <v>60</v>
      </c>
      <c r="D5" s="19" t="s">
        <v>65</v>
      </c>
      <c r="E5" s="18" t="s">
        <v>58</v>
      </c>
      <c r="F5" s="18" t="s">
        <v>62</v>
      </c>
      <c r="G5" s="19" t="s">
        <v>64</v>
      </c>
      <c r="H5" s="18" t="s">
        <v>59</v>
      </c>
      <c r="I5" s="19" t="s">
        <v>61</v>
      </c>
      <c r="J5" s="18" t="s">
        <v>55</v>
      </c>
      <c r="K5" s="18" t="s">
        <v>67</v>
      </c>
      <c r="L5" s="18" t="s">
        <v>72</v>
      </c>
      <c r="N5" s="12" t="s">
        <v>4</v>
      </c>
      <c r="O5" s="16" t="s">
        <v>5</v>
      </c>
      <c r="P5" s="12" t="s">
        <v>9</v>
      </c>
      <c r="Q5" s="12" t="s">
        <v>10</v>
      </c>
      <c r="R5" s="12" t="s">
        <v>35</v>
      </c>
      <c r="S5" s="12" t="s">
        <v>11</v>
      </c>
      <c r="T5" s="12" t="s">
        <v>12</v>
      </c>
      <c r="U5" s="12" t="s">
        <v>68</v>
      </c>
      <c r="V5" s="5"/>
      <c r="W5" s="5"/>
      <c r="X5" s="4" t="s">
        <v>69</v>
      </c>
      <c r="Y5" s="4" t="s">
        <v>6</v>
      </c>
      <c r="Z5" s="4" t="s">
        <v>70</v>
      </c>
      <c r="AA5" s="4" t="s">
        <v>7</v>
      </c>
      <c r="AB5" s="4" t="s">
        <v>71</v>
      </c>
      <c r="AC5" s="5"/>
      <c r="AD5" s="4" t="s">
        <v>15</v>
      </c>
      <c r="AE5" s="4" t="s">
        <v>16</v>
      </c>
      <c r="AF5" s="4" t="s">
        <v>17</v>
      </c>
      <c r="AG5" s="4" t="s">
        <v>18</v>
      </c>
      <c r="AH5" s="4" t="s">
        <v>19</v>
      </c>
      <c r="AI5" s="4" t="s">
        <v>14</v>
      </c>
      <c r="AJ5" s="4" t="s">
        <v>20</v>
      </c>
      <c r="AK5" s="4" t="s">
        <v>21</v>
      </c>
      <c r="AL5" s="5"/>
      <c r="AM5" s="4" t="s">
        <v>22</v>
      </c>
    </row>
    <row r="6" spans="1:39" x14ac:dyDescent="0.2">
      <c r="A6" s="23">
        <v>45292</v>
      </c>
      <c r="B6" s="20">
        <v>28.3</v>
      </c>
      <c r="C6" s="20">
        <v>78.400000000000006</v>
      </c>
      <c r="D6" s="20">
        <v>1</v>
      </c>
      <c r="E6" s="20">
        <v>33.299999999999997</v>
      </c>
      <c r="F6" s="20">
        <v>82.3958333333333</v>
      </c>
      <c r="G6" s="20">
        <v>2.88749999999999</v>
      </c>
      <c r="H6" s="20">
        <v>24.1</v>
      </c>
      <c r="I6" s="20">
        <v>57</v>
      </c>
      <c r="J6" s="20">
        <v>0</v>
      </c>
      <c r="K6" s="20">
        <v>0.510083333333333</v>
      </c>
      <c r="L6" s="20">
        <f>K6*0.46</f>
        <v>0.2346383333333332</v>
      </c>
      <c r="M6" s="20"/>
      <c r="N6" s="5">
        <f>IF(0&lt;$X$6&lt;26.5,16*(((10*$X$6)/$Z$6)^$Z$6)/30,((-415.85)+(32.24*$X$6)-(0.43*$X$6^2))/30)</f>
        <v>5.0312804691293822</v>
      </c>
      <c r="O6" s="6">
        <f>$AC$6</f>
        <v>5.0312804691293822</v>
      </c>
      <c r="P6" s="5">
        <f>(0.01*B6*AM6)</f>
        <v>4.7261000000000006</v>
      </c>
      <c r="Q6" s="5">
        <f t="shared" ref="Q6:Q69" si="1">0.0023*(SQRT(E6-H6))*(17.8+B6)*AM6</f>
        <v>5.3708020526630085</v>
      </c>
      <c r="R6" s="5">
        <f>Q6*$W$1</f>
        <v>2.68808118086978</v>
      </c>
      <c r="S6" s="5">
        <f t="shared" ref="S6:S69" si="2">1.26*AL6*((K6*0.95)/2.45)</f>
        <v>0.19089650142857131</v>
      </c>
      <c r="T6" s="5">
        <f t="shared" ref="T6:T69" si="3">((0.408*AI6)*(K6*0.95) + ((0.063*900*G6*AK6)/((AD6+273))))/(AI6+0.063*(1+0.34*G6))</f>
        <v>2.2465757952622036</v>
      </c>
      <c r="U6" s="5">
        <f t="shared" ref="U6:U69" si="4">1.21*(10^((7.45*$X$19)/(234.7+$X$19)))*((1-0.01*(C6/100))+(0.21*$X$19)-2.3)</f>
        <v>37.6188862926873</v>
      </c>
      <c r="V6" s="5"/>
      <c r="W6" s="4" t="s">
        <v>23</v>
      </c>
      <c r="X6" s="7">
        <f>AVERAGE(B6:B36)</f>
        <v>28.146774193548392</v>
      </c>
      <c r="Y6" s="5">
        <f t="shared" ref="Y6:Y17" si="5">(X6/5)^1.514</f>
        <v>13.683410558420444</v>
      </c>
      <c r="Z6" s="5">
        <f>SUM(Y6:Y17)</f>
        <v>170.64595402943502</v>
      </c>
      <c r="AA6" s="4">
        <f>0.49239+1.7912*10^(-2)*Z6-7.71*10^(-5)*Z6^2+6.75*10^(-7)*Z6^3</f>
        <v>4.6580667863699041</v>
      </c>
      <c r="AB6" s="14">
        <f t="shared" ref="AB6:AB17" si="6">IF(0&lt;X6&lt;26.5,16*(31/30)*(12/12)*((10*X6)/$Z$6)^$AA$6,-415.85+32.24*X6-0.43*(X6^2))</f>
        <v>150.93841407388146</v>
      </c>
      <c r="AC6" s="6">
        <f>AB6/30</f>
        <v>5.0312804691293822</v>
      </c>
      <c r="AD6" s="5">
        <f t="shared" ref="AD6:AD69" si="7">(E6-H6)/2</f>
        <v>4.5999999999999979</v>
      </c>
      <c r="AE6" s="5">
        <f t="shared" ref="AE6:AE69" si="8">(F6-I6)/2</f>
        <v>12.69791666666665</v>
      </c>
      <c r="AF6" s="5">
        <f t="shared" ref="AF6:AF69" si="9">0.611*10^((7.5*E6)/(273.3+E6))</f>
        <v>3.9867634365677822</v>
      </c>
      <c r="AG6" s="5">
        <f t="shared" ref="AG6:AG69" si="10">0.611*10^((7.5*H6)/(273.3+H6))</f>
        <v>2.476330045344838</v>
      </c>
      <c r="AH6" s="5">
        <f>(AF6-AG6)/2</f>
        <v>0.75521669561147209</v>
      </c>
      <c r="AI6" s="5">
        <f t="shared" ref="AI6:AI69" si="11">(4098*AH6)/((237.3+AD6)^2)</f>
        <v>5.2889784770522134E-2</v>
      </c>
      <c r="AJ6" s="5">
        <f>(AE6*AH6)/100</f>
        <v>9.5896786661498257E-2</v>
      </c>
      <c r="AK6" s="5">
        <f>AH6-AJ6</f>
        <v>0.65931990894997383</v>
      </c>
      <c r="AL6" s="5">
        <f t="shared" ref="AL6:AL69" si="12">IF(0&lt;B6&lt;16,0.407+0.0145*B6,0.483+0.01*B6)</f>
        <v>0.76600000000000001</v>
      </c>
      <c r="AM6" s="5">
        <v>16.7</v>
      </c>
    </row>
    <row r="7" spans="1:39" x14ac:dyDescent="0.2">
      <c r="A7" s="23">
        <v>45293</v>
      </c>
      <c r="B7" s="20">
        <v>28.7</v>
      </c>
      <c r="C7" s="20">
        <v>79.7</v>
      </c>
      <c r="D7" s="20">
        <v>1.5</v>
      </c>
      <c r="E7" s="20">
        <v>32.299999999999997</v>
      </c>
      <c r="F7" s="20">
        <v>82.0416666666666</v>
      </c>
      <c r="G7" s="20">
        <v>3.8</v>
      </c>
      <c r="H7" s="20">
        <v>26.1</v>
      </c>
      <c r="I7" s="20">
        <v>66</v>
      </c>
      <c r="J7" s="20">
        <v>0</v>
      </c>
      <c r="K7" s="20">
        <v>0.59739166666666599</v>
      </c>
      <c r="L7" s="20">
        <f t="shared" ref="L7:L70" si="13">K7*0.46</f>
        <v>0.27480016666666635</v>
      </c>
      <c r="M7" s="20"/>
      <c r="N7" s="5">
        <f t="shared" ref="N7:N36" si="14">IF(0&lt;$X$6&lt;26.5,16*(((10*$X$6)/$Z$6)^$Z$6)/30,((-415.85)+(32.24*$X$6)-(0.43*$X$6^2))/30)</f>
        <v>5.0312804691293822</v>
      </c>
      <c r="O7" s="6">
        <f t="shared" ref="O7:O70" si="15">$AC$6</f>
        <v>5.0312804691293822</v>
      </c>
      <c r="P7" s="20">
        <f t="shared" ref="P7:P70" si="16">(0.01*B7*Y7)</f>
        <v>3.989537952686987</v>
      </c>
      <c r="Q7" s="5">
        <f t="shared" si="1"/>
        <v>4.4472659850963474</v>
      </c>
      <c r="R7" s="5">
        <f t="shared" ref="R7:R70" si="17">Q7*$W$1</f>
        <v>2.2258522812123251</v>
      </c>
      <c r="S7" s="5">
        <f t="shared" si="2"/>
        <v>0.22473874499999971</v>
      </c>
      <c r="T7" s="5">
        <f t="shared" si="3"/>
        <v>2.1023645873188799</v>
      </c>
      <c r="U7" s="5">
        <f t="shared" si="4"/>
        <v>37.617857213013892</v>
      </c>
      <c r="W7" s="4" t="s">
        <v>24</v>
      </c>
      <c r="X7" s="7">
        <f>AVERAGE(B37:B65)</f>
        <v>28.441379310344825</v>
      </c>
      <c r="Y7" s="5">
        <f t="shared" si="5"/>
        <v>13.90082910343898</v>
      </c>
      <c r="AB7" s="14">
        <f t="shared" si="6"/>
        <v>153.26788442330559</v>
      </c>
      <c r="AC7" s="20">
        <f t="shared" ref="AC7:AC18" si="18">0.611*10^((7.5*H7)/(273.3+H7))</f>
        <v>2.7532701446187993</v>
      </c>
      <c r="AD7" s="5">
        <f t="shared" si="7"/>
        <v>3.0999999999999979</v>
      </c>
      <c r="AE7" s="5">
        <f t="shared" si="8"/>
        <v>8.0208333333333002</v>
      </c>
      <c r="AF7" s="5">
        <f t="shared" si="9"/>
        <v>3.7909153757869953</v>
      </c>
      <c r="AG7" s="5">
        <f t="shared" si="10"/>
        <v>2.7532701446187993</v>
      </c>
      <c r="AH7" s="5">
        <f t="shared" ref="AH7:AH70" si="19">(AF7-AG7)/2</f>
        <v>0.51882261558409803</v>
      </c>
      <c r="AI7" s="5">
        <f t="shared" si="11"/>
        <v>3.6789334031876182E-2</v>
      </c>
      <c r="AJ7" s="5">
        <f t="shared" ref="AJ7:AJ70" si="20">(AE7*AH7)/100</f>
        <v>4.1613897291641021E-2</v>
      </c>
      <c r="AK7" s="5">
        <f t="shared" ref="AK7:AK70" si="21">AH7-AJ7</f>
        <v>0.47720871829245703</v>
      </c>
      <c r="AL7" s="5">
        <f t="shared" si="12"/>
        <v>0.77</v>
      </c>
      <c r="AM7" s="5">
        <v>16.7</v>
      </c>
    </row>
    <row r="8" spans="1:39" x14ac:dyDescent="0.2">
      <c r="A8" s="23">
        <v>45294</v>
      </c>
      <c r="B8" s="20">
        <v>29.1</v>
      </c>
      <c r="C8" s="20">
        <v>76</v>
      </c>
      <c r="D8" s="20">
        <v>1.8</v>
      </c>
      <c r="E8" s="20">
        <v>34.1</v>
      </c>
      <c r="F8" s="20">
        <v>79.3958333333333</v>
      </c>
      <c r="G8" s="20">
        <v>4.6958333333333302</v>
      </c>
      <c r="H8" s="20">
        <v>26.1</v>
      </c>
      <c r="I8" s="20">
        <v>55</v>
      </c>
      <c r="J8" s="20">
        <v>0</v>
      </c>
      <c r="K8" s="20">
        <v>0.61533541666666602</v>
      </c>
      <c r="L8" s="20">
        <f t="shared" si="13"/>
        <v>0.2830542916666664</v>
      </c>
      <c r="M8" s="20"/>
      <c r="N8" s="5">
        <f t="shared" si="14"/>
        <v>5.0312804691293822</v>
      </c>
      <c r="O8" s="6">
        <f t="shared" si="15"/>
        <v>5.0312804691293822</v>
      </c>
      <c r="P8" s="20">
        <f t="shared" si="16"/>
        <v>3.8954842532741347</v>
      </c>
      <c r="Q8" s="5">
        <f t="shared" si="1"/>
        <v>5.0952106469044054</v>
      </c>
      <c r="R8" s="5">
        <f t="shared" si="17"/>
        <v>2.5501479515000938</v>
      </c>
      <c r="S8" s="5">
        <f t="shared" si="2"/>
        <v>0.23269172496428542</v>
      </c>
      <c r="T8" s="5">
        <f t="shared" si="3"/>
        <v>2.8251923814179976</v>
      </c>
      <c r="U8" s="5">
        <f t="shared" si="4"/>
        <v>37.620786132084362</v>
      </c>
      <c r="W8" s="4" t="s">
        <v>25</v>
      </c>
      <c r="X8" s="7">
        <f>AVERAGE(B66:B96)</f>
        <v>27.741935483870975</v>
      </c>
      <c r="Y8" s="5">
        <f t="shared" si="5"/>
        <v>13.38654382568431</v>
      </c>
      <c r="AB8" s="14">
        <f t="shared" si="6"/>
        <v>147.6155567117587</v>
      </c>
      <c r="AC8" s="20">
        <f t="shared" si="18"/>
        <v>2.7532701446187993</v>
      </c>
      <c r="AD8" s="5">
        <f t="shared" si="7"/>
        <v>4</v>
      </c>
      <c r="AE8" s="5">
        <f t="shared" si="8"/>
        <v>12.19791666666665</v>
      </c>
      <c r="AF8" s="5">
        <f t="shared" si="9"/>
        <v>4.1497228216209656</v>
      </c>
      <c r="AG8" s="5">
        <f t="shared" si="10"/>
        <v>2.7532701446187993</v>
      </c>
      <c r="AH8" s="5">
        <f t="shared" si="19"/>
        <v>0.69822633850108318</v>
      </c>
      <c r="AI8" s="5">
        <f t="shared" si="11"/>
        <v>4.914208032875933E-2</v>
      </c>
      <c r="AJ8" s="5">
        <f t="shared" si="20"/>
        <v>8.516906691507993E-2</v>
      </c>
      <c r="AK8" s="5">
        <f t="shared" si="21"/>
        <v>0.61305727158600321</v>
      </c>
      <c r="AL8" s="5">
        <f t="shared" si="12"/>
        <v>0.77400000000000002</v>
      </c>
      <c r="AM8" s="5">
        <v>16.7</v>
      </c>
    </row>
    <row r="9" spans="1:39" x14ac:dyDescent="0.2">
      <c r="A9" s="23">
        <v>45295</v>
      </c>
      <c r="B9" s="20">
        <v>29.4</v>
      </c>
      <c r="C9" s="20">
        <v>72</v>
      </c>
      <c r="D9" s="20">
        <v>1.6</v>
      </c>
      <c r="E9" s="20">
        <v>34.9</v>
      </c>
      <c r="F9" s="20">
        <v>74.1875</v>
      </c>
      <c r="G9" s="20">
        <v>5.1124999999999998</v>
      </c>
      <c r="H9" s="20">
        <v>26.8</v>
      </c>
      <c r="I9" s="20">
        <v>49</v>
      </c>
      <c r="J9" s="20">
        <v>0</v>
      </c>
      <c r="K9" s="20">
        <v>0.69367083333333301</v>
      </c>
      <c r="L9" s="20">
        <f t="shared" si="13"/>
        <v>0.31908858333333318</v>
      </c>
      <c r="M9" s="20"/>
      <c r="N9" s="5">
        <f t="shared" si="14"/>
        <v>5.0312804691293822</v>
      </c>
      <c r="O9" s="6">
        <f t="shared" si="15"/>
        <v>5.0312804691293822</v>
      </c>
      <c r="P9" s="20">
        <f t="shared" si="16"/>
        <v>3.9474053063814942</v>
      </c>
      <c r="Q9" s="5">
        <f t="shared" si="1"/>
        <v>5.1597518477018243</v>
      </c>
      <c r="R9" s="5">
        <f t="shared" si="17"/>
        <v>2.5824507594518891</v>
      </c>
      <c r="S9" s="5">
        <f t="shared" si="2"/>
        <v>0.26333132174999979</v>
      </c>
      <c r="T9" s="5">
        <f t="shared" si="3"/>
        <v>3.0471560593820195</v>
      </c>
      <c r="U9" s="5">
        <f t="shared" si="4"/>
        <v>37.62395253107946</v>
      </c>
      <c r="W9" s="4" t="s">
        <v>26</v>
      </c>
      <c r="X9" s="7">
        <f>AVERAGE(B97:B126)</f>
        <v>27.796666666666674</v>
      </c>
      <c r="Y9" s="5">
        <f t="shared" si="5"/>
        <v>13.426548661161545</v>
      </c>
      <c r="AB9" s="14">
        <f t="shared" si="6"/>
        <v>148.07302188888906</v>
      </c>
      <c r="AC9" s="20">
        <f t="shared" si="18"/>
        <v>2.8563929422901966</v>
      </c>
      <c r="AD9" s="5">
        <f t="shared" si="7"/>
        <v>4.0499999999999989</v>
      </c>
      <c r="AE9" s="5">
        <f t="shared" si="8"/>
        <v>12.59375</v>
      </c>
      <c r="AF9" s="5">
        <f t="shared" si="9"/>
        <v>4.3184449530992666</v>
      </c>
      <c r="AG9" s="5">
        <f t="shared" si="10"/>
        <v>2.8563929422901966</v>
      </c>
      <c r="AH9" s="5">
        <f t="shared" si="19"/>
        <v>0.731026005404535</v>
      </c>
      <c r="AI9" s="5">
        <f t="shared" si="11"/>
        <v>5.1429248048743569E-2</v>
      </c>
      <c r="AJ9" s="5">
        <f t="shared" si="20"/>
        <v>9.2063587555633625E-2</v>
      </c>
      <c r="AK9" s="5">
        <f t="shared" si="21"/>
        <v>0.6389624178489014</v>
      </c>
      <c r="AL9" s="5">
        <f t="shared" si="12"/>
        <v>0.77699999999999991</v>
      </c>
      <c r="AM9" s="5">
        <v>16.7</v>
      </c>
    </row>
    <row r="10" spans="1:39" x14ac:dyDescent="0.2">
      <c r="A10" s="23">
        <v>45296</v>
      </c>
      <c r="B10" s="20">
        <v>26.1</v>
      </c>
      <c r="C10" s="20">
        <v>84.2</v>
      </c>
      <c r="D10" s="20">
        <v>1.6</v>
      </c>
      <c r="E10" s="20">
        <v>28.7</v>
      </c>
      <c r="F10" s="20">
        <v>86.0416666666666</v>
      </c>
      <c r="G10" s="20">
        <v>4.2291666666666599</v>
      </c>
      <c r="H10" s="20">
        <v>23.7</v>
      </c>
      <c r="I10" s="20">
        <v>74</v>
      </c>
      <c r="J10" s="20">
        <v>3.8</v>
      </c>
      <c r="K10" s="20">
        <v>0.32023750000000001</v>
      </c>
      <c r="L10" s="20">
        <f t="shared" si="13"/>
        <v>0.14730925</v>
      </c>
      <c r="M10" s="20"/>
      <c r="N10" s="5">
        <f t="shared" si="14"/>
        <v>5.0312804691293822</v>
      </c>
      <c r="O10" s="6">
        <f t="shared" si="15"/>
        <v>5.0312804691293822</v>
      </c>
      <c r="P10" s="20">
        <f t="shared" si="16"/>
        <v>3.456436119509414</v>
      </c>
      <c r="Q10" s="5">
        <f t="shared" si="1"/>
        <v>3.7704555875921688</v>
      </c>
      <c r="R10" s="5">
        <f t="shared" si="17"/>
        <v>1.8871093384062498</v>
      </c>
      <c r="S10" s="5">
        <f t="shared" si="2"/>
        <v>0.11640541628571428</v>
      </c>
      <c r="T10" s="5">
        <f t="shared" si="3"/>
        <v>1.6794104137144765</v>
      </c>
      <c r="U10" s="5">
        <f t="shared" si="4"/>
        <v>37.61429501414441</v>
      </c>
      <c r="W10" s="4" t="s">
        <v>27</v>
      </c>
      <c r="X10" s="7">
        <f>AVERAGE(B127:B157)</f>
        <v>27.545161290322579</v>
      </c>
      <c r="Y10" s="5">
        <f t="shared" si="5"/>
        <v>13.243050266319594</v>
      </c>
      <c r="AB10" s="14">
        <f t="shared" si="6"/>
        <v>145.94955848074926</v>
      </c>
      <c r="AC10" s="20">
        <f t="shared" si="18"/>
        <v>2.4239634039032953</v>
      </c>
      <c r="AD10" s="5">
        <f t="shared" si="7"/>
        <v>2.5</v>
      </c>
      <c r="AE10" s="5">
        <f t="shared" si="8"/>
        <v>6.0208333333333002</v>
      </c>
      <c r="AF10" s="5">
        <f t="shared" si="9"/>
        <v>3.1534761781486544</v>
      </c>
      <c r="AG10" s="5">
        <f t="shared" si="10"/>
        <v>2.4239634039032953</v>
      </c>
      <c r="AH10" s="5">
        <f t="shared" si="19"/>
        <v>0.36475638712267955</v>
      </c>
      <c r="AI10" s="5">
        <f t="shared" si="11"/>
        <v>2.5994202745211303E-2</v>
      </c>
      <c r="AJ10" s="5">
        <f t="shared" si="20"/>
        <v>2.1961374141344546E-2</v>
      </c>
      <c r="AK10" s="5">
        <f t="shared" si="21"/>
        <v>0.34279501298133502</v>
      </c>
      <c r="AL10" s="5">
        <f t="shared" si="12"/>
        <v>0.74399999999999999</v>
      </c>
      <c r="AM10" s="5">
        <v>16.7</v>
      </c>
    </row>
    <row r="11" spans="1:39" x14ac:dyDescent="0.2">
      <c r="A11" s="23">
        <v>45297</v>
      </c>
      <c r="B11" s="20">
        <v>27</v>
      </c>
      <c r="C11" s="20">
        <v>79.900000000000006</v>
      </c>
      <c r="D11" s="20">
        <v>2.2999999999999998</v>
      </c>
      <c r="E11" s="20">
        <v>31</v>
      </c>
      <c r="F11" s="20">
        <v>82.25</v>
      </c>
      <c r="G11" s="20">
        <v>5.33958333333333</v>
      </c>
      <c r="H11" s="20">
        <v>24.9</v>
      </c>
      <c r="I11" s="20">
        <v>64</v>
      </c>
      <c r="J11" s="20">
        <v>0.2</v>
      </c>
      <c r="K11" s="20">
        <v>0.56124166666666597</v>
      </c>
      <c r="L11" s="20">
        <f t="shared" si="13"/>
        <v>0.25817116666666634</v>
      </c>
      <c r="M11" s="20"/>
      <c r="N11" s="5">
        <f t="shared" si="14"/>
        <v>5.0312804691293822</v>
      </c>
      <c r="O11" s="6">
        <f t="shared" si="15"/>
        <v>5.0312804691293822</v>
      </c>
      <c r="P11" s="20">
        <f t="shared" si="16"/>
        <v>3.7776162175642107</v>
      </c>
      <c r="Q11" s="5">
        <f t="shared" si="1"/>
        <v>4.2499834481944037</v>
      </c>
      <c r="R11" s="5">
        <f t="shared" si="17"/>
        <v>2.1271125642090856</v>
      </c>
      <c r="S11" s="5">
        <f t="shared" si="2"/>
        <v>0.20647760207142826</v>
      </c>
      <c r="T11" s="5">
        <f t="shared" si="3"/>
        <v>2.3074593237466101</v>
      </c>
      <c r="U11" s="5">
        <f t="shared" si="4"/>
        <v>37.617698893064137</v>
      </c>
      <c r="W11" s="4" t="s">
        <v>28</v>
      </c>
      <c r="X11" s="7">
        <f>AVERAGE(B158:B187)</f>
        <v>28.56333333333334</v>
      </c>
      <c r="Y11" s="5">
        <f t="shared" si="5"/>
        <v>13.991171176163743</v>
      </c>
      <c r="AB11" s="14">
        <f t="shared" si="6"/>
        <v>154.21034188888899</v>
      </c>
      <c r="AC11" s="20">
        <f t="shared" si="18"/>
        <v>2.5840371643542337</v>
      </c>
      <c r="AD11" s="5">
        <f t="shared" si="7"/>
        <v>3.0500000000000007</v>
      </c>
      <c r="AE11" s="5">
        <f t="shared" si="8"/>
        <v>9.125</v>
      </c>
      <c r="AF11" s="5">
        <f t="shared" si="9"/>
        <v>3.5488680030585673</v>
      </c>
      <c r="AG11" s="5">
        <f t="shared" si="10"/>
        <v>2.5840371643542337</v>
      </c>
      <c r="AH11" s="5">
        <f t="shared" si="19"/>
        <v>0.48241541935216681</v>
      </c>
      <c r="AI11" s="5">
        <f t="shared" si="11"/>
        <v>3.4221960191023679E-2</v>
      </c>
      <c r="AJ11" s="5">
        <f t="shared" si="20"/>
        <v>4.4020407015885221E-2</v>
      </c>
      <c r="AK11" s="5">
        <f t="shared" si="21"/>
        <v>0.43839501233628159</v>
      </c>
      <c r="AL11" s="5">
        <f t="shared" si="12"/>
        <v>0.753</v>
      </c>
      <c r="AM11" s="5">
        <v>16.7</v>
      </c>
    </row>
    <row r="12" spans="1:39" x14ac:dyDescent="0.2">
      <c r="A12" s="23">
        <v>45298</v>
      </c>
      <c r="B12" s="20">
        <v>28.5</v>
      </c>
      <c r="C12" s="20">
        <v>75.599999999999994</v>
      </c>
      <c r="D12" s="20">
        <v>1.6</v>
      </c>
      <c r="E12" s="20">
        <v>35.200000000000003</v>
      </c>
      <c r="F12" s="20">
        <v>78.9375</v>
      </c>
      <c r="G12" s="20">
        <v>4.30416666666666</v>
      </c>
      <c r="H12" s="20">
        <v>25</v>
      </c>
      <c r="I12" s="20">
        <v>49</v>
      </c>
      <c r="J12" s="20">
        <v>0</v>
      </c>
      <c r="K12" s="20">
        <v>0.74407916666666596</v>
      </c>
      <c r="L12" s="20">
        <f t="shared" si="13"/>
        <v>0.34227641666666636</v>
      </c>
      <c r="M12" s="20"/>
      <c r="N12" s="5">
        <f t="shared" si="14"/>
        <v>5.0312804691293822</v>
      </c>
      <c r="O12" s="6">
        <f t="shared" si="15"/>
        <v>5.0312804691293822</v>
      </c>
      <c r="P12" s="20">
        <f t="shared" si="16"/>
        <v>4.1808769967625823</v>
      </c>
      <c r="Q12" s="5">
        <f t="shared" si="1"/>
        <v>5.6796998306096951</v>
      </c>
      <c r="R12" s="5">
        <f t="shared" si="17"/>
        <v>2.8426842169841482</v>
      </c>
      <c r="S12" s="5">
        <f t="shared" si="2"/>
        <v>0.2791955108571425</v>
      </c>
      <c r="T12" s="5">
        <f t="shared" si="3"/>
        <v>3.1459036197754404</v>
      </c>
      <c r="U12" s="5">
        <f t="shared" si="4"/>
        <v>37.621102771983871</v>
      </c>
      <c r="W12" s="4" t="s">
        <v>29</v>
      </c>
      <c r="X12" s="7">
        <f>AVERAGE(B188:B218)</f>
        <v>29.470967741935482</v>
      </c>
      <c r="Y12" s="5">
        <f t="shared" si="5"/>
        <v>14.669743848289761</v>
      </c>
      <c r="AB12" s="14">
        <f t="shared" si="6"/>
        <v>160.82268595213327</v>
      </c>
      <c r="AC12" s="20">
        <f t="shared" si="18"/>
        <v>2.5977841382776066</v>
      </c>
      <c r="AD12" s="5">
        <f t="shared" si="7"/>
        <v>5.1000000000000014</v>
      </c>
      <c r="AE12" s="5">
        <f t="shared" si="8"/>
        <v>14.96875</v>
      </c>
      <c r="AF12" s="5">
        <f t="shared" si="9"/>
        <v>4.3832360259416134</v>
      </c>
      <c r="AG12" s="5">
        <f t="shared" si="10"/>
        <v>2.5977841382776066</v>
      </c>
      <c r="AH12" s="5">
        <f t="shared" si="19"/>
        <v>0.89272594383200343</v>
      </c>
      <c r="AI12" s="5">
        <f t="shared" si="11"/>
        <v>6.2262259790426829E-2</v>
      </c>
      <c r="AJ12" s="5">
        <f t="shared" si="20"/>
        <v>0.133629914717353</v>
      </c>
      <c r="AK12" s="5">
        <f t="shared" si="21"/>
        <v>0.75909602911465046</v>
      </c>
      <c r="AL12" s="5">
        <f t="shared" si="12"/>
        <v>0.76800000000000002</v>
      </c>
      <c r="AM12" s="5">
        <v>16.7</v>
      </c>
    </row>
    <row r="13" spans="1:39" x14ac:dyDescent="0.2">
      <c r="A13" s="23">
        <v>45299</v>
      </c>
      <c r="B13" s="20">
        <v>29.3</v>
      </c>
      <c r="C13" s="20">
        <v>70.3</v>
      </c>
      <c r="D13" s="20">
        <v>1.8</v>
      </c>
      <c r="E13" s="20">
        <v>34.1</v>
      </c>
      <c r="F13" s="20">
        <v>73.625</v>
      </c>
      <c r="G13" s="20">
        <v>4.9083333333333297</v>
      </c>
      <c r="H13" s="20">
        <v>26.2</v>
      </c>
      <c r="I13" s="20">
        <v>51</v>
      </c>
      <c r="J13" s="20">
        <v>0</v>
      </c>
      <c r="K13" s="20">
        <v>0.74104166666666593</v>
      </c>
      <c r="L13" s="20">
        <f t="shared" si="13"/>
        <v>0.34087916666666634</v>
      </c>
      <c r="M13" s="20"/>
      <c r="N13" s="5">
        <f t="shared" si="14"/>
        <v>5.0312804691293822</v>
      </c>
      <c r="O13" s="6">
        <f t="shared" si="15"/>
        <v>5.0312804691293822</v>
      </c>
      <c r="P13" s="20">
        <f t="shared" si="16"/>
        <v>4.510096714970075</v>
      </c>
      <c r="Q13" s="5">
        <f t="shared" si="1"/>
        <v>5.0848571879194315</v>
      </c>
      <c r="R13" s="5">
        <f t="shared" si="17"/>
        <v>2.5449660553919298</v>
      </c>
      <c r="S13" s="5">
        <f t="shared" si="2"/>
        <v>0.28095218571428543</v>
      </c>
      <c r="T13" s="5">
        <f t="shared" si="3"/>
        <v>2.9049790725804026</v>
      </c>
      <c r="U13" s="5">
        <f t="shared" si="4"/>
        <v>37.625298250652378</v>
      </c>
      <c r="W13" s="4" t="s">
        <v>30</v>
      </c>
      <c r="X13" s="7">
        <f>AVERAGE(B219:B249)</f>
        <v>30.422580645161293</v>
      </c>
      <c r="Y13" s="5">
        <f t="shared" si="5"/>
        <v>15.392821552798889</v>
      </c>
      <c r="AB13" s="14">
        <f t="shared" si="6"/>
        <v>166.9946323621229</v>
      </c>
      <c r="AC13" s="20">
        <f t="shared" si="18"/>
        <v>2.7677999643057292</v>
      </c>
      <c r="AD13" s="5">
        <f t="shared" si="7"/>
        <v>3.9500000000000011</v>
      </c>
      <c r="AE13" s="5">
        <f t="shared" si="8"/>
        <v>11.3125</v>
      </c>
      <c r="AF13" s="5">
        <f t="shared" si="9"/>
        <v>4.1497228216209656</v>
      </c>
      <c r="AG13" s="5">
        <f t="shared" si="10"/>
        <v>2.7677999643057292</v>
      </c>
      <c r="AH13" s="5">
        <f t="shared" si="19"/>
        <v>0.69096142865761823</v>
      </c>
      <c r="AI13" s="5">
        <f t="shared" si="11"/>
        <v>4.8650926418666501E-2</v>
      </c>
      <c r="AJ13" s="5">
        <f t="shared" si="20"/>
        <v>7.8165011616893057E-2</v>
      </c>
      <c r="AK13" s="5">
        <f t="shared" si="21"/>
        <v>0.61279641704072518</v>
      </c>
      <c r="AL13" s="5">
        <f t="shared" si="12"/>
        <v>0.77600000000000002</v>
      </c>
      <c r="AM13" s="5">
        <v>16.7</v>
      </c>
    </row>
    <row r="14" spans="1:39" x14ac:dyDescent="0.2">
      <c r="A14" s="23">
        <v>45300</v>
      </c>
      <c r="B14" s="20">
        <v>27.8</v>
      </c>
      <c r="C14" s="20">
        <v>78</v>
      </c>
      <c r="D14" s="20">
        <v>1.5</v>
      </c>
      <c r="E14" s="20">
        <v>30.8</v>
      </c>
      <c r="F14" s="20">
        <v>81.875</v>
      </c>
      <c r="G14" s="20">
        <v>4.0458333333333298</v>
      </c>
      <c r="H14" s="20">
        <v>25.6</v>
      </c>
      <c r="I14" s="20">
        <v>64</v>
      </c>
      <c r="J14" s="20">
        <v>2.6</v>
      </c>
      <c r="K14" s="20">
        <v>0.386558333333333</v>
      </c>
      <c r="L14" s="20">
        <f t="shared" si="13"/>
        <v>0.1778168333333332</v>
      </c>
      <c r="M14" s="20"/>
      <c r="N14" s="5">
        <f t="shared" si="14"/>
        <v>5.0312804691293822</v>
      </c>
      <c r="O14" s="6">
        <f t="shared" si="15"/>
        <v>5.0312804691293822</v>
      </c>
      <c r="P14" s="20">
        <f t="shared" si="16"/>
        <v>4.5309755652685526</v>
      </c>
      <c r="Q14" s="5">
        <f t="shared" si="1"/>
        <v>3.9940253927188789</v>
      </c>
      <c r="R14" s="5">
        <f t="shared" si="17"/>
        <v>1.9990058074771686</v>
      </c>
      <c r="S14" s="5">
        <f t="shared" si="2"/>
        <v>0.14372349278571417</v>
      </c>
      <c r="T14" s="5">
        <f t="shared" si="3"/>
        <v>1.7821423370124201</v>
      </c>
      <c r="U14" s="5">
        <f t="shared" si="4"/>
        <v>37.619202932586816</v>
      </c>
      <c r="W14" s="4" t="s">
        <v>31</v>
      </c>
      <c r="X14" s="7">
        <f>AVERAGE(B250:B279)</f>
        <v>31.593333333333327</v>
      </c>
      <c r="Y14" s="5">
        <f t="shared" si="5"/>
        <v>16.298473256361699</v>
      </c>
      <c r="AB14" s="14">
        <f t="shared" si="6"/>
        <v>173.51942088888887</v>
      </c>
      <c r="AC14" s="20">
        <f t="shared" si="18"/>
        <v>2.6816155357966691</v>
      </c>
      <c r="AD14" s="5">
        <f t="shared" si="7"/>
        <v>2.5999999999999996</v>
      </c>
      <c r="AE14" s="5">
        <f t="shared" si="8"/>
        <v>8.9375</v>
      </c>
      <c r="AF14" s="5">
        <f t="shared" si="9"/>
        <v>3.5128512223635613</v>
      </c>
      <c r="AG14" s="5">
        <f t="shared" si="10"/>
        <v>2.6816155357966691</v>
      </c>
      <c r="AH14" s="5">
        <f t="shared" si="19"/>
        <v>0.41561784328344609</v>
      </c>
      <c r="AI14" s="5">
        <f t="shared" si="11"/>
        <v>2.9594134449440812E-2</v>
      </c>
      <c r="AJ14" s="5">
        <f t="shared" si="20"/>
        <v>3.7145844743457994E-2</v>
      </c>
      <c r="AK14" s="5">
        <f t="shared" si="21"/>
        <v>0.37847199853998809</v>
      </c>
      <c r="AL14" s="5">
        <f t="shared" si="12"/>
        <v>0.76100000000000001</v>
      </c>
      <c r="AM14" s="5">
        <v>16.7</v>
      </c>
    </row>
    <row r="15" spans="1:39" x14ac:dyDescent="0.2">
      <c r="A15" s="23">
        <v>45301</v>
      </c>
      <c r="B15" s="20">
        <v>27.6</v>
      </c>
      <c r="C15" s="20">
        <v>80.599999999999994</v>
      </c>
      <c r="D15" s="20">
        <v>0.9</v>
      </c>
      <c r="E15" s="20">
        <v>32.700000000000003</v>
      </c>
      <c r="F15" s="20">
        <v>83.1666666666666</v>
      </c>
      <c r="G15" s="20">
        <v>3.49166666666666</v>
      </c>
      <c r="H15" s="20">
        <v>24.3</v>
      </c>
      <c r="I15" s="20">
        <v>58</v>
      </c>
      <c r="J15" s="20">
        <v>9.6</v>
      </c>
      <c r="K15" s="20">
        <v>0.57055624999999999</v>
      </c>
      <c r="L15" s="20">
        <f t="shared" si="13"/>
        <v>0.26245587500000001</v>
      </c>
      <c r="M15" s="20"/>
      <c r="N15" s="5">
        <f t="shared" si="14"/>
        <v>5.0312804691293822</v>
      </c>
      <c r="O15" s="6">
        <f t="shared" si="15"/>
        <v>5.0312804691293822</v>
      </c>
      <c r="P15" s="20">
        <f t="shared" si="16"/>
        <v>4.1770121974710142</v>
      </c>
      <c r="Q15" s="5">
        <f t="shared" si="1"/>
        <v>5.0540531298559186</v>
      </c>
      <c r="R15" s="5">
        <f t="shared" si="17"/>
        <v>2.5295486544222006</v>
      </c>
      <c r="S15" s="5">
        <f t="shared" si="2"/>
        <v>0.21157692894642852</v>
      </c>
      <c r="T15" s="5">
        <f t="shared" si="3"/>
        <v>2.3515541465292773</v>
      </c>
      <c r="U15" s="5">
        <f t="shared" si="4"/>
        <v>37.617144773239993</v>
      </c>
      <c r="W15" s="4" t="s">
        <v>32</v>
      </c>
      <c r="X15" s="7">
        <f>AVERAGE((B280:B310))</f>
        <v>30.083870967741934</v>
      </c>
      <c r="Y15" s="5">
        <f t="shared" si="5"/>
        <v>15.13410216475005</v>
      </c>
      <c r="AB15" s="14">
        <f t="shared" si="6"/>
        <v>164.8871042663892</v>
      </c>
      <c r="AC15" s="20">
        <f t="shared" si="18"/>
        <v>2.5028821659538099</v>
      </c>
      <c r="AD15" s="5">
        <f t="shared" si="7"/>
        <v>4.2000000000000011</v>
      </c>
      <c r="AE15" s="5">
        <f t="shared" si="8"/>
        <v>12.5833333333333</v>
      </c>
      <c r="AF15" s="5">
        <f t="shared" si="9"/>
        <v>3.8682256329858009</v>
      </c>
      <c r="AG15" s="5">
        <f t="shared" si="10"/>
        <v>2.5028821659538099</v>
      </c>
      <c r="AH15" s="5">
        <f t="shared" si="19"/>
        <v>0.68267173351599553</v>
      </c>
      <c r="AI15" s="5">
        <f t="shared" si="11"/>
        <v>4.7967778402728797E-2</v>
      </c>
      <c r="AJ15" s="5">
        <f t="shared" si="20"/>
        <v>8.5902859800762552E-2</v>
      </c>
      <c r="AK15" s="5">
        <f t="shared" si="21"/>
        <v>0.59676887371523302</v>
      </c>
      <c r="AL15" s="5">
        <f t="shared" si="12"/>
        <v>0.75900000000000001</v>
      </c>
      <c r="AM15" s="5">
        <v>16.7</v>
      </c>
    </row>
    <row r="16" spans="1:39" x14ac:dyDescent="0.2">
      <c r="A16" s="23">
        <v>45302</v>
      </c>
      <c r="B16" s="20">
        <v>26.9</v>
      </c>
      <c r="C16" s="20">
        <v>84.1</v>
      </c>
      <c r="D16" s="20">
        <v>1.4</v>
      </c>
      <c r="E16" s="20">
        <v>30.1</v>
      </c>
      <c r="F16" s="20">
        <v>87.2916666666666</v>
      </c>
      <c r="G16" s="20">
        <v>4.0458333333333298</v>
      </c>
      <c r="H16" s="20">
        <v>24.9</v>
      </c>
      <c r="I16" s="20">
        <v>68</v>
      </c>
      <c r="J16" s="20">
        <v>0.6</v>
      </c>
      <c r="K16" s="20">
        <v>0.47071249999999998</v>
      </c>
      <c r="L16" s="20">
        <f t="shared" si="13"/>
        <v>0.21652774999999999</v>
      </c>
      <c r="M16" s="20"/>
      <c r="N16" s="5">
        <f t="shared" si="14"/>
        <v>5.0312804691293822</v>
      </c>
      <c r="O16" s="6">
        <f t="shared" si="15"/>
        <v>5.0312804691293822</v>
      </c>
      <c r="P16" s="20">
        <f t="shared" si="16"/>
        <v>3.8812755094780704</v>
      </c>
      <c r="Q16" s="5">
        <f t="shared" si="1"/>
        <v>3.9151959441783766</v>
      </c>
      <c r="R16" s="5">
        <f t="shared" si="17"/>
        <v>1.9595517454874884</v>
      </c>
      <c r="S16" s="5">
        <f t="shared" si="2"/>
        <v>0.17294246228571428</v>
      </c>
      <c r="T16" s="5">
        <f t="shared" si="3"/>
        <v>1.7273198936639085</v>
      </c>
      <c r="U16" s="5">
        <f t="shared" si="4"/>
        <v>37.614374174119291</v>
      </c>
      <c r="W16" s="4" t="s">
        <v>33</v>
      </c>
      <c r="X16" s="7">
        <f>AVERAGE(B311:B340)</f>
        <v>29.15</v>
      </c>
      <c r="Y16" s="5">
        <f t="shared" si="5"/>
        <v>14.428533492483533</v>
      </c>
      <c r="AB16" s="14">
        <f t="shared" si="6"/>
        <v>158.56532500000003</v>
      </c>
      <c r="AC16" s="20">
        <f t="shared" si="18"/>
        <v>2.5840371643542337</v>
      </c>
      <c r="AD16" s="5">
        <f t="shared" si="7"/>
        <v>2.6000000000000014</v>
      </c>
      <c r="AE16" s="5">
        <f t="shared" si="8"/>
        <v>9.6458333333333002</v>
      </c>
      <c r="AF16" s="5">
        <f t="shared" si="9"/>
        <v>3.3892877989784185</v>
      </c>
      <c r="AG16" s="5">
        <f t="shared" si="10"/>
        <v>2.5840371643542337</v>
      </c>
      <c r="AH16" s="5">
        <f t="shared" si="19"/>
        <v>0.40262531731209239</v>
      </c>
      <c r="AI16" s="5">
        <f t="shared" si="11"/>
        <v>2.8668999576990525E-2</v>
      </c>
      <c r="AJ16" s="5">
        <f t="shared" si="20"/>
        <v>3.8836567065728779E-2</v>
      </c>
      <c r="AK16" s="5">
        <f t="shared" si="21"/>
        <v>0.36378875024636359</v>
      </c>
      <c r="AL16" s="5">
        <f t="shared" si="12"/>
        <v>0.752</v>
      </c>
      <c r="AM16" s="5">
        <v>16.7</v>
      </c>
    </row>
    <row r="17" spans="1:39" x14ac:dyDescent="0.2">
      <c r="A17" s="23">
        <v>45303</v>
      </c>
      <c r="B17" s="20">
        <v>27</v>
      </c>
      <c r="C17" s="20">
        <v>81.3</v>
      </c>
      <c r="D17" s="20">
        <v>1</v>
      </c>
      <c r="E17" s="20">
        <v>32.799999999999997</v>
      </c>
      <c r="F17" s="20">
        <v>83.5</v>
      </c>
      <c r="G17" s="20">
        <v>3.1354166666666599</v>
      </c>
      <c r="H17" s="20">
        <v>24.4</v>
      </c>
      <c r="I17" s="20">
        <v>58</v>
      </c>
      <c r="J17" s="20">
        <v>0.6</v>
      </c>
      <c r="K17" s="20">
        <v>0.44197499999999901</v>
      </c>
      <c r="L17" s="20">
        <f t="shared" si="13"/>
        <v>0.20330849999999956</v>
      </c>
      <c r="M17" s="20"/>
      <c r="N17" s="5">
        <f t="shared" si="14"/>
        <v>5.0312804691293822</v>
      </c>
      <c r="O17" s="6">
        <f t="shared" si="15"/>
        <v>5.0312804691293822</v>
      </c>
      <c r="P17" s="20">
        <f t="shared" si="16"/>
        <v>3.5344960533618646</v>
      </c>
      <c r="Q17" s="5">
        <f t="shared" si="1"/>
        <v>4.9872594761573801</v>
      </c>
      <c r="R17" s="5">
        <f t="shared" si="17"/>
        <v>2.4961184959937124</v>
      </c>
      <c r="S17" s="5">
        <f t="shared" si="2"/>
        <v>0.16260007692857104</v>
      </c>
      <c r="T17" s="5">
        <f t="shared" si="3"/>
        <v>2.1978741620191795</v>
      </c>
      <c r="U17" s="5">
        <f t="shared" si="4"/>
        <v>37.616590653415862</v>
      </c>
      <c r="W17" s="4" t="s">
        <v>34</v>
      </c>
      <c r="X17" s="7">
        <f>AVERAGE(B341:B371)</f>
        <v>27.335483870967739</v>
      </c>
      <c r="Y17" s="5">
        <f t="shared" si="5"/>
        <v>13.09072612356246</v>
      </c>
      <c r="AB17" s="14">
        <f t="shared" si="6"/>
        <v>144.13766826222684</v>
      </c>
      <c r="AC17" s="20">
        <f t="shared" si="18"/>
        <v>2.5162512773466017</v>
      </c>
      <c r="AD17" s="5">
        <f t="shared" si="7"/>
        <v>4.1999999999999993</v>
      </c>
      <c r="AE17" s="5">
        <f t="shared" si="8"/>
        <v>12.75</v>
      </c>
      <c r="AF17" s="5">
        <f t="shared" si="9"/>
        <v>3.8877662493760701</v>
      </c>
      <c r="AG17" s="5">
        <f t="shared" si="10"/>
        <v>2.5162512773466017</v>
      </c>
      <c r="AH17" s="5">
        <f t="shared" si="19"/>
        <v>0.68575748601473419</v>
      </c>
      <c r="AI17" s="5">
        <f t="shared" si="11"/>
        <v>4.8184598119729277E-2</v>
      </c>
      <c r="AJ17" s="5">
        <f t="shared" si="20"/>
        <v>8.7434079466878603E-2</v>
      </c>
      <c r="AK17" s="5">
        <f t="shared" si="21"/>
        <v>0.59832340654785554</v>
      </c>
      <c r="AL17" s="5">
        <f t="shared" si="12"/>
        <v>0.753</v>
      </c>
      <c r="AM17" s="5">
        <v>16.7</v>
      </c>
    </row>
    <row r="18" spans="1:39" x14ac:dyDescent="0.2">
      <c r="A18" s="23">
        <v>45304</v>
      </c>
      <c r="B18" s="20">
        <v>27.1</v>
      </c>
      <c r="C18" s="20">
        <v>85.8</v>
      </c>
      <c r="D18" s="20">
        <v>1.1000000000000001</v>
      </c>
      <c r="E18" s="20">
        <v>31</v>
      </c>
      <c r="F18" s="20">
        <v>89.7083333333333</v>
      </c>
      <c r="G18" s="20">
        <v>3.5562499999999999</v>
      </c>
      <c r="H18" s="20">
        <v>24.4</v>
      </c>
      <c r="I18" s="20">
        <v>67</v>
      </c>
      <c r="J18" s="20">
        <v>9</v>
      </c>
      <c r="K18" s="20">
        <v>0.48446249999999996</v>
      </c>
      <c r="L18" s="20">
        <f t="shared" si="13"/>
        <v>0.22285274999999999</v>
      </c>
      <c r="M18" s="20"/>
      <c r="N18" s="5">
        <f t="shared" si="14"/>
        <v>5.0312804691293822</v>
      </c>
      <c r="O18" s="6">
        <f t="shared" si="15"/>
        <v>5.0312804691293822</v>
      </c>
      <c r="P18" s="20">
        <f t="shared" si="16"/>
        <v>0</v>
      </c>
      <c r="Q18" s="5">
        <f t="shared" si="1"/>
        <v>4.4306007424518183</v>
      </c>
      <c r="R18" s="5">
        <f t="shared" si="17"/>
        <v>2.2175113435482428</v>
      </c>
      <c r="S18" s="5">
        <f t="shared" si="2"/>
        <v>0.1784676799285714</v>
      </c>
      <c r="T18" s="5">
        <f t="shared" si="3"/>
        <v>1.9398210437443015</v>
      </c>
      <c r="U18" s="5">
        <f t="shared" si="4"/>
        <v>37.613028454546367</v>
      </c>
      <c r="AB18" s="14">
        <f>SUM(AB6:AB17)</f>
        <v>1868.9816141992342</v>
      </c>
      <c r="AC18" s="20">
        <f t="shared" si="18"/>
        <v>2.5162512773466017</v>
      </c>
      <c r="AD18" s="5">
        <f t="shared" si="7"/>
        <v>3.3000000000000007</v>
      </c>
      <c r="AE18" s="5">
        <f t="shared" si="8"/>
        <v>11.35416666666665</v>
      </c>
      <c r="AF18" s="5">
        <f t="shared" si="9"/>
        <v>3.5488680030585673</v>
      </c>
      <c r="AG18" s="5">
        <f t="shared" si="10"/>
        <v>2.5162512773466017</v>
      </c>
      <c r="AH18" s="5">
        <f t="shared" si="19"/>
        <v>0.51630836285598281</v>
      </c>
      <c r="AI18" s="5">
        <f t="shared" si="11"/>
        <v>3.655020924731358E-2</v>
      </c>
      <c r="AJ18" s="5">
        <f t="shared" si="20"/>
        <v>5.8622512032606294E-2</v>
      </c>
      <c r="AK18" s="5">
        <f t="shared" si="21"/>
        <v>0.45768585082337654</v>
      </c>
      <c r="AL18" s="5">
        <f t="shared" si="12"/>
        <v>0.754</v>
      </c>
      <c r="AM18" s="5">
        <v>16.7</v>
      </c>
    </row>
    <row r="19" spans="1:39" x14ac:dyDescent="0.2">
      <c r="A19" s="23">
        <v>45305</v>
      </c>
      <c r="B19" s="20">
        <v>25.3</v>
      </c>
      <c r="C19" s="20">
        <v>89.1</v>
      </c>
      <c r="D19" s="20">
        <v>1.3</v>
      </c>
      <c r="E19" s="20">
        <v>27.4</v>
      </c>
      <c r="F19" s="20">
        <v>91.5625</v>
      </c>
      <c r="G19" s="20">
        <v>4.1020833333333302</v>
      </c>
      <c r="H19" s="20">
        <v>23.5</v>
      </c>
      <c r="I19" s="20">
        <v>77</v>
      </c>
      <c r="J19" s="20">
        <v>72.400000000000006</v>
      </c>
      <c r="K19" s="20">
        <v>0.28944583333333296</v>
      </c>
      <c r="L19" s="20">
        <f t="shared" si="13"/>
        <v>0.13314508333333316</v>
      </c>
      <c r="M19" s="20"/>
      <c r="N19" s="5">
        <f t="shared" si="14"/>
        <v>5.0312804691293822</v>
      </c>
      <c r="O19" s="6">
        <f t="shared" si="15"/>
        <v>5.0312804691293822</v>
      </c>
      <c r="P19" s="20">
        <f t="shared" si="16"/>
        <v>0</v>
      </c>
      <c r="Q19" s="5">
        <f t="shared" si="1"/>
        <v>3.2692932728924609</v>
      </c>
      <c r="R19" s="5">
        <f t="shared" si="17"/>
        <v>1.6362780894613258</v>
      </c>
      <c r="S19" s="5">
        <f t="shared" si="2"/>
        <v>0.10408141371428557</v>
      </c>
      <c r="T19" s="5">
        <f t="shared" si="3"/>
        <v>1.276175295948363</v>
      </c>
      <c r="U19" s="5">
        <f t="shared" si="4"/>
        <v>37.610416175375413</v>
      </c>
      <c r="X19" s="20">
        <f>AVERAGE(X6:X17)</f>
        <v>28.857623903102208</v>
      </c>
      <c r="AB19" s="14"/>
      <c r="AD19" s="5">
        <f t="shared" si="7"/>
        <v>1.9499999999999993</v>
      </c>
      <c r="AE19" s="5">
        <f t="shared" si="8"/>
        <v>7.28125</v>
      </c>
      <c r="AF19" s="5">
        <f t="shared" si="9"/>
        <v>2.9474510257097273</v>
      </c>
      <c r="AG19" s="5">
        <f t="shared" si="10"/>
        <v>2.3981450197180743</v>
      </c>
      <c r="AH19" s="5">
        <f t="shared" si="19"/>
        <v>0.27465300299582651</v>
      </c>
      <c r="AI19" s="5">
        <f t="shared" si="11"/>
        <v>1.96631192482935E-2</v>
      </c>
      <c r="AJ19" s="5">
        <f t="shared" si="20"/>
        <v>1.9998171780633619E-2</v>
      </c>
      <c r="AK19" s="5">
        <f t="shared" si="21"/>
        <v>0.25465483121519289</v>
      </c>
      <c r="AL19" s="5">
        <f t="shared" si="12"/>
        <v>0.73599999999999999</v>
      </c>
      <c r="AM19" s="5">
        <v>16.7</v>
      </c>
    </row>
    <row r="20" spans="1:39" x14ac:dyDescent="0.2">
      <c r="A20" s="23">
        <v>45306</v>
      </c>
      <c r="B20" s="20">
        <v>26.300000000000004</v>
      </c>
      <c r="C20" s="20">
        <v>82.5</v>
      </c>
      <c r="D20" s="20">
        <v>1.5</v>
      </c>
      <c r="E20" s="20">
        <v>32.5</v>
      </c>
      <c r="F20" s="20">
        <v>85.6666666666666</v>
      </c>
      <c r="G20" s="20">
        <v>3.9208333333333298</v>
      </c>
      <c r="H20" s="20">
        <v>23.2</v>
      </c>
      <c r="I20" s="20">
        <v>60</v>
      </c>
      <c r="J20" s="20">
        <v>0.2</v>
      </c>
      <c r="K20" s="20">
        <v>0.735358333333333</v>
      </c>
      <c r="L20" s="20">
        <f t="shared" si="13"/>
        <v>0.33826483333333318</v>
      </c>
      <c r="M20" s="20"/>
      <c r="N20" s="5">
        <f t="shared" si="14"/>
        <v>5.0312804691293822</v>
      </c>
      <c r="O20" s="6">
        <f t="shared" si="15"/>
        <v>5.0312804691293822</v>
      </c>
      <c r="P20" s="20">
        <f t="shared" si="16"/>
        <v>0</v>
      </c>
      <c r="Q20" s="5">
        <f t="shared" si="1"/>
        <v>5.1656427898275457</v>
      </c>
      <c r="R20" s="5">
        <f t="shared" si="17"/>
        <v>2.5853991702312236</v>
      </c>
      <c r="S20" s="5">
        <f t="shared" si="2"/>
        <v>0.2680192032857141</v>
      </c>
      <c r="T20" s="5">
        <f t="shared" si="3"/>
        <v>2.6583876058560665</v>
      </c>
      <c r="U20" s="5">
        <f t="shared" si="4"/>
        <v>37.615640733717321</v>
      </c>
      <c r="AB20" s="14"/>
      <c r="AD20" s="5">
        <f t="shared" si="7"/>
        <v>4.6500000000000004</v>
      </c>
      <c r="AE20" s="5">
        <f t="shared" si="8"/>
        <v>12.8333333333333</v>
      </c>
      <c r="AF20" s="5">
        <f t="shared" si="9"/>
        <v>3.8294006907571303</v>
      </c>
      <c r="AG20" s="5">
        <f t="shared" si="10"/>
        <v>2.3598682282237085</v>
      </c>
      <c r="AH20" s="5">
        <f t="shared" si="19"/>
        <v>0.73476623126671092</v>
      </c>
      <c r="AI20" s="5">
        <f t="shared" si="11"/>
        <v>5.1436320027403261E-2</v>
      </c>
      <c r="AJ20" s="5">
        <f t="shared" si="20"/>
        <v>9.4294999679227665E-2</v>
      </c>
      <c r="AK20" s="5">
        <f t="shared" si="21"/>
        <v>0.6404712315874832</v>
      </c>
      <c r="AL20" s="5">
        <f t="shared" si="12"/>
        <v>0.746</v>
      </c>
      <c r="AM20" s="5">
        <v>16.7</v>
      </c>
    </row>
    <row r="21" spans="1:39" x14ac:dyDescent="0.2">
      <c r="A21" s="23">
        <v>45307</v>
      </c>
      <c r="B21" s="20">
        <v>27.950000000000003</v>
      </c>
      <c r="C21" s="20">
        <v>76.099999999999994</v>
      </c>
      <c r="D21" s="20">
        <v>2.1</v>
      </c>
      <c r="E21" s="20">
        <v>32.9</v>
      </c>
      <c r="F21" s="20">
        <v>80.5</v>
      </c>
      <c r="G21" s="20">
        <v>5.0916666666666597</v>
      </c>
      <c r="H21" s="20">
        <v>24.9</v>
      </c>
      <c r="I21" s="20">
        <v>54</v>
      </c>
      <c r="J21" s="20">
        <v>0.4</v>
      </c>
      <c r="K21" s="20">
        <v>0.81286249999999993</v>
      </c>
      <c r="L21" s="20">
        <f t="shared" si="13"/>
        <v>0.37391674999999996</v>
      </c>
      <c r="M21" s="20"/>
      <c r="N21" s="5">
        <f t="shared" si="14"/>
        <v>5.0312804691293822</v>
      </c>
      <c r="O21" s="6">
        <f t="shared" si="15"/>
        <v>5.0312804691293822</v>
      </c>
      <c r="P21" s="20">
        <f t="shared" si="16"/>
        <v>0</v>
      </c>
      <c r="Q21" s="5">
        <f t="shared" si="1"/>
        <v>4.9702747781636782</v>
      </c>
      <c r="R21" s="5">
        <f t="shared" si="17"/>
        <v>2.48761767123943</v>
      </c>
      <c r="S21" s="5">
        <f t="shared" si="2"/>
        <v>0.30282031205357135</v>
      </c>
      <c r="T21" s="5">
        <f t="shared" si="3"/>
        <v>2.8034062579322492</v>
      </c>
      <c r="U21" s="5">
        <f t="shared" si="4"/>
        <v>37.620706972109488</v>
      </c>
      <c r="AB21" s="14"/>
      <c r="AD21" s="5">
        <f t="shared" si="7"/>
        <v>4</v>
      </c>
      <c r="AE21" s="5">
        <f t="shared" si="8"/>
        <v>13.25</v>
      </c>
      <c r="AF21" s="5">
        <f t="shared" si="9"/>
        <v>3.9073927164751923</v>
      </c>
      <c r="AG21" s="5">
        <f t="shared" si="10"/>
        <v>2.5840371643542337</v>
      </c>
      <c r="AH21" s="5">
        <f t="shared" si="19"/>
        <v>0.66167777606047928</v>
      </c>
      <c r="AI21" s="5">
        <f t="shared" si="11"/>
        <v>4.6569744837645449E-2</v>
      </c>
      <c r="AJ21" s="5">
        <f t="shared" si="20"/>
        <v>8.7672305328013511E-2</v>
      </c>
      <c r="AK21" s="5">
        <f t="shared" si="21"/>
        <v>0.57400547073246577</v>
      </c>
      <c r="AL21" s="5">
        <f t="shared" si="12"/>
        <v>0.76249999999999996</v>
      </c>
      <c r="AM21" s="5">
        <v>16.7</v>
      </c>
    </row>
    <row r="22" spans="1:39" x14ac:dyDescent="0.2">
      <c r="A22" s="23">
        <v>45308</v>
      </c>
      <c r="B22" s="20">
        <v>29.600000000000005</v>
      </c>
      <c r="C22" s="20">
        <v>70.2</v>
      </c>
      <c r="D22" s="20">
        <v>1.8</v>
      </c>
      <c r="E22" s="20">
        <v>33.5</v>
      </c>
      <c r="F22" s="20">
        <v>73.5833333333333</v>
      </c>
      <c r="G22" s="20">
        <v>5.05</v>
      </c>
      <c r="H22" s="20">
        <v>26.4</v>
      </c>
      <c r="I22" s="20">
        <v>54</v>
      </c>
      <c r="J22" s="20">
        <v>0.6</v>
      </c>
      <c r="K22" s="20">
        <v>0.79681666666666606</v>
      </c>
      <c r="L22" s="20">
        <f t="shared" si="13"/>
        <v>0.36653566666666643</v>
      </c>
      <c r="M22" s="20"/>
      <c r="N22" s="5">
        <f t="shared" si="14"/>
        <v>5.0312804691293822</v>
      </c>
      <c r="O22" s="6">
        <f t="shared" si="15"/>
        <v>5.0312804691293822</v>
      </c>
      <c r="P22" s="20">
        <f t="shared" si="16"/>
        <v>0</v>
      </c>
      <c r="Q22" s="5">
        <f t="shared" si="1"/>
        <v>4.8512295297055994</v>
      </c>
      <c r="R22" s="5">
        <f t="shared" si="17"/>
        <v>2.4280356406759576</v>
      </c>
      <c r="S22" s="5">
        <f t="shared" si="2"/>
        <v>0.30326614671428548</v>
      </c>
      <c r="T22" s="5">
        <f t="shared" si="3"/>
        <v>2.7388054425430504</v>
      </c>
      <c r="U22" s="5">
        <f t="shared" si="4"/>
        <v>37.625377410627259</v>
      </c>
      <c r="AB22" s="14"/>
      <c r="AD22" s="5">
        <f t="shared" si="7"/>
        <v>3.5500000000000007</v>
      </c>
      <c r="AE22" s="5">
        <f t="shared" si="8"/>
        <v>9.7916666666666501</v>
      </c>
      <c r="AF22" s="5">
        <f t="shared" si="9"/>
        <v>4.0269721746729781</v>
      </c>
      <c r="AG22" s="5">
        <f t="shared" si="10"/>
        <v>2.7970605689481141</v>
      </c>
      <c r="AH22" s="5">
        <f t="shared" si="19"/>
        <v>0.61495580286243201</v>
      </c>
      <c r="AI22" s="5">
        <f t="shared" si="11"/>
        <v>4.3443274933873018E-2</v>
      </c>
      <c r="AJ22" s="5">
        <f t="shared" si="20"/>
        <v>6.0214422363613032E-2</v>
      </c>
      <c r="AK22" s="5">
        <f t="shared" si="21"/>
        <v>0.55474138049881894</v>
      </c>
      <c r="AL22" s="5">
        <f t="shared" si="12"/>
        <v>0.77900000000000003</v>
      </c>
      <c r="AM22" s="5">
        <v>16.7</v>
      </c>
    </row>
    <row r="23" spans="1:39" x14ac:dyDescent="0.2">
      <c r="A23" s="23">
        <v>45309</v>
      </c>
      <c r="B23" s="20">
        <v>29.2</v>
      </c>
      <c r="C23" s="20">
        <v>76.8</v>
      </c>
      <c r="D23" s="20">
        <v>1.5</v>
      </c>
      <c r="E23" s="20">
        <v>34.5</v>
      </c>
      <c r="F23" s="20">
        <v>78.1666666666666</v>
      </c>
      <c r="G23" s="20">
        <v>4.2708333333333304</v>
      </c>
      <c r="H23" s="20">
        <v>26</v>
      </c>
      <c r="I23" s="20">
        <v>52</v>
      </c>
      <c r="J23" s="20">
        <v>0.8</v>
      </c>
      <c r="K23" s="20">
        <v>0.81902083333333298</v>
      </c>
      <c r="L23" s="20">
        <f t="shared" si="13"/>
        <v>0.37674958333333319</v>
      </c>
      <c r="M23" s="20"/>
      <c r="N23" s="5">
        <f t="shared" si="14"/>
        <v>5.0312804691293822</v>
      </c>
      <c r="O23" s="6">
        <f t="shared" si="15"/>
        <v>5.0312804691293822</v>
      </c>
      <c r="P23" s="20">
        <f t="shared" si="16"/>
        <v>0</v>
      </c>
      <c r="Q23" s="5">
        <f t="shared" si="1"/>
        <v>5.2632212636036879</v>
      </c>
      <c r="R23" s="5">
        <f t="shared" si="17"/>
        <v>2.6342371010362862</v>
      </c>
      <c r="S23" s="5">
        <f t="shared" si="2"/>
        <v>0.31011638839285699</v>
      </c>
      <c r="T23" s="5">
        <f t="shared" si="3"/>
        <v>2.8214874668889021</v>
      </c>
      <c r="U23" s="5">
        <f t="shared" si="4"/>
        <v>37.620152852285344</v>
      </c>
      <c r="AB23" s="14"/>
      <c r="AD23" s="5">
        <f t="shared" si="7"/>
        <v>4.25</v>
      </c>
      <c r="AE23" s="5">
        <f t="shared" si="8"/>
        <v>13.0833333333333</v>
      </c>
      <c r="AF23" s="5">
        <f t="shared" si="9"/>
        <v>4.2333530124400509</v>
      </c>
      <c r="AG23" s="5">
        <f t="shared" si="10"/>
        <v>2.7388069677329154</v>
      </c>
      <c r="AH23" s="5">
        <f t="shared" si="19"/>
        <v>0.74727302235356774</v>
      </c>
      <c r="AI23" s="5">
        <f t="shared" si="11"/>
        <v>5.2485238410455902E-2</v>
      </c>
      <c r="AJ23" s="5">
        <f t="shared" si="20"/>
        <v>9.7768220424591532E-2</v>
      </c>
      <c r="AK23" s="5">
        <f t="shared" si="21"/>
        <v>0.64950480192897619</v>
      </c>
      <c r="AL23" s="5">
        <f t="shared" si="12"/>
        <v>0.77499999999999991</v>
      </c>
      <c r="AM23" s="5">
        <v>16.7</v>
      </c>
    </row>
    <row r="24" spans="1:39" x14ac:dyDescent="0.2">
      <c r="A24" s="23">
        <v>45310</v>
      </c>
      <c r="B24" s="20">
        <v>29.1</v>
      </c>
      <c r="C24" s="20">
        <v>73.099999999999994</v>
      </c>
      <c r="D24" s="20">
        <v>1.7</v>
      </c>
      <c r="E24" s="20">
        <v>33.6</v>
      </c>
      <c r="F24" s="20">
        <v>76.9583333333333</v>
      </c>
      <c r="G24" s="20">
        <v>4.2666666666666604</v>
      </c>
      <c r="H24" s="20">
        <v>25.6</v>
      </c>
      <c r="I24" s="20">
        <v>53</v>
      </c>
      <c r="J24" s="20">
        <v>9.4</v>
      </c>
      <c r="K24" s="20">
        <v>0.72075</v>
      </c>
      <c r="L24" s="20">
        <f t="shared" si="13"/>
        <v>0.33154500000000003</v>
      </c>
      <c r="M24" s="20"/>
      <c r="N24" s="5">
        <f t="shared" si="14"/>
        <v>5.0312804691293822</v>
      </c>
      <c r="O24" s="6">
        <f t="shared" si="15"/>
        <v>5.0312804691293822</v>
      </c>
      <c r="P24" s="20">
        <f t="shared" si="16"/>
        <v>0</v>
      </c>
      <c r="Q24" s="5">
        <f t="shared" si="1"/>
        <v>5.0952106469044054</v>
      </c>
      <c r="R24" s="5">
        <f t="shared" si="17"/>
        <v>2.5501479515000938</v>
      </c>
      <c r="S24" s="5">
        <f t="shared" si="2"/>
        <v>0.27255470142857141</v>
      </c>
      <c r="T24" s="5">
        <f t="shared" si="3"/>
        <v>2.6590302444485183</v>
      </c>
      <c r="U24" s="5">
        <f t="shared" si="4"/>
        <v>37.623081771355807</v>
      </c>
      <c r="AB24" s="14"/>
      <c r="AD24" s="5">
        <f t="shared" si="7"/>
        <v>4</v>
      </c>
      <c r="AE24" s="5">
        <f t="shared" si="8"/>
        <v>11.97916666666665</v>
      </c>
      <c r="AF24" s="5">
        <f t="shared" si="9"/>
        <v>4.0472085114775638</v>
      </c>
      <c r="AG24" s="5">
        <f t="shared" si="10"/>
        <v>2.6816155357966691</v>
      </c>
      <c r="AH24" s="5">
        <f t="shared" si="19"/>
        <v>0.68279648784044733</v>
      </c>
      <c r="AI24" s="5">
        <f t="shared" si="11"/>
        <v>4.8056107315690946E-2</v>
      </c>
      <c r="AJ24" s="5">
        <f t="shared" si="20"/>
        <v>8.1793329272553464E-2</v>
      </c>
      <c r="AK24" s="5">
        <f t="shared" si="21"/>
        <v>0.60100315856789388</v>
      </c>
      <c r="AL24" s="5">
        <f t="shared" si="12"/>
        <v>0.77400000000000002</v>
      </c>
      <c r="AM24" s="5">
        <v>16.7</v>
      </c>
    </row>
    <row r="25" spans="1:39" x14ac:dyDescent="0.2">
      <c r="A25" s="23">
        <v>45311</v>
      </c>
      <c r="B25" s="20">
        <v>29.1</v>
      </c>
      <c r="C25" s="20">
        <v>72.5</v>
      </c>
      <c r="D25" s="20">
        <v>1.9</v>
      </c>
      <c r="E25" s="20">
        <v>33.799999999999997</v>
      </c>
      <c r="F25" s="20">
        <v>75.1666666666666</v>
      </c>
      <c r="G25" s="20">
        <v>5.5083333333333302</v>
      </c>
      <c r="H25" s="20">
        <v>26.1</v>
      </c>
      <c r="I25" s="20">
        <v>55</v>
      </c>
      <c r="J25" s="20">
        <v>0.4</v>
      </c>
      <c r="K25" s="20">
        <v>0.67720000000000002</v>
      </c>
      <c r="L25" s="20">
        <f t="shared" si="13"/>
        <v>0.31151200000000001</v>
      </c>
      <c r="M25" s="20"/>
      <c r="N25" s="5">
        <f t="shared" si="14"/>
        <v>5.0312804691293822</v>
      </c>
      <c r="O25" s="6">
        <f t="shared" si="15"/>
        <v>5.0312804691293822</v>
      </c>
      <c r="P25" s="20">
        <f t="shared" si="16"/>
        <v>0</v>
      </c>
      <c r="Q25" s="5">
        <f t="shared" si="1"/>
        <v>4.9987626072574898</v>
      </c>
      <c r="R25" s="5">
        <f t="shared" si="17"/>
        <v>2.5018758018724405</v>
      </c>
      <c r="S25" s="5">
        <f t="shared" si="2"/>
        <v>0.25608608228571428</v>
      </c>
      <c r="T25" s="5">
        <f t="shared" si="3"/>
        <v>3.0229384782725801</v>
      </c>
      <c r="U25" s="5">
        <f t="shared" si="4"/>
        <v>37.623556731205078</v>
      </c>
      <c r="AB25" s="14"/>
      <c r="AD25" s="5">
        <f t="shared" si="7"/>
        <v>3.8499999999999979</v>
      </c>
      <c r="AE25" s="5">
        <f t="shared" si="8"/>
        <v>10.0833333333333</v>
      </c>
      <c r="AF25" s="5">
        <f t="shared" si="9"/>
        <v>4.0879467356658399</v>
      </c>
      <c r="AG25" s="5">
        <f t="shared" si="10"/>
        <v>2.7532701446187993</v>
      </c>
      <c r="AH25" s="5">
        <f t="shared" si="19"/>
        <v>0.66733829552352031</v>
      </c>
      <c r="AI25" s="5">
        <f t="shared" si="11"/>
        <v>4.702658794870037E-2</v>
      </c>
      <c r="AJ25" s="5">
        <f t="shared" si="20"/>
        <v>6.7289944798621409E-2</v>
      </c>
      <c r="AK25" s="5">
        <f t="shared" si="21"/>
        <v>0.60004835072489893</v>
      </c>
      <c r="AL25" s="5">
        <f t="shared" si="12"/>
        <v>0.77400000000000002</v>
      </c>
      <c r="AM25" s="5">
        <v>16.7</v>
      </c>
    </row>
    <row r="26" spans="1:39" x14ac:dyDescent="0.2">
      <c r="A26" s="23">
        <v>45312</v>
      </c>
      <c r="B26" s="20">
        <v>28.9</v>
      </c>
      <c r="C26" s="20">
        <v>75.5</v>
      </c>
      <c r="D26" s="20">
        <v>1.1000000000000001</v>
      </c>
      <c r="E26" s="20">
        <v>35.1</v>
      </c>
      <c r="F26" s="20">
        <v>78.9166666666666</v>
      </c>
      <c r="G26" s="20">
        <v>3.6416666666666599</v>
      </c>
      <c r="H26" s="20">
        <v>25.6</v>
      </c>
      <c r="I26" s="20">
        <v>48</v>
      </c>
      <c r="J26" s="20">
        <v>0</v>
      </c>
      <c r="K26" s="20">
        <v>0.73762499999999998</v>
      </c>
      <c r="L26" s="20">
        <f t="shared" si="13"/>
        <v>0.33930749999999998</v>
      </c>
      <c r="M26" s="20"/>
      <c r="N26" s="5">
        <f t="shared" si="14"/>
        <v>5.0312804691293822</v>
      </c>
      <c r="O26" s="6">
        <f t="shared" si="15"/>
        <v>5.0312804691293822</v>
      </c>
      <c r="P26" s="20">
        <f t="shared" si="16"/>
        <v>0</v>
      </c>
      <c r="Q26" s="5">
        <f t="shared" si="1"/>
        <v>5.5286995622917958</v>
      </c>
      <c r="R26" s="5">
        <f t="shared" si="17"/>
        <v>2.7671087301962158</v>
      </c>
      <c r="S26" s="5">
        <f t="shared" si="2"/>
        <v>0.27821528999999995</v>
      </c>
      <c r="T26" s="5">
        <f t="shared" si="3"/>
        <v>2.7268645100578435</v>
      </c>
      <c r="U26" s="5">
        <f t="shared" si="4"/>
        <v>37.621181931958745</v>
      </c>
      <c r="AB26" s="14"/>
      <c r="AD26" s="5">
        <f t="shared" si="7"/>
        <v>4.75</v>
      </c>
      <c r="AE26" s="5">
        <f t="shared" si="8"/>
        <v>15.4583333333333</v>
      </c>
      <c r="AF26" s="5">
        <f t="shared" si="9"/>
        <v>4.3615457470670798</v>
      </c>
      <c r="AG26" s="5">
        <f t="shared" si="10"/>
        <v>2.6816155357966691</v>
      </c>
      <c r="AH26" s="5">
        <f t="shared" si="19"/>
        <v>0.83996510563520532</v>
      </c>
      <c r="AI26" s="5">
        <f t="shared" si="11"/>
        <v>5.8752050003463938E-2</v>
      </c>
      <c r="AJ26" s="5">
        <f t="shared" si="20"/>
        <v>0.12984460591277522</v>
      </c>
      <c r="AK26" s="5">
        <f t="shared" si="21"/>
        <v>0.71012049972243008</v>
      </c>
      <c r="AL26" s="5">
        <f t="shared" si="12"/>
        <v>0.77200000000000002</v>
      </c>
      <c r="AM26" s="5">
        <v>16.7</v>
      </c>
    </row>
    <row r="27" spans="1:39" x14ac:dyDescent="0.2">
      <c r="A27" s="23">
        <v>45313</v>
      </c>
      <c r="B27" s="20">
        <v>28.7</v>
      </c>
      <c r="C27" s="20">
        <v>77.900000000000006</v>
      </c>
      <c r="D27" s="20">
        <v>1.2</v>
      </c>
      <c r="E27" s="20">
        <v>33.799999999999997</v>
      </c>
      <c r="F27" s="20">
        <v>82.25</v>
      </c>
      <c r="G27" s="20">
        <v>3.6124999999999998</v>
      </c>
      <c r="H27" s="20">
        <v>24.2</v>
      </c>
      <c r="I27" s="20">
        <v>55</v>
      </c>
      <c r="J27" s="20">
        <v>8</v>
      </c>
      <c r="K27" s="20">
        <v>0.63677499999999998</v>
      </c>
      <c r="L27" s="20">
        <f t="shared" si="13"/>
        <v>0.29291650000000002</v>
      </c>
      <c r="M27" s="20"/>
      <c r="N27" s="5">
        <f t="shared" si="14"/>
        <v>5.0312804691293822</v>
      </c>
      <c r="O27" s="6">
        <f t="shared" si="15"/>
        <v>5.0312804691293822</v>
      </c>
      <c r="P27" s="20">
        <f t="shared" si="16"/>
        <v>0</v>
      </c>
      <c r="Q27" s="5">
        <f t="shared" si="1"/>
        <v>5.5339200001951587</v>
      </c>
      <c r="R27" s="5">
        <f t="shared" si="17"/>
        <v>2.7697215542672446</v>
      </c>
      <c r="S27" s="5">
        <f t="shared" si="2"/>
        <v>0.23955475499999998</v>
      </c>
      <c r="T27" s="5">
        <f t="shared" si="3"/>
        <v>2.6636782593601191</v>
      </c>
      <c r="U27" s="5">
        <f t="shared" si="4"/>
        <v>37.61928209256169</v>
      </c>
      <c r="AB27" s="14"/>
      <c r="AD27" s="5">
        <f t="shared" si="7"/>
        <v>4.7999999999999989</v>
      </c>
      <c r="AE27" s="5">
        <f t="shared" si="8"/>
        <v>13.625</v>
      </c>
      <c r="AF27" s="5">
        <f t="shared" si="9"/>
        <v>4.0879467356658399</v>
      </c>
      <c r="AG27" s="5">
        <f t="shared" si="10"/>
        <v>2.4895751699974444</v>
      </c>
      <c r="AH27" s="5">
        <f t="shared" si="19"/>
        <v>0.79918578283419772</v>
      </c>
      <c r="AI27" s="5">
        <f t="shared" si="11"/>
        <v>5.587661961100971E-2</v>
      </c>
      <c r="AJ27" s="5">
        <f t="shared" si="20"/>
        <v>0.10888906291115945</v>
      </c>
      <c r="AK27" s="5">
        <f t="shared" si="21"/>
        <v>0.69029671992303832</v>
      </c>
      <c r="AL27" s="5">
        <f t="shared" si="12"/>
        <v>0.77</v>
      </c>
      <c r="AM27" s="5">
        <v>16.7</v>
      </c>
    </row>
    <row r="28" spans="1:39" x14ac:dyDescent="0.2">
      <c r="A28" s="23">
        <v>45314</v>
      </c>
      <c r="B28" s="20">
        <v>28.2</v>
      </c>
      <c r="C28" s="20">
        <v>76.3</v>
      </c>
      <c r="D28" s="20">
        <v>1.5</v>
      </c>
      <c r="E28" s="20">
        <v>31.6</v>
      </c>
      <c r="F28" s="20">
        <v>78.9166666666666</v>
      </c>
      <c r="G28" s="20">
        <v>5.2208333333333297</v>
      </c>
      <c r="H28" s="20">
        <v>26.1</v>
      </c>
      <c r="I28" s="20">
        <v>64</v>
      </c>
      <c r="J28" s="20">
        <v>0</v>
      </c>
      <c r="K28" s="20">
        <v>0.57599999999999996</v>
      </c>
      <c r="L28" s="20">
        <f t="shared" si="13"/>
        <v>0.26495999999999997</v>
      </c>
      <c r="M28" s="20"/>
      <c r="N28" s="5">
        <f t="shared" si="14"/>
        <v>5.0312804691293822</v>
      </c>
      <c r="O28" s="6">
        <f t="shared" si="15"/>
        <v>5.0312804691293822</v>
      </c>
      <c r="P28" s="20">
        <f t="shared" si="16"/>
        <v>0</v>
      </c>
      <c r="Q28" s="5">
        <f t="shared" si="1"/>
        <v>4.143653994700812</v>
      </c>
      <c r="R28" s="5">
        <f t="shared" si="17"/>
        <v>2.0738947766038671</v>
      </c>
      <c r="S28" s="5">
        <f t="shared" si="2"/>
        <v>0.2152841142857142</v>
      </c>
      <c r="T28" s="5">
        <f t="shared" si="3"/>
        <v>2.2074676494529175</v>
      </c>
      <c r="U28" s="5">
        <f t="shared" si="4"/>
        <v>37.620548652159734</v>
      </c>
      <c r="AB28" s="14"/>
      <c r="AD28" s="5">
        <f t="shared" si="7"/>
        <v>2.75</v>
      </c>
      <c r="AE28" s="5">
        <f t="shared" si="8"/>
        <v>7.4583333333333002</v>
      </c>
      <c r="AF28" s="5">
        <f t="shared" si="9"/>
        <v>3.6588553838729245</v>
      </c>
      <c r="AG28" s="5">
        <f t="shared" si="10"/>
        <v>2.7532701446187993</v>
      </c>
      <c r="AH28" s="5">
        <f t="shared" si="19"/>
        <v>0.45279261962706263</v>
      </c>
      <c r="AI28" s="5">
        <f t="shared" si="11"/>
        <v>3.2200889815519197E-2</v>
      </c>
      <c r="AJ28" s="5">
        <f t="shared" si="20"/>
        <v>3.3770782880518276E-2</v>
      </c>
      <c r="AK28" s="5">
        <f t="shared" si="21"/>
        <v>0.41902183674654436</v>
      </c>
      <c r="AL28" s="5">
        <f t="shared" si="12"/>
        <v>0.7649999999999999</v>
      </c>
      <c r="AM28" s="5">
        <v>16.7</v>
      </c>
    </row>
    <row r="29" spans="1:39" x14ac:dyDescent="0.2">
      <c r="A29" s="23">
        <v>45315</v>
      </c>
      <c r="B29" s="20">
        <v>28.7</v>
      </c>
      <c r="C29" s="20">
        <v>73.400000000000006</v>
      </c>
      <c r="D29" s="20">
        <v>1.1000000000000001</v>
      </c>
      <c r="E29" s="20">
        <v>34.299999999999997</v>
      </c>
      <c r="F29" s="20">
        <v>77</v>
      </c>
      <c r="G29" s="20">
        <v>3.80833333333333</v>
      </c>
      <c r="H29" s="20">
        <v>25.3</v>
      </c>
      <c r="I29" s="20">
        <v>51</v>
      </c>
      <c r="J29" s="20">
        <v>0</v>
      </c>
      <c r="K29" s="20">
        <v>0.68938749999999904</v>
      </c>
      <c r="L29" s="20">
        <f t="shared" si="13"/>
        <v>0.31711824999999955</v>
      </c>
      <c r="M29" s="20"/>
      <c r="N29" s="5">
        <f t="shared" si="14"/>
        <v>5.0312804691293822</v>
      </c>
      <c r="O29" s="6">
        <f t="shared" si="15"/>
        <v>5.0312804691293822</v>
      </c>
      <c r="P29" s="20">
        <f t="shared" si="16"/>
        <v>0</v>
      </c>
      <c r="Q29" s="5">
        <f t="shared" si="1"/>
        <v>5.3581949999999994</v>
      </c>
      <c r="R29" s="5">
        <f t="shared" si="17"/>
        <v>2.6817713633271905</v>
      </c>
      <c r="S29" s="5">
        <f t="shared" si="2"/>
        <v>0.25934757749999965</v>
      </c>
      <c r="T29" s="5">
        <f t="shared" si="3"/>
        <v>2.7133184080285511</v>
      </c>
      <c r="U29" s="5">
        <f t="shared" si="4"/>
        <v>37.622844291431178</v>
      </c>
      <c r="AB29" s="14"/>
      <c r="AD29" s="5">
        <f t="shared" si="7"/>
        <v>4.4999999999999982</v>
      </c>
      <c r="AE29" s="5">
        <f t="shared" si="8"/>
        <v>13</v>
      </c>
      <c r="AF29" s="5">
        <f t="shared" si="9"/>
        <v>4.1913565241884791</v>
      </c>
      <c r="AG29" s="5">
        <f t="shared" si="10"/>
        <v>2.6394091379090368</v>
      </c>
      <c r="AH29" s="5">
        <f t="shared" si="19"/>
        <v>0.7759736931397212</v>
      </c>
      <c r="AI29" s="5">
        <f t="shared" si="11"/>
        <v>5.4388409551854637E-2</v>
      </c>
      <c r="AJ29" s="5">
        <f t="shared" si="20"/>
        <v>0.10087658010816376</v>
      </c>
      <c r="AK29" s="5">
        <f t="shared" si="21"/>
        <v>0.67509711303155739</v>
      </c>
      <c r="AL29" s="5">
        <f t="shared" si="12"/>
        <v>0.77</v>
      </c>
      <c r="AM29" s="5">
        <v>16.7</v>
      </c>
    </row>
    <row r="30" spans="1:39" x14ac:dyDescent="0.2">
      <c r="A30" s="23">
        <v>45316</v>
      </c>
      <c r="B30" s="20">
        <v>28.5</v>
      </c>
      <c r="C30" s="20">
        <v>77.5</v>
      </c>
      <c r="D30" s="20">
        <v>1.4</v>
      </c>
      <c r="E30" s="20">
        <v>35.200000000000003</v>
      </c>
      <c r="F30" s="20">
        <v>79.375</v>
      </c>
      <c r="G30" s="20">
        <v>4.0958333333333297</v>
      </c>
      <c r="H30" s="20">
        <v>26.2</v>
      </c>
      <c r="I30" s="20">
        <v>51</v>
      </c>
      <c r="J30" s="20">
        <v>0.2</v>
      </c>
      <c r="K30" s="20">
        <v>0.70677499999999993</v>
      </c>
      <c r="L30" s="20">
        <f t="shared" si="13"/>
        <v>0.32511649999999997</v>
      </c>
      <c r="M30" s="20"/>
      <c r="N30" s="5">
        <f t="shared" si="14"/>
        <v>5.0312804691293822</v>
      </c>
      <c r="O30" s="6">
        <f t="shared" si="15"/>
        <v>5.0312804691293822</v>
      </c>
      <c r="P30" s="20">
        <f t="shared" si="16"/>
        <v>0</v>
      </c>
      <c r="Q30" s="5">
        <f t="shared" si="1"/>
        <v>5.3351490000000004</v>
      </c>
      <c r="R30" s="5">
        <f t="shared" si="17"/>
        <v>2.6702368628397624</v>
      </c>
      <c r="S30" s="5">
        <f t="shared" si="2"/>
        <v>0.26519813485714283</v>
      </c>
      <c r="T30" s="5">
        <f t="shared" si="3"/>
        <v>2.8723404276513436</v>
      </c>
      <c r="U30" s="5">
        <f t="shared" si="4"/>
        <v>37.619598732461199</v>
      </c>
      <c r="AB30" s="14"/>
      <c r="AD30" s="5">
        <f t="shared" si="7"/>
        <v>4.5000000000000018</v>
      </c>
      <c r="AE30" s="5">
        <f t="shared" si="8"/>
        <v>14.1875</v>
      </c>
      <c r="AF30" s="5">
        <f t="shared" si="9"/>
        <v>4.3832360259416134</v>
      </c>
      <c r="AG30" s="5">
        <f t="shared" si="10"/>
        <v>2.7677999643057292</v>
      </c>
      <c r="AH30" s="5">
        <f t="shared" si="19"/>
        <v>0.80771803081794213</v>
      </c>
      <c r="AI30" s="5">
        <f t="shared" si="11"/>
        <v>5.6613387091505034E-2</v>
      </c>
      <c r="AJ30" s="5">
        <f t="shared" si="20"/>
        <v>0.11459499562229554</v>
      </c>
      <c r="AK30" s="5">
        <f t="shared" si="21"/>
        <v>0.69312303519564655</v>
      </c>
      <c r="AL30" s="5">
        <f t="shared" si="12"/>
        <v>0.76800000000000002</v>
      </c>
      <c r="AM30" s="5">
        <v>16.7</v>
      </c>
    </row>
    <row r="31" spans="1:39" x14ac:dyDescent="0.2">
      <c r="A31" s="23">
        <v>45317</v>
      </c>
      <c r="B31" s="20">
        <v>26.5</v>
      </c>
      <c r="C31" s="20">
        <v>85.2</v>
      </c>
      <c r="D31" s="20">
        <v>1.4</v>
      </c>
      <c r="E31" s="20">
        <v>30.6</v>
      </c>
      <c r="F31" s="20">
        <v>88.0833333333333</v>
      </c>
      <c r="G31" s="20">
        <v>3.7666666666666599</v>
      </c>
      <c r="H31" s="20">
        <v>25</v>
      </c>
      <c r="I31" s="20">
        <v>65</v>
      </c>
      <c r="J31" s="20">
        <v>15</v>
      </c>
      <c r="K31" s="20">
        <v>0.33004166666666601</v>
      </c>
      <c r="L31" s="20">
        <f t="shared" si="13"/>
        <v>0.15181916666666637</v>
      </c>
      <c r="M31" s="20"/>
      <c r="N31" s="5">
        <f t="shared" si="14"/>
        <v>5.0312804691293822</v>
      </c>
      <c r="O31" s="6">
        <f t="shared" si="15"/>
        <v>5.0312804691293822</v>
      </c>
      <c r="P31" s="20">
        <f t="shared" si="16"/>
        <v>0</v>
      </c>
      <c r="Q31" s="5">
        <f t="shared" si="1"/>
        <v>4.0266329855881331</v>
      </c>
      <c r="R31" s="5">
        <f t="shared" si="17"/>
        <v>2.0153258758553814</v>
      </c>
      <c r="S31" s="5">
        <f t="shared" si="2"/>
        <v>0.12061419857142833</v>
      </c>
      <c r="T31" s="5">
        <f t="shared" si="3"/>
        <v>1.7444969755545341</v>
      </c>
      <c r="U31" s="5">
        <f t="shared" si="4"/>
        <v>37.613503414395637</v>
      </c>
      <c r="AB31" s="14"/>
      <c r="AD31" s="5">
        <f t="shared" si="7"/>
        <v>2.8000000000000007</v>
      </c>
      <c r="AE31" s="5">
        <f t="shared" si="8"/>
        <v>11.54166666666665</v>
      </c>
      <c r="AF31" s="5">
        <f t="shared" si="9"/>
        <v>3.4771532833275658</v>
      </c>
      <c r="AG31" s="5">
        <f t="shared" si="10"/>
        <v>2.5977841382776066</v>
      </c>
      <c r="AH31" s="5">
        <f t="shared" si="19"/>
        <v>0.43968457252497961</v>
      </c>
      <c r="AI31" s="5">
        <f t="shared" si="11"/>
        <v>3.1255673495188575E-2</v>
      </c>
      <c r="AJ31" s="5">
        <f t="shared" si="20"/>
        <v>5.0746927745591322E-2</v>
      </c>
      <c r="AK31" s="5">
        <f t="shared" si="21"/>
        <v>0.3889376447793883</v>
      </c>
      <c r="AL31" s="5">
        <f t="shared" si="12"/>
        <v>0.748</v>
      </c>
      <c r="AM31" s="5">
        <v>16.7</v>
      </c>
    </row>
    <row r="32" spans="1:39" x14ac:dyDescent="0.2">
      <c r="A32" s="23">
        <v>45318</v>
      </c>
      <c r="B32" s="20">
        <v>26.9</v>
      </c>
      <c r="C32" s="20">
        <v>83.5</v>
      </c>
      <c r="D32" s="20">
        <v>1.7</v>
      </c>
      <c r="E32" s="20">
        <v>30</v>
      </c>
      <c r="F32" s="20">
        <v>86.1666666666666</v>
      </c>
      <c r="G32" s="20">
        <v>4.1083333333333298</v>
      </c>
      <c r="H32" s="20">
        <v>24.7</v>
      </c>
      <c r="I32" s="20">
        <v>67</v>
      </c>
      <c r="J32" s="20">
        <v>1.8</v>
      </c>
      <c r="K32" s="20">
        <v>0.37810833333333299</v>
      </c>
      <c r="L32" s="20">
        <f t="shared" si="13"/>
        <v>0.17392983333333317</v>
      </c>
      <c r="M32" s="20"/>
      <c r="N32" s="5">
        <f t="shared" si="14"/>
        <v>5.0312804691293822</v>
      </c>
      <c r="O32" s="6">
        <f t="shared" si="15"/>
        <v>5.0312804691293822</v>
      </c>
      <c r="P32" s="20">
        <f t="shared" si="16"/>
        <v>0</v>
      </c>
      <c r="Q32" s="5">
        <f t="shared" si="1"/>
        <v>3.9526627877474825</v>
      </c>
      <c r="R32" s="5">
        <f t="shared" si="17"/>
        <v>1.9783038640941999</v>
      </c>
      <c r="S32" s="5">
        <f t="shared" si="2"/>
        <v>0.13891916228571413</v>
      </c>
      <c r="T32" s="5">
        <f t="shared" si="3"/>
        <v>1.7537528209422495</v>
      </c>
      <c r="U32" s="5">
        <f t="shared" si="4"/>
        <v>37.614849133968548</v>
      </c>
      <c r="AB32" s="14"/>
      <c r="AD32" s="5">
        <f t="shared" si="7"/>
        <v>2.6500000000000004</v>
      </c>
      <c r="AE32" s="5">
        <f t="shared" si="8"/>
        <v>9.5833333333333002</v>
      </c>
      <c r="AF32" s="5">
        <f t="shared" si="9"/>
        <v>3.3719488094793313</v>
      </c>
      <c r="AG32" s="5">
        <f t="shared" si="10"/>
        <v>2.5567337570001247</v>
      </c>
      <c r="AH32" s="5">
        <f t="shared" si="19"/>
        <v>0.40760752623960328</v>
      </c>
      <c r="AI32" s="5">
        <f t="shared" si="11"/>
        <v>2.9011664061427224E-2</v>
      </c>
      <c r="AJ32" s="5">
        <f t="shared" si="20"/>
        <v>3.9062387931295177E-2</v>
      </c>
      <c r="AK32" s="5">
        <f t="shared" si="21"/>
        <v>0.3685451383083081</v>
      </c>
      <c r="AL32" s="5">
        <f t="shared" si="12"/>
        <v>0.752</v>
      </c>
      <c r="AM32" s="5">
        <v>16.7</v>
      </c>
    </row>
    <row r="33" spans="1:39" x14ac:dyDescent="0.2">
      <c r="A33" s="23">
        <v>45319</v>
      </c>
      <c r="B33" s="20">
        <v>28.7</v>
      </c>
      <c r="C33" s="20">
        <v>75.7</v>
      </c>
      <c r="D33" s="20">
        <v>2</v>
      </c>
      <c r="E33" s="20">
        <v>33.9</v>
      </c>
      <c r="F33" s="20">
        <v>79.25</v>
      </c>
      <c r="G33" s="20">
        <v>5.2666666666666604</v>
      </c>
      <c r="H33" s="20">
        <v>26</v>
      </c>
      <c r="I33" s="20">
        <v>51</v>
      </c>
      <c r="J33" s="20">
        <v>0</v>
      </c>
      <c r="K33" s="20">
        <v>0.78239166666666593</v>
      </c>
      <c r="L33" s="20">
        <f t="shared" si="13"/>
        <v>0.35990016666666635</v>
      </c>
      <c r="M33" s="20"/>
      <c r="N33" s="5">
        <f t="shared" si="14"/>
        <v>5.0312804691293822</v>
      </c>
      <c r="O33" s="6">
        <f t="shared" si="15"/>
        <v>5.0312804691293822</v>
      </c>
      <c r="P33" s="20">
        <f t="shared" si="16"/>
        <v>0</v>
      </c>
      <c r="Q33" s="5">
        <f t="shared" si="1"/>
        <v>5.020081937117908</v>
      </c>
      <c r="R33" s="5">
        <f t="shared" si="17"/>
        <v>2.5125461056417127</v>
      </c>
      <c r="S33" s="5">
        <f t="shared" si="2"/>
        <v>0.2943357449999997</v>
      </c>
      <c r="T33" s="5">
        <f t="shared" si="3"/>
        <v>2.8957113285823608</v>
      </c>
      <c r="U33" s="5">
        <f t="shared" si="4"/>
        <v>37.62102361200899</v>
      </c>
      <c r="AB33" s="14"/>
      <c r="AD33" s="5">
        <f t="shared" si="7"/>
        <v>3.9499999999999993</v>
      </c>
      <c r="AE33" s="5">
        <f t="shared" si="8"/>
        <v>14.125</v>
      </c>
      <c r="AF33" s="5">
        <f t="shared" si="9"/>
        <v>4.108449271877344</v>
      </c>
      <c r="AG33" s="5">
        <f t="shared" si="10"/>
        <v>2.7388069677329154</v>
      </c>
      <c r="AH33" s="5">
        <f t="shared" si="19"/>
        <v>0.68482115207221428</v>
      </c>
      <c r="AI33" s="5">
        <f t="shared" si="11"/>
        <v>4.8218586591930998E-2</v>
      </c>
      <c r="AJ33" s="5">
        <f t="shared" si="20"/>
        <v>9.6730987730200266E-2</v>
      </c>
      <c r="AK33" s="5">
        <f t="shared" si="21"/>
        <v>0.588090164342014</v>
      </c>
      <c r="AL33" s="5">
        <f t="shared" si="12"/>
        <v>0.77</v>
      </c>
      <c r="AM33" s="5">
        <v>16.7</v>
      </c>
    </row>
    <row r="34" spans="1:39" x14ac:dyDescent="0.2">
      <c r="A34" s="23">
        <v>45320</v>
      </c>
      <c r="B34" s="20">
        <v>28.6</v>
      </c>
      <c r="C34" s="20">
        <v>78</v>
      </c>
      <c r="D34" s="20">
        <v>1.7</v>
      </c>
      <c r="E34" s="20">
        <v>34.200000000000003</v>
      </c>
      <c r="F34" s="20">
        <v>81.4583333333333</v>
      </c>
      <c r="G34" s="20">
        <v>4.3562500000000002</v>
      </c>
      <c r="H34" s="20">
        <v>25</v>
      </c>
      <c r="I34" s="20">
        <v>56</v>
      </c>
      <c r="J34" s="20">
        <v>1</v>
      </c>
      <c r="K34" s="20">
        <v>0.52632499999999904</v>
      </c>
      <c r="L34" s="20">
        <f t="shared" si="13"/>
        <v>0.24210949999999956</v>
      </c>
      <c r="M34" s="20"/>
      <c r="N34" s="5">
        <f t="shared" si="14"/>
        <v>5.0312804691293822</v>
      </c>
      <c r="O34" s="6">
        <f t="shared" si="15"/>
        <v>5.0312804691293822</v>
      </c>
      <c r="P34" s="20">
        <f t="shared" si="16"/>
        <v>0</v>
      </c>
      <c r="Q34" s="5">
        <f t="shared" si="1"/>
        <v>5.4057530421597342</v>
      </c>
      <c r="R34" s="5">
        <f t="shared" si="17"/>
        <v>2.7055741169708867</v>
      </c>
      <c r="S34" s="5">
        <f t="shared" si="2"/>
        <v>0.19774631764285677</v>
      </c>
      <c r="T34" s="5">
        <f t="shared" si="3"/>
        <v>2.9418159129619679</v>
      </c>
      <c r="U34" s="5">
        <f t="shared" si="4"/>
        <v>37.619202932586816</v>
      </c>
      <c r="AB34" s="14"/>
      <c r="AD34" s="5">
        <f t="shared" si="7"/>
        <v>4.6000000000000014</v>
      </c>
      <c r="AE34" s="5">
        <f t="shared" si="8"/>
        <v>12.72916666666665</v>
      </c>
      <c r="AF34" s="5">
        <f t="shared" si="9"/>
        <v>4.1704944896016816</v>
      </c>
      <c r="AG34" s="5">
        <f t="shared" si="10"/>
        <v>2.5977841382776066</v>
      </c>
      <c r="AH34" s="5">
        <f t="shared" si="19"/>
        <v>0.7863551756620375</v>
      </c>
      <c r="AI34" s="5">
        <f t="shared" si="11"/>
        <v>5.5070493324140851E-2</v>
      </c>
      <c r="AJ34" s="5">
        <f t="shared" si="20"/>
        <v>0.10009646090198006</v>
      </c>
      <c r="AK34" s="5">
        <f t="shared" si="21"/>
        <v>0.6862587147600574</v>
      </c>
      <c r="AL34" s="5">
        <f t="shared" si="12"/>
        <v>0.76900000000000002</v>
      </c>
      <c r="AM34" s="5">
        <v>16.7</v>
      </c>
    </row>
    <row r="35" spans="1:39" x14ac:dyDescent="0.2">
      <c r="A35" s="23">
        <v>45321</v>
      </c>
      <c r="B35" s="20">
        <v>30</v>
      </c>
      <c r="C35" s="20">
        <v>72.5</v>
      </c>
      <c r="D35" s="20">
        <v>2.1</v>
      </c>
      <c r="E35" s="20">
        <v>35.200000000000003</v>
      </c>
      <c r="F35" s="20">
        <v>74.9166666666666</v>
      </c>
      <c r="G35" s="20">
        <v>5.0166666666666604</v>
      </c>
      <c r="H35" s="20">
        <v>26.4</v>
      </c>
      <c r="I35" s="20">
        <v>53</v>
      </c>
      <c r="J35" s="20">
        <v>0.4</v>
      </c>
      <c r="K35" s="20">
        <v>0.97998333333333298</v>
      </c>
      <c r="L35" s="20">
        <f t="shared" si="13"/>
        <v>0.45079233333333318</v>
      </c>
      <c r="M35" s="20"/>
      <c r="N35" s="5">
        <f t="shared" si="14"/>
        <v>5.0312804691293822</v>
      </c>
      <c r="O35" s="6">
        <f t="shared" si="15"/>
        <v>5.0312804691293822</v>
      </c>
      <c r="P35" s="20">
        <f t="shared" si="16"/>
        <v>0</v>
      </c>
      <c r="Q35" s="5">
        <f t="shared" si="1"/>
        <v>5.4464502359642664</v>
      </c>
      <c r="R35" s="5">
        <f t="shared" si="17"/>
        <v>2.7259430227148491</v>
      </c>
      <c r="S35" s="5">
        <f t="shared" si="2"/>
        <v>0.37489402414285689</v>
      </c>
      <c r="T35" s="5">
        <f t="shared" si="3"/>
        <v>3.2962182358097771</v>
      </c>
      <c r="U35" s="5">
        <f t="shared" si="4"/>
        <v>37.623556731205078</v>
      </c>
      <c r="AB35" s="14"/>
      <c r="AD35" s="5">
        <f t="shared" si="7"/>
        <v>4.4000000000000021</v>
      </c>
      <c r="AE35" s="5">
        <f t="shared" si="8"/>
        <v>10.9583333333333</v>
      </c>
      <c r="AF35" s="5">
        <f t="shared" si="9"/>
        <v>4.3832360259416134</v>
      </c>
      <c r="AG35" s="5">
        <f t="shared" si="10"/>
        <v>2.7970605689481141</v>
      </c>
      <c r="AH35" s="5">
        <f t="shared" si="19"/>
        <v>0.79308772849674969</v>
      </c>
      <c r="AI35" s="5">
        <f t="shared" si="11"/>
        <v>5.5633948392030043E-2</v>
      </c>
      <c r="AJ35" s="5">
        <f t="shared" si="20"/>
        <v>8.6909196914435216E-2</v>
      </c>
      <c r="AK35" s="5">
        <f t="shared" si="21"/>
        <v>0.70617853158231447</v>
      </c>
      <c r="AL35" s="5">
        <f t="shared" si="12"/>
        <v>0.78299999999999992</v>
      </c>
      <c r="AM35" s="5">
        <v>16.7</v>
      </c>
    </row>
    <row r="36" spans="1:39" x14ac:dyDescent="0.2">
      <c r="A36" s="23">
        <v>45322</v>
      </c>
      <c r="B36" s="20">
        <v>29.5</v>
      </c>
      <c r="C36" s="20">
        <v>72.900000000000006</v>
      </c>
      <c r="D36" s="20">
        <v>2.1</v>
      </c>
      <c r="E36" s="20">
        <v>33.700000000000003</v>
      </c>
      <c r="F36" s="20">
        <v>75.3333333333333</v>
      </c>
      <c r="G36" s="20">
        <v>5.7874999999999996</v>
      </c>
      <c r="H36" s="20">
        <v>26.2</v>
      </c>
      <c r="I36" s="20">
        <v>54</v>
      </c>
      <c r="J36" s="20">
        <v>0</v>
      </c>
      <c r="K36" s="20">
        <v>0.81935833333333297</v>
      </c>
      <c r="L36" s="20">
        <f t="shared" si="13"/>
        <v>0.37690483333333319</v>
      </c>
      <c r="M36" s="20"/>
      <c r="N36" s="5">
        <f t="shared" si="14"/>
        <v>5.0312804691293822</v>
      </c>
      <c r="O36" s="6">
        <f t="shared" si="15"/>
        <v>5.0312804691293822</v>
      </c>
      <c r="P36" s="20">
        <f t="shared" si="16"/>
        <v>0</v>
      </c>
      <c r="Q36" s="5">
        <f t="shared" si="1"/>
        <v>4.9754925420874176</v>
      </c>
      <c r="R36" s="5">
        <f t="shared" si="17"/>
        <v>2.4902291569862696</v>
      </c>
      <c r="S36" s="5">
        <f t="shared" si="2"/>
        <v>0.31144512557142839</v>
      </c>
      <c r="T36" s="5">
        <f t="shared" si="3"/>
        <v>3.0194355840593583</v>
      </c>
      <c r="U36" s="5">
        <f t="shared" si="4"/>
        <v>37.623240091305561</v>
      </c>
      <c r="AB36" s="14"/>
      <c r="AD36" s="5">
        <f t="shared" si="7"/>
        <v>3.7500000000000018</v>
      </c>
      <c r="AE36" s="5">
        <f t="shared" si="8"/>
        <v>10.66666666666665</v>
      </c>
      <c r="AF36" s="5">
        <f t="shared" si="9"/>
        <v>4.0675332571595595</v>
      </c>
      <c r="AG36" s="5">
        <f t="shared" si="10"/>
        <v>2.7677999643057292</v>
      </c>
      <c r="AH36" s="5">
        <f t="shared" si="19"/>
        <v>0.64986664642691516</v>
      </c>
      <c r="AI36" s="5">
        <f t="shared" si="11"/>
        <v>4.5833384719655181E-2</v>
      </c>
      <c r="AJ36" s="5">
        <f t="shared" si="20"/>
        <v>6.9319108952204181E-2</v>
      </c>
      <c r="AK36" s="5">
        <f t="shared" si="21"/>
        <v>0.580547537474711</v>
      </c>
      <c r="AL36" s="5">
        <f t="shared" si="12"/>
        <v>0.77800000000000002</v>
      </c>
      <c r="AM36" s="5">
        <v>16.7</v>
      </c>
    </row>
    <row r="37" spans="1:39" x14ac:dyDescent="0.2">
      <c r="A37" s="23">
        <v>45323</v>
      </c>
      <c r="B37" s="20">
        <v>26.6</v>
      </c>
      <c r="C37" s="20">
        <v>88</v>
      </c>
      <c r="D37" s="20">
        <v>1.2</v>
      </c>
      <c r="E37" s="20">
        <v>30.8</v>
      </c>
      <c r="F37" s="20">
        <v>88.8958333333333</v>
      </c>
      <c r="G37" s="20">
        <v>3.5479166666666599</v>
      </c>
      <c r="H37" s="20">
        <v>26.2</v>
      </c>
      <c r="I37" s="20">
        <v>66</v>
      </c>
      <c r="J37" s="20">
        <v>2.2000000000000002</v>
      </c>
      <c r="K37" s="20">
        <v>7.3845833333333305E-2</v>
      </c>
      <c r="L37" s="20">
        <f t="shared" si="13"/>
        <v>3.3969083333333323E-2</v>
      </c>
      <c r="M37" s="20"/>
      <c r="N37" s="5">
        <f>IF(0&lt;$X$7&lt;26.5,16*(((10*$X$7)/$Z$6)^$Z$6)/30,((-415.85)+(32.24*$X$7)-(0.43*$X$7^2))/30)</f>
        <v>5.1089294807768528</v>
      </c>
      <c r="O37" s="6">
        <f t="shared" si="15"/>
        <v>5.0312804691293822</v>
      </c>
      <c r="P37" s="20">
        <f t="shared" si="16"/>
        <v>0</v>
      </c>
      <c r="Q37" s="5">
        <f t="shared" si="1"/>
        <v>3.6576840889822084</v>
      </c>
      <c r="R37" s="5">
        <f t="shared" si="17"/>
        <v>1.8306673135132243</v>
      </c>
      <c r="S37" s="5">
        <f t="shared" si="2"/>
        <v>2.7023144249999988E-2</v>
      </c>
      <c r="T37" s="5">
        <f t="shared" si="3"/>
        <v>1.4603063325329693</v>
      </c>
      <c r="U37" s="5">
        <f t="shared" si="4"/>
        <v>37.611286935099066</v>
      </c>
      <c r="AB37" s="14"/>
      <c r="AD37" s="5">
        <f t="shared" si="7"/>
        <v>2.3000000000000007</v>
      </c>
      <c r="AE37" s="5">
        <f t="shared" si="8"/>
        <v>11.44791666666665</v>
      </c>
      <c r="AF37" s="5">
        <f t="shared" si="9"/>
        <v>3.5128512223635613</v>
      </c>
      <c r="AG37" s="5">
        <f t="shared" si="10"/>
        <v>2.7677999643057292</v>
      </c>
      <c r="AH37" s="5">
        <f t="shared" si="19"/>
        <v>0.37252562902891606</v>
      </c>
      <c r="AI37" s="5">
        <f t="shared" si="11"/>
        <v>2.6592213158556165E-2</v>
      </c>
      <c r="AJ37" s="5">
        <f t="shared" si="20"/>
        <v>4.2646423573206055E-2</v>
      </c>
      <c r="AK37" s="5">
        <f t="shared" si="21"/>
        <v>0.32987920545571003</v>
      </c>
      <c r="AL37" s="5">
        <f t="shared" si="12"/>
        <v>0.749</v>
      </c>
      <c r="AM37" s="5">
        <v>16.7</v>
      </c>
    </row>
    <row r="38" spans="1:39" x14ac:dyDescent="0.2">
      <c r="A38" s="23">
        <v>45324</v>
      </c>
      <c r="B38" s="20">
        <v>26.6</v>
      </c>
      <c r="C38" s="20">
        <v>86.1</v>
      </c>
      <c r="D38" s="20">
        <v>1</v>
      </c>
      <c r="E38" s="20">
        <v>32.700000000000003</v>
      </c>
      <c r="F38" s="20">
        <v>88.25</v>
      </c>
      <c r="G38" s="20">
        <v>3.0885416666666599</v>
      </c>
      <c r="H38" s="20">
        <v>23.4</v>
      </c>
      <c r="I38" s="20">
        <v>60</v>
      </c>
      <c r="J38" s="20">
        <v>44</v>
      </c>
      <c r="K38" s="20">
        <v>0.47435729166666601</v>
      </c>
      <c r="L38" s="20">
        <f t="shared" si="13"/>
        <v>0.21820435416666636</v>
      </c>
      <c r="M38" s="20"/>
      <c r="N38" s="5">
        <f t="shared" ref="N38:N65" si="22">IF(0&lt;$X$7&lt;26.5,16*(((10*$X$7)/$Z$6)^$Z$6)/30,((-415.85)+(32.24*$X$7)-(0.43*$X$7^2))/30)</f>
        <v>5.1089294807768528</v>
      </c>
      <c r="O38" s="6">
        <f t="shared" si="15"/>
        <v>5.0312804691293822</v>
      </c>
      <c r="P38" s="20">
        <f t="shared" si="16"/>
        <v>0</v>
      </c>
      <c r="Q38" s="5">
        <f t="shared" si="1"/>
        <v>5.2007832169692305</v>
      </c>
      <c r="R38" s="5">
        <f t="shared" si="17"/>
        <v>2.6029869196885791</v>
      </c>
      <c r="S38" s="5">
        <f t="shared" si="2"/>
        <v>0.17358630731249974</v>
      </c>
      <c r="T38" s="5">
        <f t="shared" si="3"/>
        <v>2.2707142265419229</v>
      </c>
      <c r="U38" s="5">
        <f t="shared" si="4"/>
        <v>37.612790974621738</v>
      </c>
      <c r="AB38" s="14"/>
      <c r="AD38" s="5">
        <f t="shared" si="7"/>
        <v>4.6500000000000021</v>
      </c>
      <c r="AE38" s="5">
        <f t="shared" si="8"/>
        <v>14.125</v>
      </c>
      <c r="AF38" s="5">
        <f t="shared" si="9"/>
        <v>3.8682256329858009</v>
      </c>
      <c r="AG38" s="5">
        <f t="shared" si="10"/>
        <v>2.3853262226321985</v>
      </c>
      <c r="AH38" s="5">
        <f t="shared" si="19"/>
        <v>0.7414497051768012</v>
      </c>
      <c r="AI38" s="5">
        <f t="shared" si="11"/>
        <v>5.1904187613453785E-2</v>
      </c>
      <c r="AJ38" s="5">
        <f t="shared" si="20"/>
        <v>0.10472977085622316</v>
      </c>
      <c r="AK38" s="5">
        <f t="shared" si="21"/>
        <v>0.63671993432057805</v>
      </c>
      <c r="AL38" s="5">
        <f t="shared" si="12"/>
        <v>0.749</v>
      </c>
      <c r="AM38" s="5">
        <v>16.7</v>
      </c>
    </row>
    <row r="39" spans="1:39" x14ac:dyDescent="0.2">
      <c r="A39" s="23">
        <v>45325</v>
      </c>
      <c r="B39" s="20">
        <v>27.9</v>
      </c>
      <c r="C39" s="20">
        <v>79.2</v>
      </c>
      <c r="D39" s="20">
        <v>2</v>
      </c>
      <c r="E39" s="20">
        <v>32.200000000000003</v>
      </c>
      <c r="F39" s="20">
        <v>83.2708333333333</v>
      </c>
      <c r="G39" s="20">
        <v>5.453125</v>
      </c>
      <c r="H39" s="20">
        <v>25</v>
      </c>
      <c r="I39" s="20">
        <v>58</v>
      </c>
      <c r="J39" s="20"/>
      <c r="K39" s="20">
        <v>0.725117708333333</v>
      </c>
      <c r="L39" s="20">
        <f t="shared" si="13"/>
        <v>0.3335541458333332</v>
      </c>
      <c r="M39" s="20"/>
      <c r="N39" s="5">
        <f t="shared" si="22"/>
        <v>5.1089294807768528</v>
      </c>
      <c r="O39" s="6">
        <f t="shared" si="15"/>
        <v>5.0312804691293822</v>
      </c>
      <c r="P39" s="20">
        <f t="shared" si="16"/>
        <v>0</v>
      </c>
      <c r="Q39" s="5">
        <f t="shared" si="1"/>
        <v>4.710063426504659</v>
      </c>
      <c r="R39" s="5">
        <f t="shared" si="17"/>
        <v>2.3573821439225222</v>
      </c>
      <c r="S39" s="5">
        <f t="shared" si="2"/>
        <v>0.26995510751785695</v>
      </c>
      <c r="T39" s="5">
        <f t="shared" si="3"/>
        <v>2.643593868100989</v>
      </c>
      <c r="U39" s="5">
        <f t="shared" si="4"/>
        <v>37.618253012888282</v>
      </c>
      <c r="AB39" s="14"/>
      <c r="AD39" s="5">
        <f t="shared" si="7"/>
        <v>3.6000000000000014</v>
      </c>
      <c r="AE39" s="5">
        <f t="shared" si="8"/>
        <v>12.63541666666665</v>
      </c>
      <c r="AF39" s="5">
        <f t="shared" si="9"/>
        <v>3.7717992968905509</v>
      </c>
      <c r="AG39" s="5">
        <f t="shared" si="10"/>
        <v>2.5977841382776066</v>
      </c>
      <c r="AH39" s="5">
        <f t="shared" si="19"/>
        <v>0.58700757930647218</v>
      </c>
      <c r="AI39" s="5">
        <f t="shared" si="11"/>
        <v>4.1451672941529502E-2</v>
      </c>
      <c r="AJ39" s="5">
        <f t="shared" si="20"/>
        <v>7.4170853510286433E-2</v>
      </c>
      <c r="AK39" s="5">
        <f t="shared" si="21"/>
        <v>0.51283672579618578</v>
      </c>
      <c r="AL39" s="5">
        <f t="shared" si="12"/>
        <v>0.76200000000000001</v>
      </c>
      <c r="AM39" s="5">
        <v>16.7</v>
      </c>
    </row>
    <row r="40" spans="1:39" x14ac:dyDescent="0.2">
      <c r="A40" s="23">
        <v>45326</v>
      </c>
      <c r="B40" s="20">
        <v>29.8</v>
      </c>
      <c r="C40" s="20">
        <v>74.7</v>
      </c>
      <c r="D40" s="20">
        <v>1.7</v>
      </c>
      <c r="E40" s="20">
        <v>34.799999999999997</v>
      </c>
      <c r="F40" s="20">
        <v>77.5833333333333</v>
      </c>
      <c r="G40" s="20">
        <v>4.2874999999999996</v>
      </c>
      <c r="H40" s="20">
        <v>26.2</v>
      </c>
      <c r="I40" s="20">
        <v>53</v>
      </c>
      <c r="J40" s="20">
        <v>2.8</v>
      </c>
      <c r="K40" s="20">
        <v>0.85201249999999906</v>
      </c>
      <c r="L40" s="20">
        <f t="shared" si="13"/>
        <v>0.39192574999999957</v>
      </c>
      <c r="M40" s="20"/>
      <c r="N40" s="5">
        <f t="shared" si="22"/>
        <v>5.1089294807768528</v>
      </c>
      <c r="O40" s="6">
        <f t="shared" si="15"/>
        <v>5.0312804691293822</v>
      </c>
      <c r="P40" s="20">
        <f t="shared" si="16"/>
        <v>0</v>
      </c>
      <c r="Q40" s="5">
        <f t="shared" si="1"/>
        <v>5.3616749998821813</v>
      </c>
      <c r="R40" s="5">
        <f t="shared" si="17"/>
        <v>2.683513099868772</v>
      </c>
      <c r="S40" s="5">
        <f t="shared" si="2"/>
        <v>0.32510606110714246</v>
      </c>
      <c r="T40" s="5">
        <f t="shared" si="3"/>
        <v>2.9045393707909963</v>
      </c>
      <c r="U40" s="5">
        <f t="shared" si="4"/>
        <v>37.62181521175777</v>
      </c>
      <c r="AB40" s="14"/>
      <c r="AD40" s="5">
        <f t="shared" si="7"/>
        <v>4.2999999999999989</v>
      </c>
      <c r="AE40" s="5">
        <f t="shared" si="8"/>
        <v>12.29166666666665</v>
      </c>
      <c r="AF40" s="5">
        <f t="shared" si="9"/>
        <v>4.297033764582646</v>
      </c>
      <c r="AG40" s="5">
        <f t="shared" si="10"/>
        <v>2.7677999643057292</v>
      </c>
      <c r="AH40" s="5">
        <f t="shared" si="19"/>
        <v>0.7646169001384584</v>
      </c>
      <c r="AI40" s="5">
        <f t="shared" si="11"/>
        <v>5.3681171754518059E-2</v>
      </c>
      <c r="AJ40" s="5">
        <f t="shared" si="20"/>
        <v>9.3984160642018713E-2</v>
      </c>
      <c r="AK40" s="5">
        <f t="shared" si="21"/>
        <v>0.67063273949643964</v>
      </c>
      <c r="AL40" s="5">
        <f t="shared" si="12"/>
        <v>0.78099999999999992</v>
      </c>
      <c r="AM40" s="5">
        <v>16.7</v>
      </c>
    </row>
    <row r="41" spans="1:39" x14ac:dyDescent="0.2">
      <c r="A41" s="23">
        <v>45327</v>
      </c>
      <c r="B41" s="20">
        <v>29.1</v>
      </c>
      <c r="C41" s="20">
        <v>72.3</v>
      </c>
      <c r="D41" s="20">
        <v>1.7</v>
      </c>
      <c r="E41" s="20">
        <v>33.9</v>
      </c>
      <c r="F41" s="20">
        <v>74.9166666666666</v>
      </c>
      <c r="G41" s="20">
        <v>5.1749999999999998</v>
      </c>
      <c r="H41" s="20">
        <v>22.9</v>
      </c>
      <c r="I41" s="20">
        <v>53</v>
      </c>
      <c r="J41" s="20">
        <v>13.8</v>
      </c>
      <c r="K41" s="20">
        <v>0.957633333333333</v>
      </c>
      <c r="L41" s="20">
        <f t="shared" si="13"/>
        <v>0.4405113333333332</v>
      </c>
      <c r="M41" s="20"/>
      <c r="N41" s="5">
        <f t="shared" si="22"/>
        <v>5.1089294807768528</v>
      </c>
      <c r="O41" s="6">
        <f t="shared" si="15"/>
        <v>5.0312804691293822</v>
      </c>
      <c r="P41" s="20">
        <f t="shared" si="16"/>
        <v>0</v>
      </c>
      <c r="Q41" s="5">
        <f t="shared" si="1"/>
        <v>5.9746640794651382</v>
      </c>
      <c r="R41" s="5">
        <f t="shared" si="17"/>
        <v>2.9903135353993684</v>
      </c>
      <c r="S41" s="5">
        <f t="shared" si="2"/>
        <v>0.36213314914285694</v>
      </c>
      <c r="T41" s="5">
        <f t="shared" si="3"/>
        <v>3.6490567850982818</v>
      </c>
      <c r="U41" s="5">
        <f t="shared" si="4"/>
        <v>37.623715051154832</v>
      </c>
      <c r="AB41" s="14"/>
      <c r="AD41" s="5">
        <f t="shared" si="7"/>
        <v>5.5</v>
      </c>
      <c r="AE41" s="5">
        <f t="shared" si="8"/>
        <v>10.9583333333333</v>
      </c>
      <c r="AF41" s="5">
        <f t="shared" si="9"/>
        <v>4.108449271877344</v>
      </c>
      <c r="AG41" s="5">
        <f t="shared" si="10"/>
        <v>2.3221266878216267</v>
      </c>
      <c r="AH41" s="5">
        <f t="shared" si="19"/>
        <v>0.89316129202785866</v>
      </c>
      <c r="AI41" s="5">
        <f t="shared" si="11"/>
        <v>6.208754425188704E-2</v>
      </c>
      <c r="AJ41" s="5">
        <f t="shared" si="20"/>
        <v>9.7875591584719215E-2</v>
      </c>
      <c r="AK41" s="5">
        <f t="shared" si="21"/>
        <v>0.7952857004431394</v>
      </c>
      <c r="AL41" s="5">
        <f t="shared" si="12"/>
        <v>0.77400000000000002</v>
      </c>
      <c r="AM41" s="5">
        <v>16.7</v>
      </c>
    </row>
    <row r="42" spans="1:39" x14ac:dyDescent="0.2">
      <c r="A42" s="23">
        <v>45328</v>
      </c>
      <c r="B42" s="20">
        <v>30</v>
      </c>
      <c r="C42" s="20">
        <v>72</v>
      </c>
      <c r="D42" s="20">
        <v>1.9</v>
      </c>
      <c r="E42" s="20">
        <v>34.1</v>
      </c>
      <c r="F42" s="20">
        <v>74.0833333333333</v>
      </c>
      <c r="G42" s="20">
        <v>4.80416666666666</v>
      </c>
      <c r="H42" s="20">
        <v>27.1</v>
      </c>
      <c r="I42" s="20">
        <v>55</v>
      </c>
      <c r="J42" s="20">
        <v>0</v>
      </c>
      <c r="K42" s="20">
        <v>0.82794166666666602</v>
      </c>
      <c r="L42" s="20">
        <f t="shared" si="13"/>
        <v>0.38085316666666641</v>
      </c>
      <c r="M42" s="20"/>
      <c r="N42" s="5">
        <f t="shared" si="22"/>
        <v>5.1089294807768528</v>
      </c>
      <c r="O42" s="6">
        <f t="shared" si="15"/>
        <v>5.0312804691293822</v>
      </c>
      <c r="P42" s="20">
        <f t="shared" si="16"/>
        <v>0</v>
      </c>
      <c r="Q42" s="5">
        <f t="shared" si="1"/>
        <v>4.857594115611966</v>
      </c>
      <c r="R42" s="5">
        <f t="shared" si="17"/>
        <v>2.4312211097048246</v>
      </c>
      <c r="S42" s="5">
        <f t="shared" si="2"/>
        <v>0.31673026735714249</v>
      </c>
      <c r="T42" s="5">
        <f t="shared" si="3"/>
        <v>2.7155224269510967</v>
      </c>
      <c r="U42" s="5">
        <f t="shared" si="4"/>
        <v>37.62395253107946</v>
      </c>
      <c r="AB42" s="14"/>
      <c r="AD42" s="5">
        <f t="shared" si="7"/>
        <v>3.5</v>
      </c>
      <c r="AE42" s="5">
        <f t="shared" si="8"/>
        <v>9.5416666666666501</v>
      </c>
      <c r="AF42" s="5">
        <f t="shared" si="9"/>
        <v>4.1497228216209656</v>
      </c>
      <c r="AG42" s="5">
        <f t="shared" si="10"/>
        <v>2.9016102701791366</v>
      </c>
      <c r="AH42" s="5">
        <f t="shared" si="19"/>
        <v>0.62405627572091449</v>
      </c>
      <c r="AI42" s="5">
        <f t="shared" si="11"/>
        <v>4.4104483840967323E-2</v>
      </c>
      <c r="AJ42" s="5">
        <f t="shared" si="20"/>
        <v>5.9545369641703816E-2</v>
      </c>
      <c r="AK42" s="5">
        <f t="shared" si="21"/>
        <v>0.56451090607921062</v>
      </c>
      <c r="AL42" s="5">
        <f t="shared" si="12"/>
        <v>0.78299999999999992</v>
      </c>
      <c r="AM42" s="5">
        <v>16.7</v>
      </c>
    </row>
    <row r="43" spans="1:39" x14ac:dyDescent="0.2">
      <c r="A43" s="23">
        <v>45329</v>
      </c>
      <c r="B43" s="20">
        <v>29.4</v>
      </c>
      <c r="C43" s="20">
        <v>71.3</v>
      </c>
      <c r="D43" s="20">
        <v>1.7</v>
      </c>
      <c r="E43" s="20">
        <v>33.5</v>
      </c>
      <c r="F43" s="20">
        <v>74.5</v>
      </c>
      <c r="G43" s="20">
        <v>4.6458333333333304</v>
      </c>
      <c r="H43" s="20">
        <v>25.7</v>
      </c>
      <c r="I43" s="20">
        <v>55</v>
      </c>
      <c r="J43" s="20">
        <v>0</v>
      </c>
      <c r="K43" s="20">
        <v>0.79585000000000006</v>
      </c>
      <c r="L43" s="20">
        <f t="shared" si="13"/>
        <v>0.36609100000000006</v>
      </c>
      <c r="M43" s="20"/>
      <c r="N43" s="5">
        <f t="shared" si="22"/>
        <v>5.1089294807768528</v>
      </c>
      <c r="O43" s="6">
        <f t="shared" si="15"/>
        <v>5.0312804691293822</v>
      </c>
      <c r="P43" s="20">
        <f t="shared" si="16"/>
        <v>0</v>
      </c>
      <c r="Q43" s="5">
        <f t="shared" si="1"/>
        <v>5.063299383166199</v>
      </c>
      <c r="R43" s="5">
        <f t="shared" si="17"/>
        <v>2.5341763951717589</v>
      </c>
      <c r="S43" s="5">
        <f t="shared" si="2"/>
        <v>0.30212057699999995</v>
      </c>
      <c r="T43" s="5">
        <f t="shared" si="3"/>
        <v>2.7980441341074989</v>
      </c>
      <c r="U43" s="5">
        <f t="shared" si="4"/>
        <v>37.624506650903605</v>
      </c>
      <c r="AB43" s="14"/>
      <c r="AD43" s="5">
        <f t="shared" si="7"/>
        <v>3.9000000000000004</v>
      </c>
      <c r="AE43" s="5">
        <f t="shared" si="8"/>
        <v>9.75</v>
      </c>
      <c r="AF43" s="5">
        <f t="shared" si="9"/>
        <v>4.0269721746729781</v>
      </c>
      <c r="AG43" s="5">
        <f t="shared" si="10"/>
        <v>2.6958147156907444</v>
      </c>
      <c r="AH43" s="5">
        <f t="shared" si="19"/>
        <v>0.66557872949111685</v>
      </c>
      <c r="AI43" s="5">
        <f t="shared" si="11"/>
        <v>4.6883149782021967E-2</v>
      </c>
      <c r="AJ43" s="5">
        <f t="shared" si="20"/>
        <v>6.4893926125383888E-2</v>
      </c>
      <c r="AK43" s="5">
        <f t="shared" si="21"/>
        <v>0.60068480336573293</v>
      </c>
      <c r="AL43" s="5">
        <f t="shared" si="12"/>
        <v>0.77699999999999991</v>
      </c>
      <c r="AM43" s="5">
        <v>16.7</v>
      </c>
    </row>
    <row r="44" spans="1:39" x14ac:dyDescent="0.2">
      <c r="A44" s="23">
        <v>45330</v>
      </c>
      <c r="B44" s="20">
        <v>29.6</v>
      </c>
      <c r="C44" s="20">
        <v>74.8</v>
      </c>
      <c r="D44" s="20">
        <v>1.4</v>
      </c>
      <c r="E44" s="20">
        <v>34.5</v>
      </c>
      <c r="F44" s="20">
        <v>77.375</v>
      </c>
      <c r="G44" s="20">
        <v>3.8291666666666599</v>
      </c>
      <c r="H44" s="20">
        <v>25.6</v>
      </c>
      <c r="I44" s="20">
        <v>53</v>
      </c>
      <c r="J44" s="20">
        <v>0</v>
      </c>
      <c r="K44" s="20">
        <v>0.70766249999999997</v>
      </c>
      <c r="L44" s="20">
        <f t="shared" si="13"/>
        <v>0.32552474999999997</v>
      </c>
      <c r="M44" s="20"/>
      <c r="N44" s="5">
        <f t="shared" si="22"/>
        <v>5.1089294807768528</v>
      </c>
      <c r="O44" s="6">
        <f t="shared" si="15"/>
        <v>5.0312804691293822</v>
      </c>
      <c r="P44" s="20">
        <f t="shared" si="16"/>
        <v>0</v>
      </c>
      <c r="Q44" s="5">
        <f t="shared" si="1"/>
        <v>5.4314733398414461</v>
      </c>
      <c r="R44" s="5">
        <f t="shared" si="17"/>
        <v>2.7184471008356144</v>
      </c>
      <c r="S44" s="5">
        <f t="shared" si="2"/>
        <v>0.26933432560714277</v>
      </c>
      <c r="T44" s="5">
        <f t="shared" si="3"/>
        <v>2.7482589832982991</v>
      </c>
      <c r="U44" s="5">
        <f t="shared" si="4"/>
        <v>37.621736051782889</v>
      </c>
      <c r="AB44" s="14"/>
      <c r="AD44" s="5">
        <f t="shared" si="7"/>
        <v>4.4499999999999993</v>
      </c>
      <c r="AE44" s="5">
        <f t="shared" si="8"/>
        <v>12.1875</v>
      </c>
      <c r="AF44" s="5">
        <f t="shared" si="9"/>
        <v>4.2333530124400509</v>
      </c>
      <c r="AG44" s="5">
        <f t="shared" si="10"/>
        <v>2.6816155357966691</v>
      </c>
      <c r="AH44" s="5">
        <f t="shared" si="19"/>
        <v>0.7758687383216909</v>
      </c>
      <c r="AI44" s="5">
        <f t="shared" si="11"/>
        <v>5.4403550286953033E-2</v>
      </c>
      <c r="AJ44" s="5">
        <f t="shared" si="20"/>
        <v>9.4559002482956081E-2</v>
      </c>
      <c r="AK44" s="5">
        <f t="shared" si="21"/>
        <v>0.68130973583873478</v>
      </c>
      <c r="AL44" s="5">
        <f t="shared" si="12"/>
        <v>0.77900000000000003</v>
      </c>
      <c r="AM44" s="5">
        <v>16.7</v>
      </c>
    </row>
    <row r="45" spans="1:39" x14ac:dyDescent="0.2">
      <c r="A45" s="23">
        <v>45331</v>
      </c>
      <c r="B45" s="20">
        <v>27.9</v>
      </c>
      <c r="C45" s="20">
        <v>83.4</v>
      </c>
      <c r="D45" s="20">
        <v>1.2</v>
      </c>
      <c r="E45" s="20">
        <v>30.8</v>
      </c>
      <c r="F45" s="20">
        <v>85.5</v>
      </c>
      <c r="G45" s="20">
        <v>3.8291666666666599</v>
      </c>
      <c r="H45" s="20">
        <v>27</v>
      </c>
      <c r="I45" s="20">
        <v>72</v>
      </c>
      <c r="J45" s="20">
        <v>0</v>
      </c>
      <c r="K45" s="20">
        <v>0.31569583333333301</v>
      </c>
      <c r="L45" s="20">
        <f t="shared" si="13"/>
        <v>0.14522008333333319</v>
      </c>
      <c r="M45" s="20"/>
      <c r="N45" s="5">
        <f t="shared" si="22"/>
        <v>5.1089294807768528</v>
      </c>
      <c r="O45" s="6">
        <f t="shared" si="15"/>
        <v>5.0312804691293822</v>
      </c>
      <c r="P45" s="20">
        <f t="shared" si="16"/>
        <v>0</v>
      </c>
      <c r="Q45" s="5">
        <f t="shared" si="1"/>
        <v>3.421781748966787</v>
      </c>
      <c r="R45" s="5">
        <f t="shared" si="17"/>
        <v>1.7125984227775883</v>
      </c>
      <c r="S45" s="5">
        <f t="shared" si="2"/>
        <v>0.11753085278571414</v>
      </c>
      <c r="T45" s="5">
        <f t="shared" si="3"/>
        <v>1.393854203699016</v>
      </c>
      <c r="U45" s="5">
        <f t="shared" si="4"/>
        <v>37.614928293943422</v>
      </c>
      <c r="AB45" s="14"/>
      <c r="AD45" s="5">
        <f t="shared" si="7"/>
        <v>1.9000000000000004</v>
      </c>
      <c r="AE45" s="5">
        <f t="shared" si="8"/>
        <v>6.75</v>
      </c>
      <c r="AF45" s="5">
        <f t="shared" si="9"/>
        <v>3.5128512223635613</v>
      </c>
      <c r="AG45" s="5">
        <f t="shared" si="10"/>
        <v>2.8864689131283341</v>
      </c>
      <c r="AH45" s="5">
        <f t="shared" si="19"/>
        <v>0.3131911546176136</v>
      </c>
      <c r="AI45" s="5">
        <f t="shared" si="11"/>
        <v>2.2431540048891026E-2</v>
      </c>
      <c r="AJ45" s="5">
        <f t="shared" si="20"/>
        <v>2.114040293668892E-2</v>
      </c>
      <c r="AK45" s="5">
        <f t="shared" si="21"/>
        <v>0.2920507516809247</v>
      </c>
      <c r="AL45" s="5">
        <f t="shared" si="12"/>
        <v>0.76200000000000001</v>
      </c>
      <c r="AM45" s="5">
        <v>16.7</v>
      </c>
    </row>
    <row r="46" spans="1:39" x14ac:dyDescent="0.2">
      <c r="A46" s="23">
        <v>45332</v>
      </c>
      <c r="B46" s="20">
        <v>28.3</v>
      </c>
      <c r="C46" s="20">
        <v>81.5</v>
      </c>
      <c r="D46" s="20">
        <v>1.5</v>
      </c>
      <c r="E46" s="20">
        <v>33.6</v>
      </c>
      <c r="F46" s="20">
        <v>84.4583333333333</v>
      </c>
      <c r="G46" s="20">
        <v>5.1624999999999996</v>
      </c>
      <c r="H46" s="20">
        <v>23.9</v>
      </c>
      <c r="I46" s="20">
        <v>56</v>
      </c>
      <c r="J46" s="20">
        <v>17.399999999999999</v>
      </c>
      <c r="K46" s="20">
        <v>0.84873333333333301</v>
      </c>
      <c r="L46" s="20">
        <f t="shared" si="13"/>
        <v>0.39041733333333323</v>
      </c>
      <c r="M46" s="20"/>
      <c r="N46" s="5">
        <f t="shared" si="22"/>
        <v>5.1089294807768528</v>
      </c>
      <c r="O46" s="6">
        <f t="shared" si="15"/>
        <v>5.0312804691293822</v>
      </c>
      <c r="P46" s="20">
        <f t="shared" si="16"/>
        <v>0</v>
      </c>
      <c r="Q46" s="5">
        <f t="shared" si="1"/>
        <v>5.5148169239413285</v>
      </c>
      <c r="R46" s="5">
        <f t="shared" si="17"/>
        <v>2.7601604832631139</v>
      </c>
      <c r="S46" s="5">
        <f t="shared" si="2"/>
        <v>0.31763481257142845</v>
      </c>
      <c r="T46" s="5">
        <f t="shared" si="3"/>
        <v>3.2257410331942462</v>
      </c>
      <c r="U46" s="5">
        <f t="shared" si="4"/>
        <v>37.616432333466101</v>
      </c>
      <c r="AB46" s="14"/>
      <c r="AD46" s="5">
        <f t="shared" si="7"/>
        <v>4.8500000000000014</v>
      </c>
      <c r="AE46" s="5">
        <f t="shared" si="8"/>
        <v>14.22916666666665</v>
      </c>
      <c r="AF46" s="5">
        <f t="shared" si="9"/>
        <v>4.0472085114775638</v>
      </c>
      <c r="AG46" s="5">
        <f t="shared" si="10"/>
        <v>2.4500244372500051</v>
      </c>
      <c r="AH46" s="5">
        <f t="shared" si="19"/>
        <v>0.79859203711377935</v>
      </c>
      <c r="AI46" s="5">
        <f t="shared" si="11"/>
        <v>5.5812051045270684E-2</v>
      </c>
      <c r="AJ46" s="5">
        <f t="shared" si="20"/>
        <v>0.11363299194764805</v>
      </c>
      <c r="AK46" s="5">
        <f t="shared" si="21"/>
        <v>0.68495904516613126</v>
      </c>
      <c r="AL46" s="5">
        <f t="shared" si="12"/>
        <v>0.76600000000000001</v>
      </c>
      <c r="AM46" s="5">
        <v>16.7</v>
      </c>
    </row>
    <row r="47" spans="1:39" x14ac:dyDescent="0.2">
      <c r="A47" s="23">
        <v>45333</v>
      </c>
      <c r="B47" s="20">
        <v>28.4</v>
      </c>
      <c r="C47" s="20">
        <v>80.2</v>
      </c>
      <c r="D47" s="20">
        <v>1.8</v>
      </c>
      <c r="E47" s="20">
        <v>32.799999999999997</v>
      </c>
      <c r="F47" s="20">
        <v>85.1666666666666</v>
      </c>
      <c r="G47" s="20">
        <v>4.9166666666666599</v>
      </c>
      <c r="H47" s="20">
        <v>24.4</v>
      </c>
      <c r="I47" s="20">
        <v>59</v>
      </c>
      <c r="J47" s="20">
        <v>35.200000000000003</v>
      </c>
      <c r="K47" s="20">
        <v>0.61394375000000001</v>
      </c>
      <c r="L47" s="20">
        <f t="shared" si="13"/>
        <v>0.28241412500000002</v>
      </c>
      <c r="M47" s="20"/>
      <c r="N47" s="5">
        <f t="shared" si="22"/>
        <v>5.1089294807768528</v>
      </c>
      <c r="O47" s="6">
        <f t="shared" si="15"/>
        <v>5.0312804691293822</v>
      </c>
      <c r="P47" s="20">
        <f t="shared" si="16"/>
        <v>0</v>
      </c>
      <c r="Q47" s="5">
        <f t="shared" si="1"/>
        <v>5.1431113347872994</v>
      </c>
      <c r="R47" s="5">
        <f t="shared" si="17"/>
        <v>2.5741221989935164</v>
      </c>
      <c r="S47" s="5">
        <f t="shared" si="2"/>
        <v>0.23006577262499994</v>
      </c>
      <c r="T47" s="5">
        <f t="shared" si="3"/>
        <v>2.8216696891941582</v>
      </c>
      <c r="U47" s="5">
        <f t="shared" si="4"/>
        <v>37.617461413139509</v>
      </c>
      <c r="AB47" s="14"/>
      <c r="AD47" s="5">
        <f t="shared" si="7"/>
        <v>4.1999999999999993</v>
      </c>
      <c r="AE47" s="5">
        <f t="shared" si="8"/>
        <v>13.0833333333333</v>
      </c>
      <c r="AF47" s="5">
        <f t="shared" si="9"/>
        <v>3.8877662493760701</v>
      </c>
      <c r="AG47" s="5">
        <f t="shared" si="10"/>
        <v>2.5162512773466017</v>
      </c>
      <c r="AH47" s="5">
        <f t="shared" si="19"/>
        <v>0.68575748601473419</v>
      </c>
      <c r="AI47" s="5">
        <f t="shared" si="11"/>
        <v>4.8184598119729277E-2</v>
      </c>
      <c r="AJ47" s="5">
        <f t="shared" si="20"/>
        <v>8.9719937753594173E-2</v>
      </c>
      <c r="AK47" s="5">
        <f t="shared" si="21"/>
        <v>0.59603754826113997</v>
      </c>
      <c r="AL47" s="5">
        <f t="shared" si="12"/>
        <v>0.7669999999999999</v>
      </c>
      <c r="AM47" s="5">
        <v>16.7</v>
      </c>
    </row>
    <row r="48" spans="1:39" x14ac:dyDescent="0.2">
      <c r="A48" s="23">
        <v>45334</v>
      </c>
      <c r="B48" s="20">
        <v>27</v>
      </c>
      <c r="C48" s="20">
        <v>83.2</v>
      </c>
      <c r="D48" s="20">
        <v>1.6</v>
      </c>
      <c r="E48" s="20">
        <v>31.9</v>
      </c>
      <c r="F48" s="20">
        <v>87</v>
      </c>
      <c r="G48" s="20">
        <v>4.80416666666666</v>
      </c>
      <c r="H48" s="20">
        <v>23.6</v>
      </c>
      <c r="I48" s="20">
        <v>64</v>
      </c>
      <c r="J48" s="20">
        <v>17.8</v>
      </c>
      <c r="K48" s="20">
        <v>0.591495833333333</v>
      </c>
      <c r="L48" s="20">
        <f t="shared" si="13"/>
        <v>0.27208808333333317</v>
      </c>
      <c r="M48" s="20"/>
      <c r="N48" s="5">
        <f t="shared" si="22"/>
        <v>5.1089294807768528</v>
      </c>
      <c r="O48" s="6">
        <f t="shared" si="15"/>
        <v>5.0312804691293822</v>
      </c>
      <c r="P48" s="20">
        <f t="shared" si="16"/>
        <v>0</v>
      </c>
      <c r="Q48" s="5">
        <f t="shared" si="1"/>
        <v>4.9574845266061276</v>
      </c>
      <c r="R48" s="5">
        <f t="shared" si="17"/>
        <v>2.4812161628290812</v>
      </c>
      <c r="S48" s="5">
        <f t="shared" si="2"/>
        <v>0.21760793710714271</v>
      </c>
      <c r="T48" s="5">
        <f t="shared" si="3"/>
        <v>2.7279421482645843</v>
      </c>
      <c r="U48" s="5">
        <f t="shared" si="4"/>
        <v>37.615086613893183</v>
      </c>
      <c r="AB48" s="14"/>
      <c r="AD48" s="5">
        <f t="shared" si="7"/>
        <v>4.1499999999999986</v>
      </c>
      <c r="AE48" s="5">
        <f t="shared" si="8"/>
        <v>11.5</v>
      </c>
      <c r="AF48" s="5">
        <f t="shared" si="9"/>
        <v>3.7149536445295444</v>
      </c>
      <c r="AG48" s="5">
        <f t="shared" si="10"/>
        <v>2.4110240005403845</v>
      </c>
      <c r="AH48" s="5">
        <f t="shared" si="19"/>
        <v>0.65196482199457995</v>
      </c>
      <c r="AI48" s="5">
        <f t="shared" si="11"/>
        <v>4.5829138959261807E-2</v>
      </c>
      <c r="AJ48" s="5">
        <f t="shared" si="20"/>
        <v>7.4975954529376693E-2</v>
      </c>
      <c r="AK48" s="5">
        <f t="shared" si="21"/>
        <v>0.57698886746520328</v>
      </c>
      <c r="AL48" s="5">
        <f t="shared" si="12"/>
        <v>0.753</v>
      </c>
      <c r="AM48" s="5">
        <v>16.7</v>
      </c>
    </row>
    <row r="49" spans="1:39" x14ac:dyDescent="0.2">
      <c r="A49" s="23">
        <v>45335</v>
      </c>
      <c r="B49" s="20">
        <v>26.3</v>
      </c>
      <c r="C49" s="20">
        <v>87.8</v>
      </c>
      <c r="D49" s="20">
        <v>1.2</v>
      </c>
      <c r="E49" s="20">
        <v>30.6</v>
      </c>
      <c r="F49" s="20">
        <v>90.5416666666666</v>
      </c>
      <c r="G49" s="20">
        <v>4</v>
      </c>
      <c r="H49" s="20">
        <v>23.7</v>
      </c>
      <c r="I49" s="20">
        <v>67</v>
      </c>
      <c r="J49" s="20">
        <v>36</v>
      </c>
      <c r="K49" s="20">
        <v>0.36455416666666601</v>
      </c>
      <c r="L49" s="20">
        <f t="shared" si="13"/>
        <v>0.16769491666666636</v>
      </c>
      <c r="M49" s="20"/>
      <c r="N49" s="5">
        <f t="shared" si="22"/>
        <v>5.1089294807768528</v>
      </c>
      <c r="O49" s="6">
        <f t="shared" si="15"/>
        <v>5.0312804691293822</v>
      </c>
      <c r="P49" s="20">
        <f t="shared" si="16"/>
        <v>0</v>
      </c>
      <c r="Q49" s="5">
        <f t="shared" si="1"/>
        <v>4.4494613843600117</v>
      </c>
      <c r="R49" s="5">
        <f t="shared" si="17"/>
        <v>2.2269510763992053</v>
      </c>
      <c r="S49" s="5">
        <f t="shared" si="2"/>
        <v>0.13287061949999976</v>
      </c>
      <c r="T49" s="5">
        <f t="shared" si="3"/>
        <v>2.0785532817758305</v>
      </c>
      <c r="U49" s="5">
        <f t="shared" si="4"/>
        <v>37.611445255048821</v>
      </c>
      <c r="AB49" s="14"/>
      <c r="AD49" s="5">
        <f t="shared" si="7"/>
        <v>3.4500000000000011</v>
      </c>
      <c r="AE49" s="5">
        <f t="shared" si="8"/>
        <v>11.7708333333333</v>
      </c>
      <c r="AF49" s="5">
        <f t="shared" si="9"/>
        <v>3.4771532833275658</v>
      </c>
      <c r="AG49" s="5">
        <f t="shared" si="10"/>
        <v>2.4239634039032953</v>
      </c>
      <c r="AH49" s="5">
        <f t="shared" si="19"/>
        <v>0.52659493971213522</v>
      </c>
      <c r="AI49" s="5">
        <f t="shared" si="11"/>
        <v>3.7231972393993416E-2</v>
      </c>
      <c r="AJ49" s="5">
        <f t="shared" si="20"/>
        <v>6.1984612695282409E-2</v>
      </c>
      <c r="AK49" s="5">
        <f t="shared" si="21"/>
        <v>0.46461032701685279</v>
      </c>
      <c r="AL49" s="5">
        <f t="shared" si="12"/>
        <v>0.746</v>
      </c>
      <c r="AM49" s="5">
        <v>16.7</v>
      </c>
    </row>
    <row r="50" spans="1:39" x14ac:dyDescent="0.2">
      <c r="A50" s="23">
        <v>45336</v>
      </c>
      <c r="B50" s="20">
        <v>27.5</v>
      </c>
      <c r="C50" s="20">
        <v>81.400000000000006</v>
      </c>
      <c r="D50" s="20">
        <v>1.8</v>
      </c>
      <c r="E50" s="20">
        <v>32.1</v>
      </c>
      <c r="F50" s="20">
        <v>84.1666666666666</v>
      </c>
      <c r="G50" s="20">
        <v>4.8</v>
      </c>
      <c r="H50" s="20">
        <v>23.3</v>
      </c>
      <c r="I50" s="20">
        <v>62</v>
      </c>
      <c r="J50" s="20">
        <v>43</v>
      </c>
      <c r="K50" s="20">
        <v>0.61707916666666596</v>
      </c>
      <c r="L50" s="20">
        <f t="shared" si="13"/>
        <v>0.28385641666666633</v>
      </c>
      <c r="M50" s="20"/>
      <c r="N50" s="5">
        <f t="shared" si="22"/>
        <v>5.1089294807768528</v>
      </c>
      <c r="O50" s="6">
        <f t="shared" si="15"/>
        <v>5.0312804691293822</v>
      </c>
      <c r="P50" s="20">
        <f t="shared" si="16"/>
        <v>0</v>
      </c>
      <c r="Q50" s="5">
        <f t="shared" si="1"/>
        <v>5.1615940520749204</v>
      </c>
      <c r="R50" s="5">
        <f t="shared" si="17"/>
        <v>2.5833727809410592</v>
      </c>
      <c r="S50" s="5">
        <f t="shared" si="2"/>
        <v>0.22852733549999971</v>
      </c>
      <c r="T50" s="5">
        <f t="shared" si="3"/>
        <v>2.8642782085464806</v>
      </c>
      <c r="U50" s="5">
        <f t="shared" si="4"/>
        <v>37.616511493440974</v>
      </c>
      <c r="AB50" s="14"/>
      <c r="AD50" s="5">
        <f t="shared" si="7"/>
        <v>4.4000000000000004</v>
      </c>
      <c r="AE50" s="5">
        <f t="shared" si="8"/>
        <v>11.0833333333333</v>
      </c>
      <c r="AF50" s="5">
        <f t="shared" si="9"/>
        <v>3.752767188668011</v>
      </c>
      <c r="AG50" s="5">
        <f t="shared" si="10"/>
        <v>2.3725673712330511</v>
      </c>
      <c r="AH50" s="5">
        <f t="shared" si="19"/>
        <v>0.69009990871747995</v>
      </c>
      <c r="AI50" s="5">
        <f t="shared" si="11"/>
        <v>4.8409502918049838E-2</v>
      </c>
      <c r="AJ50" s="5">
        <f t="shared" si="20"/>
        <v>7.6486073216187125E-2</v>
      </c>
      <c r="AK50" s="5">
        <f t="shared" si="21"/>
        <v>0.61361383550129278</v>
      </c>
      <c r="AL50" s="5">
        <f t="shared" si="12"/>
        <v>0.75800000000000001</v>
      </c>
      <c r="AM50" s="5">
        <v>16.7</v>
      </c>
    </row>
    <row r="51" spans="1:39" x14ac:dyDescent="0.2">
      <c r="A51" s="23">
        <v>45337</v>
      </c>
      <c r="B51" s="20">
        <v>27.9</v>
      </c>
      <c r="C51" s="20">
        <v>82.2</v>
      </c>
      <c r="D51" s="20">
        <v>1.3</v>
      </c>
      <c r="E51" s="20">
        <v>33.9</v>
      </c>
      <c r="F51" s="20">
        <v>85.0208333333333</v>
      </c>
      <c r="G51" s="20">
        <v>3.9</v>
      </c>
      <c r="H51" s="20">
        <v>25.6</v>
      </c>
      <c r="I51" s="20">
        <v>56</v>
      </c>
      <c r="J51" s="20">
        <v>0</v>
      </c>
      <c r="K51" s="20">
        <v>0.56289583333333304</v>
      </c>
      <c r="L51" s="20">
        <f t="shared" si="13"/>
        <v>0.25893208333333323</v>
      </c>
      <c r="M51" s="20"/>
      <c r="N51" s="5">
        <f t="shared" si="22"/>
        <v>5.1089294807768528</v>
      </c>
      <c r="O51" s="6">
        <f t="shared" si="15"/>
        <v>5.0312804691293822</v>
      </c>
      <c r="P51" s="20">
        <f t="shared" si="16"/>
        <v>0</v>
      </c>
      <c r="Q51" s="5">
        <f t="shared" si="1"/>
        <v>5.05707684968527</v>
      </c>
      <c r="R51" s="5">
        <f t="shared" si="17"/>
        <v>2.531062023243059</v>
      </c>
      <c r="S51" s="5">
        <f t="shared" si="2"/>
        <v>0.20956129392857126</v>
      </c>
      <c r="T51" s="5">
        <f t="shared" si="3"/>
        <v>2.5297102802204958</v>
      </c>
      <c r="U51" s="5">
        <f t="shared" si="4"/>
        <v>37.615878213641963</v>
      </c>
      <c r="AB51" s="14"/>
      <c r="AD51" s="5">
        <f t="shared" si="7"/>
        <v>4.1499999999999986</v>
      </c>
      <c r="AE51" s="5">
        <f t="shared" si="8"/>
        <v>14.51041666666665</v>
      </c>
      <c r="AF51" s="5">
        <f t="shared" si="9"/>
        <v>4.108449271877344</v>
      </c>
      <c r="AG51" s="5">
        <f t="shared" si="10"/>
        <v>2.6816155357966691</v>
      </c>
      <c r="AH51" s="5">
        <f t="shared" si="19"/>
        <v>0.71341686804033744</v>
      </c>
      <c r="AI51" s="5">
        <f t="shared" si="11"/>
        <v>5.0148841898058391E-2</v>
      </c>
      <c r="AJ51" s="5">
        <f t="shared" si="20"/>
        <v>0.10351976012293634</v>
      </c>
      <c r="AK51" s="5">
        <f t="shared" si="21"/>
        <v>0.60989710791740115</v>
      </c>
      <c r="AL51" s="5">
        <f t="shared" si="12"/>
        <v>0.76200000000000001</v>
      </c>
      <c r="AM51" s="5">
        <v>16.7</v>
      </c>
    </row>
    <row r="52" spans="1:39" x14ac:dyDescent="0.2">
      <c r="A52" s="23">
        <v>45338</v>
      </c>
      <c r="B52" s="20">
        <v>28.9</v>
      </c>
      <c r="C52" s="20">
        <v>75.3</v>
      </c>
      <c r="D52" s="20">
        <v>1.7</v>
      </c>
      <c r="E52" s="20">
        <v>33.9</v>
      </c>
      <c r="F52" s="20">
        <v>80</v>
      </c>
      <c r="G52" s="20">
        <v>4</v>
      </c>
      <c r="H52" s="20">
        <v>25.3</v>
      </c>
      <c r="I52" s="20">
        <v>53</v>
      </c>
      <c r="J52" s="20">
        <v>0</v>
      </c>
      <c r="K52" s="20">
        <v>0.77085000000000004</v>
      </c>
      <c r="L52" s="20">
        <f t="shared" si="13"/>
        <v>0.35459100000000005</v>
      </c>
      <c r="M52" s="20"/>
      <c r="N52" s="5">
        <f>IF(0&lt;$X$7&lt;26.5,16*(((10*$X$7)/$Z$6)^$Z$6)/30,((-415.85)+(32.24*$X$7)-(0.43*$X$7^2))/30)</f>
        <v>5.1089294807768528</v>
      </c>
      <c r="O52" s="6">
        <f t="shared" si="15"/>
        <v>5.0312804691293822</v>
      </c>
      <c r="P52" s="20">
        <f t="shared" si="16"/>
        <v>0</v>
      </c>
      <c r="Q52" s="5">
        <f t="shared" si="1"/>
        <v>5.2602987919012163</v>
      </c>
      <c r="R52" s="5">
        <f t="shared" si="17"/>
        <v>2.6327744068040264</v>
      </c>
      <c r="S52" s="5">
        <f t="shared" si="2"/>
        <v>0.29074700057142855</v>
      </c>
      <c r="T52" s="5">
        <f t="shared" si="3"/>
        <v>2.6719845728320317</v>
      </c>
      <c r="U52" s="5">
        <f t="shared" si="4"/>
        <v>37.621340251908507</v>
      </c>
      <c r="AB52" s="14"/>
      <c r="AD52" s="5">
        <f t="shared" si="7"/>
        <v>4.2999999999999989</v>
      </c>
      <c r="AE52" s="5">
        <f t="shared" si="8"/>
        <v>13.5</v>
      </c>
      <c r="AF52" s="5">
        <f t="shared" si="9"/>
        <v>4.108449271877344</v>
      </c>
      <c r="AG52" s="5">
        <f t="shared" si="10"/>
        <v>2.6394091379090368</v>
      </c>
      <c r="AH52" s="5">
        <f t="shared" si="19"/>
        <v>0.73452006698415362</v>
      </c>
      <c r="AI52" s="5">
        <f t="shared" si="11"/>
        <v>5.1568174684311081E-2</v>
      </c>
      <c r="AJ52" s="5">
        <f t="shared" si="20"/>
        <v>9.9160209042860728E-2</v>
      </c>
      <c r="AK52" s="5">
        <f t="shared" si="21"/>
        <v>0.6353598579412929</v>
      </c>
      <c r="AL52" s="5">
        <f t="shared" si="12"/>
        <v>0.77200000000000002</v>
      </c>
      <c r="AM52" s="5">
        <v>16.7</v>
      </c>
    </row>
    <row r="53" spans="1:39" x14ac:dyDescent="0.2">
      <c r="A53" s="23">
        <v>45339</v>
      </c>
      <c r="B53" s="20">
        <v>28.7</v>
      </c>
      <c r="C53" s="20">
        <v>75.2</v>
      </c>
      <c r="D53" s="20">
        <v>1.6</v>
      </c>
      <c r="E53" s="20">
        <v>34</v>
      </c>
      <c r="F53" s="20">
        <v>78.2916666666666</v>
      </c>
      <c r="G53" s="20">
        <v>4.5125000000000002</v>
      </c>
      <c r="H53" s="20">
        <v>26</v>
      </c>
      <c r="I53" s="20">
        <v>54</v>
      </c>
      <c r="J53" s="20">
        <v>0</v>
      </c>
      <c r="K53" s="20">
        <v>0.56063333333333298</v>
      </c>
      <c r="L53" s="20">
        <f t="shared" si="13"/>
        <v>0.25789133333333319</v>
      </c>
      <c r="M53" s="20"/>
      <c r="N53" s="5">
        <f t="shared" si="22"/>
        <v>5.1089294807768528</v>
      </c>
      <c r="O53" s="6">
        <f t="shared" si="15"/>
        <v>5.0312804691293822</v>
      </c>
      <c r="P53" s="20">
        <f t="shared" si="16"/>
        <v>0</v>
      </c>
      <c r="Q53" s="5">
        <f t="shared" si="1"/>
        <v>5.051754692559804</v>
      </c>
      <c r="R53" s="5">
        <f t="shared" si="17"/>
        <v>2.5283982888007324</v>
      </c>
      <c r="S53" s="5">
        <f t="shared" si="2"/>
        <v>0.21091025999999988</v>
      </c>
      <c r="T53" s="5">
        <f t="shared" si="3"/>
        <v>2.7553386345048194</v>
      </c>
      <c r="U53" s="5">
        <f t="shared" si="4"/>
        <v>37.621419411883387</v>
      </c>
      <c r="AB53" s="14"/>
      <c r="AD53" s="5">
        <f t="shared" si="7"/>
        <v>4</v>
      </c>
      <c r="AE53" s="5">
        <f t="shared" si="8"/>
        <v>12.1458333333333</v>
      </c>
      <c r="AF53" s="5">
        <f t="shared" si="9"/>
        <v>4.1290411916108773</v>
      </c>
      <c r="AG53" s="5">
        <f t="shared" si="10"/>
        <v>2.7388069677329154</v>
      </c>
      <c r="AH53" s="5">
        <f t="shared" si="19"/>
        <v>0.69511711193898096</v>
      </c>
      <c r="AI53" s="5">
        <f t="shared" si="11"/>
        <v>4.8923248908273029E-2</v>
      </c>
      <c r="AJ53" s="5">
        <f t="shared" si="20"/>
        <v>8.4427765887588505E-2</v>
      </c>
      <c r="AK53" s="5">
        <f t="shared" si="21"/>
        <v>0.61068934605139247</v>
      </c>
      <c r="AL53" s="5">
        <f t="shared" si="12"/>
        <v>0.77</v>
      </c>
      <c r="AM53" s="5">
        <v>16.7</v>
      </c>
    </row>
    <row r="54" spans="1:39" x14ac:dyDescent="0.2">
      <c r="A54" s="23">
        <v>45340</v>
      </c>
      <c r="B54" s="20">
        <v>26.6</v>
      </c>
      <c r="C54" s="20">
        <v>89.8</v>
      </c>
      <c r="D54" s="20">
        <v>1.1000000000000001</v>
      </c>
      <c r="E54" s="20">
        <v>29</v>
      </c>
      <c r="F54" s="20">
        <v>91.625</v>
      </c>
      <c r="G54" s="20">
        <v>2.9874999999999998</v>
      </c>
      <c r="H54" s="20">
        <v>25</v>
      </c>
      <c r="I54" s="20">
        <v>78</v>
      </c>
      <c r="J54" s="20">
        <v>20</v>
      </c>
      <c r="K54" s="20">
        <v>0.19362916666666602</v>
      </c>
      <c r="L54" s="20">
        <f t="shared" si="13"/>
        <v>8.9069416666666373E-2</v>
      </c>
      <c r="M54" s="20"/>
      <c r="N54" s="5">
        <f t="shared" si="22"/>
        <v>5.1089294807768528</v>
      </c>
      <c r="O54" s="6">
        <f t="shared" si="15"/>
        <v>5.0312804691293822</v>
      </c>
      <c r="P54" s="20">
        <f t="shared" si="16"/>
        <v>0</v>
      </c>
      <c r="Q54" s="5">
        <f t="shared" si="1"/>
        <v>3.4108080000000003</v>
      </c>
      <c r="R54" s="5">
        <f t="shared" si="17"/>
        <v>1.7071060721394593</v>
      </c>
      <c r="S54" s="5">
        <f t="shared" si="2"/>
        <v>7.0856657249999747E-2</v>
      </c>
      <c r="T54" s="5">
        <f t="shared" si="3"/>
        <v>1.1790687184243223</v>
      </c>
      <c r="U54" s="5">
        <f t="shared" si="4"/>
        <v>37.609862055551268</v>
      </c>
      <c r="AB54" s="14"/>
      <c r="AD54" s="5">
        <f t="shared" si="7"/>
        <v>2</v>
      </c>
      <c r="AE54" s="5">
        <f t="shared" si="8"/>
        <v>6.8125</v>
      </c>
      <c r="AF54" s="5">
        <f t="shared" si="9"/>
        <v>3.2027656837125544</v>
      </c>
      <c r="AG54" s="5">
        <f t="shared" si="10"/>
        <v>2.5977841382776066</v>
      </c>
      <c r="AH54" s="5">
        <f t="shared" si="19"/>
        <v>0.30249077271747393</v>
      </c>
      <c r="AI54" s="5">
        <f t="shared" si="11"/>
        <v>2.1647048399386914E-2</v>
      </c>
      <c r="AJ54" s="5">
        <f t="shared" si="20"/>
        <v>2.0607183891377914E-2</v>
      </c>
      <c r="AK54" s="5">
        <f t="shared" si="21"/>
        <v>0.28188358882609604</v>
      </c>
      <c r="AL54" s="5">
        <f t="shared" si="12"/>
        <v>0.749</v>
      </c>
      <c r="AM54" s="5">
        <v>16.7</v>
      </c>
    </row>
    <row r="55" spans="1:39" x14ac:dyDescent="0.2">
      <c r="A55" s="23">
        <v>45341</v>
      </c>
      <c r="B55" s="20">
        <v>28.7</v>
      </c>
      <c r="C55" s="20">
        <v>74.900000000000006</v>
      </c>
      <c r="D55" s="20">
        <v>1.4</v>
      </c>
      <c r="E55" s="20">
        <v>34.700000000000003</v>
      </c>
      <c r="F55" s="20">
        <v>79.375</v>
      </c>
      <c r="G55" s="20">
        <v>4.6395833333333298</v>
      </c>
      <c r="H55" s="20">
        <v>24.7</v>
      </c>
      <c r="I55" s="20">
        <v>50</v>
      </c>
      <c r="J55" s="20">
        <v>13.8</v>
      </c>
      <c r="K55" s="20">
        <v>0.69025208333333299</v>
      </c>
      <c r="L55" s="20">
        <f t="shared" si="13"/>
        <v>0.31751595833333318</v>
      </c>
      <c r="M55" s="20"/>
      <c r="N55" s="5">
        <f t="shared" si="22"/>
        <v>5.1089294807768528</v>
      </c>
      <c r="O55" s="6">
        <f t="shared" si="15"/>
        <v>5.0312804691293822</v>
      </c>
      <c r="P55" s="20">
        <f t="shared" si="16"/>
        <v>0</v>
      </c>
      <c r="Q55" s="5">
        <f t="shared" si="1"/>
        <v>5.6480334491086372</v>
      </c>
      <c r="R55" s="5">
        <f t="shared" si="17"/>
        <v>2.8268352239762917</v>
      </c>
      <c r="S55" s="5">
        <f t="shared" si="2"/>
        <v>0.25967283374999989</v>
      </c>
      <c r="T55" s="5">
        <f t="shared" si="3"/>
        <v>3.1924174035221604</v>
      </c>
      <c r="U55" s="5">
        <f t="shared" si="4"/>
        <v>37.621656891808016</v>
      </c>
      <c r="AB55" s="14"/>
      <c r="AD55" s="5">
        <f t="shared" si="7"/>
        <v>5.0000000000000018</v>
      </c>
      <c r="AE55" s="5">
        <f t="shared" si="8"/>
        <v>14.6875</v>
      </c>
      <c r="AF55" s="5">
        <f t="shared" si="9"/>
        <v>4.2757149343567242</v>
      </c>
      <c r="AG55" s="5">
        <f t="shared" si="10"/>
        <v>2.5567337570001247</v>
      </c>
      <c r="AH55" s="5">
        <f t="shared" si="19"/>
        <v>0.85949058867829975</v>
      </c>
      <c r="AI55" s="5">
        <f t="shared" si="11"/>
        <v>5.9993783477941424E-2</v>
      </c>
      <c r="AJ55" s="5">
        <f t="shared" si="20"/>
        <v>0.12623768021212528</v>
      </c>
      <c r="AK55" s="5">
        <f t="shared" si="21"/>
        <v>0.73325290846617452</v>
      </c>
      <c r="AL55" s="5">
        <f t="shared" si="12"/>
        <v>0.77</v>
      </c>
      <c r="AM55" s="5">
        <v>16.7</v>
      </c>
    </row>
    <row r="56" spans="1:39" x14ac:dyDescent="0.2">
      <c r="A56" s="23">
        <v>45342</v>
      </c>
      <c r="B56" s="20">
        <v>30.2</v>
      </c>
      <c r="C56" s="20">
        <v>58.9</v>
      </c>
      <c r="D56" s="20">
        <v>1.9</v>
      </c>
      <c r="E56" s="20">
        <v>36.200000000000003</v>
      </c>
      <c r="F56" s="20">
        <v>63.5</v>
      </c>
      <c r="G56" s="20">
        <v>4.80833333333333</v>
      </c>
      <c r="H56" s="20">
        <v>25.1</v>
      </c>
      <c r="I56" s="20">
        <v>36</v>
      </c>
      <c r="J56" s="20">
        <v>0.2</v>
      </c>
      <c r="K56" s="20">
        <v>1.0089583333333301</v>
      </c>
      <c r="L56" s="20">
        <f t="shared" si="13"/>
        <v>0.46412083333333187</v>
      </c>
      <c r="M56" s="20"/>
      <c r="N56" s="5">
        <f t="shared" si="22"/>
        <v>5.1089294807768528</v>
      </c>
      <c r="O56" s="6">
        <f t="shared" si="15"/>
        <v>5.0312804691293822</v>
      </c>
      <c r="P56" s="20">
        <f t="shared" si="16"/>
        <v>0</v>
      </c>
      <c r="Q56" s="5">
        <f t="shared" si="1"/>
        <v>6.1425264314156598</v>
      </c>
      <c r="R56" s="5">
        <f t="shared" si="17"/>
        <v>3.0743284785736389</v>
      </c>
      <c r="S56" s="5">
        <f t="shared" si="2"/>
        <v>0.38696434821428433</v>
      </c>
      <c r="T56" s="5">
        <f t="shared" si="3"/>
        <v>3.6921610698368235</v>
      </c>
      <c r="U56" s="5">
        <f t="shared" si="4"/>
        <v>37.63432248778841</v>
      </c>
      <c r="AB56" s="14"/>
      <c r="AD56" s="5">
        <f t="shared" si="7"/>
        <v>5.5500000000000007</v>
      </c>
      <c r="AE56" s="5">
        <f t="shared" si="8"/>
        <v>13.75</v>
      </c>
      <c r="AF56" s="5">
        <f t="shared" si="9"/>
        <v>4.605348869744911</v>
      </c>
      <c r="AG56" s="5">
        <f t="shared" si="10"/>
        <v>2.6115949581648166</v>
      </c>
      <c r="AH56" s="5">
        <f t="shared" si="19"/>
        <v>0.9968769557900472</v>
      </c>
      <c r="AI56" s="5">
        <f t="shared" si="11"/>
        <v>6.9268741172796036E-2</v>
      </c>
      <c r="AJ56" s="5">
        <f t="shared" si="20"/>
        <v>0.13707058142113149</v>
      </c>
      <c r="AK56" s="5">
        <f t="shared" si="21"/>
        <v>0.85980637436891572</v>
      </c>
      <c r="AL56" s="5">
        <f t="shared" si="12"/>
        <v>0.78499999999999992</v>
      </c>
      <c r="AM56" s="5">
        <v>16.7</v>
      </c>
    </row>
    <row r="57" spans="1:39" x14ac:dyDescent="0.2">
      <c r="A57" s="23">
        <v>45343</v>
      </c>
      <c r="B57" s="20">
        <v>30.7</v>
      </c>
      <c r="C57" s="20">
        <v>56.3</v>
      </c>
      <c r="D57" s="20">
        <v>2.1</v>
      </c>
      <c r="E57" s="20">
        <v>34.9</v>
      </c>
      <c r="F57" s="20">
        <v>58.7916666666666</v>
      </c>
      <c r="G57" s="20">
        <v>5.2541666666666602</v>
      </c>
      <c r="H57" s="20">
        <v>26.7</v>
      </c>
      <c r="I57" s="20">
        <v>40</v>
      </c>
      <c r="J57" s="20">
        <v>0</v>
      </c>
      <c r="K57" s="20">
        <v>1.0085625</v>
      </c>
      <c r="L57" s="20">
        <f t="shared" si="13"/>
        <v>0.46393875000000001</v>
      </c>
      <c r="M57" s="20"/>
      <c r="N57" s="5">
        <f t="shared" si="22"/>
        <v>5.1089294807768528</v>
      </c>
      <c r="O57" s="6">
        <f t="shared" si="15"/>
        <v>5.0312804691293822</v>
      </c>
      <c r="P57" s="20">
        <f t="shared" si="16"/>
        <v>0</v>
      </c>
      <c r="Q57" s="5">
        <f t="shared" si="1"/>
        <v>5.3344908182923136</v>
      </c>
      <c r="R57" s="5">
        <f t="shared" si="17"/>
        <v>2.6699074435380123</v>
      </c>
      <c r="S57" s="5">
        <f t="shared" si="2"/>
        <v>0.3892763089285714</v>
      </c>
      <c r="T57" s="5">
        <f t="shared" si="3"/>
        <v>3.251576393293611</v>
      </c>
      <c r="U57" s="5">
        <f t="shared" si="4"/>
        <v>37.636380647135226</v>
      </c>
      <c r="AB57" s="14"/>
      <c r="AD57" s="5">
        <f t="shared" si="7"/>
        <v>4.0999999999999996</v>
      </c>
      <c r="AE57" s="5">
        <f t="shared" si="8"/>
        <v>9.3958333333333002</v>
      </c>
      <c r="AF57" s="5">
        <f t="shared" si="9"/>
        <v>4.3184449530992666</v>
      </c>
      <c r="AG57" s="5">
        <f t="shared" si="10"/>
        <v>2.8414577983779647</v>
      </c>
      <c r="AH57" s="5">
        <f t="shared" si="19"/>
        <v>0.73849357736065091</v>
      </c>
      <c r="AI57" s="5">
        <f t="shared" si="11"/>
        <v>5.1933087780956497E-2</v>
      </c>
      <c r="AJ57" s="5">
        <f t="shared" si="20"/>
        <v>6.9387625706177583E-2</v>
      </c>
      <c r="AK57" s="5">
        <f t="shared" si="21"/>
        <v>0.66910595165447329</v>
      </c>
      <c r="AL57" s="5">
        <f t="shared" si="12"/>
        <v>0.79</v>
      </c>
      <c r="AM57" s="5">
        <v>16.7</v>
      </c>
    </row>
    <row r="58" spans="1:39" x14ac:dyDescent="0.2">
      <c r="A58" s="23">
        <v>45344</v>
      </c>
      <c r="B58" s="20">
        <v>31.1</v>
      </c>
      <c r="C58" s="20">
        <v>58.1</v>
      </c>
      <c r="D58" s="20">
        <v>2.2000000000000002</v>
      </c>
      <c r="E58" s="20">
        <v>35.4</v>
      </c>
      <c r="F58" s="20">
        <v>60.375</v>
      </c>
      <c r="G58" s="20">
        <v>5.37083333333333</v>
      </c>
      <c r="H58" s="20">
        <v>26.7</v>
      </c>
      <c r="I58" s="20">
        <v>43</v>
      </c>
      <c r="J58" s="20">
        <v>0</v>
      </c>
      <c r="K58" s="20">
        <v>0.94393333333333307</v>
      </c>
      <c r="L58" s="20">
        <f t="shared" si="13"/>
        <v>0.43420933333333323</v>
      </c>
      <c r="M58" s="20"/>
      <c r="N58" s="5">
        <f>IF(0&lt;$X$7&lt;26.5,16*(((10*$X$7)/$Z$6)^$Z$6)/30,((-415.85)+(32.24*$X$7)-(0.43*$X$7^2))/30)</f>
        <v>5.1089294807768528</v>
      </c>
      <c r="O58" s="6">
        <f t="shared" si="15"/>
        <v>5.0312804691293822</v>
      </c>
      <c r="P58" s="20">
        <f t="shared" si="16"/>
        <v>0</v>
      </c>
      <c r="Q58" s="5">
        <f t="shared" si="1"/>
        <v>5.540038624613433</v>
      </c>
      <c r="R58" s="5">
        <f t="shared" si="17"/>
        <v>2.77278391981159</v>
      </c>
      <c r="S58" s="5">
        <f t="shared" si="2"/>
        <v>0.36617601257142846</v>
      </c>
      <c r="T58" s="5">
        <f t="shared" si="3"/>
        <v>3.4883288440396401</v>
      </c>
      <c r="U58" s="5">
        <f t="shared" si="4"/>
        <v>37.634955767587428</v>
      </c>
      <c r="AB58" s="14"/>
      <c r="AD58" s="5">
        <f t="shared" si="7"/>
        <v>4.3499999999999996</v>
      </c>
      <c r="AE58" s="5">
        <f t="shared" si="8"/>
        <v>8.6875</v>
      </c>
      <c r="AF58" s="5">
        <f t="shared" si="9"/>
        <v>4.4268980382259473</v>
      </c>
      <c r="AG58" s="5">
        <f t="shared" si="10"/>
        <v>2.8414577983779647</v>
      </c>
      <c r="AH58" s="5">
        <f t="shared" si="19"/>
        <v>0.79272011992399127</v>
      </c>
      <c r="AI58" s="5">
        <f t="shared" si="11"/>
        <v>5.5631175427685545E-2</v>
      </c>
      <c r="AJ58" s="5">
        <f t="shared" si="20"/>
        <v>6.8867560418396742E-2</v>
      </c>
      <c r="AK58" s="5">
        <f t="shared" si="21"/>
        <v>0.72385255950559457</v>
      </c>
      <c r="AL58" s="5">
        <f t="shared" si="12"/>
        <v>0.79400000000000004</v>
      </c>
      <c r="AM58" s="5">
        <v>16.7</v>
      </c>
    </row>
    <row r="59" spans="1:39" x14ac:dyDescent="0.2">
      <c r="A59" s="23">
        <v>45345</v>
      </c>
      <c r="B59" s="20">
        <v>31</v>
      </c>
      <c r="C59" s="20">
        <v>63</v>
      </c>
      <c r="D59" s="20">
        <v>2.4</v>
      </c>
      <c r="E59" s="20">
        <v>35.299999999999997</v>
      </c>
      <c r="F59" s="20">
        <v>64.9166666666666</v>
      </c>
      <c r="G59" s="20">
        <v>5.93333333333333</v>
      </c>
      <c r="H59" s="20">
        <v>26.9</v>
      </c>
      <c r="I59" s="20">
        <v>46</v>
      </c>
      <c r="J59" s="20">
        <v>0</v>
      </c>
      <c r="K59" s="20">
        <v>0.858579166666666</v>
      </c>
      <c r="L59" s="20">
        <f t="shared" si="13"/>
        <v>0.39494641666666636</v>
      </c>
      <c r="M59" s="20"/>
      <c r="N59" s="5">
        <f t="shared" si="22"/>
        <v>5.1089294807768528</v>
      </c>
      <c r="O59" s="6">
        <f t="shared" si="15"/>
        <v>5.0312804691293822</v>
      </c>
      <c r="P59" s="20">
        <f t="shared" si="16"/>
        <v>0</v>
      </c>
      <c r="Q59" s="5">
        <f t="shared" si="1"/>
        <v>5.4325505008142896</v>
      </c>
      <c r="R59" s="5">
        <f t="shared" si="17"/>
        <v>2.718986218850294</v>
      </c>
      <c r="S59" s="5">
        <f t="shared" si="2"/>
        <v>0.33264545924999966</v>
      </c>
      <c r="T59" s="5">
        <f t="shared" si="3"/>
        <v>3.5272055010628462</v>
      </c>
      <c r="U59" s="5">
        <f t="shared" si="4"/>
        <v>37.631076928818437</v>
      </c>
      <c r="AB59" s="14"/>
      <c r="AD59" s="5">
        <f t="shared" si="7"/>
        <v>4.1999999999999993</v>
      </c>
      <c r="AE59" s="5">
        <f t="shared" si="8"/>
        <v>9.4583333333333002</v>
      </c>
      <c r="AF59" s="5">
        <f t="shared" si="9"/>
        <v>4.4050200099572088</v>
      </c>
      <c r="AG59" s="5">
        <f t="shared" si="10"/>
        <v>2.8713965589882768</v>
      </c>
      <c r="AH59" s="5">
        <f t="shared" si="19"/>
        <v>0.76681172548446597</v>
      </c>
      <c r="AI59" s="5">
        <f t="shared" si="11"/>
        <v>5.387985633330919E-2</v>
      </c>
      <c r="AJ59" s="5">
        <f t="shared" si="20"/>
        <v>7.2527609035405491E-2</v>
      </c>
      <c r="AK59" s="5">
        <f t="shared" si="21"/>
        <v>0.69428411644906052</v>
      </c>
      <c r="AL59" s="5">
        <f t="shared" si="12"/>
        <v>0.79299999999999993</v>
      </c>
      <c r="AM59" s="5">
        <v>16.7</v>
      </c>
    </row>
    <row r="60" spans="1:39" x14ac:dyDescent="0.2">
      <c r="A60" s="23">
        <v>45346</v>
      </c>
      <c r="B60" s="20">
        <v>30</v>
      </c>
      <c r="C60" s="20">
        <v>67.5</v>
      </c>
      <c r="D60" s="20">
        <v>2.1</v>
      </c>
      <c r="E60" s="20">
        <v>34</v>
      </c>
      <c r="F60" s="20">
        <v>69.9791666666666</v>
      </c>
      <c r="G60" s="20">
        <v>5.6354166666666599</v>
      </c>
      <c r="H60" s="20">
        <v>27.5</v>
      </c>
      <c r="I60" s="20">
        <v>54</v>
      </c>
      <c r="J60" s="20">
        <v>0</v>
      </c>
      <c r="K60" s="20">
        <v>0.76379166666666598</v>
      </c>
      <c r="L60" s="20">
        <f t="shared" si="13"/>
        <v>0.35134416666666635</v>
      </c>
      <c r="M60" s="20"/>
      <c r="N60" s="5">
        <f t="shared" si="22"/>
        <v>5.1089294807768528</v>
      </c>
      <c r="O60" s="6">
        <f t="shared" si="15"/>
        <v>5.0312804691293822</v>
      </c>
      <c r="P60" s="20">
        <f t="shared" si="16"/>
        <v>0</v>
      </c>
      <c r="Q60" s="5">
        <f t="shared" si="1"/>
        <v>4.6808948144586626</v>
      </c>
      <c r="R60" s="5">
        <f t="shared" si="17"/>
        <v>2.3427832820869687</v>
      </c>
      <c r="S60" s="5">
        <f t="shared" si="2"/>
        <v>0.29218959321428539</v>
      </c>
      <c r="T60" s="5">
        <f t="shared" si="3"/>
        <v>2.8122617903085407</v>
      </c>
      <c r="U60" s="5">
        <f t="shared" si="4"/>
        <v>37.627514729948949</v>
      </c>
      <c r="AB60" s="14"/>
      <c r="AD60" s="5">
        <f t="shared" si="7"/>
        <v>3.25</v>
      </c>
      <c r="AE60" s="5">
        <f t="shared" si="8"/>
        <v>7.9895833333333002</v>
      </c>
      <c r="AF60" s="5">
        <f t="shared" si="9"/>
        <v>4.1290411916108773</v>
      </c>
      <c r="AG60" s="5">
        <f t="shared" si="10"/>
        <v>2.9628710654047565</v>
      </c>
      <c r="AH60" s="5">
        <f t="shared" si="19"/>
        <v>0.58308506310306041</v>
      </c>
      <c r="AI60" s="5">
        <f t="shared" si="11"/>
        <v>4.1294588984224619E-2</v>
      </c>
      <c r="AJ60" s="5">
        <f t="shared" si="20"/>
        <v>4.6586067020838069E-2</v>
      </c>
      <c r="AK60" s="5">
        <f t="shared" si="21"/>
        <v>0.53649899608222229</v>
      </c>
      <c r="AL60" s="5">
        <f t="shared" si="12"/>
        <v>0.78299999999999992</v>
      </c>
      <c r="AM60" s="5">
        <v>16.7</v>
      </c>
    </row>
    <row r="61" spans="1:39" x14ac:dyDescent="0.2">
      <c r="A61" s="23">
        <v>45347</v>
      </c>
      <c r="B61" s="20">
        <v>27.7</v>
      </c>
      <c r="C61" s="20">
        <v>81</v>
      </c>
      <c r="D61" s="20">
        <v>2</v>
      </c>
      <c r="E61" s="20">
        <v>32</v>
      </c>
      <c r="F61" s="20">
        <v>82.625</v>
      </c>
      <c r="G61" s="20">
        <v>5.55416666666666</v>
      </c>
      <c r="H61" s="20">
        <v>25.6</v>
      </c>
      <c r="I61" s="20">
        <v>63</v>
      </c>
      <c r="J61" s="20">
        <v>9.8000000000000007</v>
      </c>
      <c r="K61" s="20">
        <v>0.59404999999999997</v>
      </c>
      <c r="L61" s="20">
        <f t="shared" si="13"/>
        <v>0.27326299999999998</v>
      </c>
      <c r="M61" s="20"/>
      <c r="N61" s="5">
        <f t="shared" si="22"/>
        <v>5.1089294807768528</v>
      </c>
      <c r="O61" s="6">
        <f t="shared" si="15"/>
        <v>5.0312804691293822</v>
      </c>
      <c r="P61" s="20">
        <f t="shared" si="16"/>
        <v>0</v>
      </c>
      <c r="Q61" s="5">
        <f t="shared" si="1"/>
        <v>4.4212562913452542</v>
      </c>
      <c r="R61" s="5">
        <f t="shared" si="17"/>
        <v>2.2128344548975694</v>
      </c>
      <c r="S61" s="5">
        <f t="shared" si="2"/>
        <v>0.22057925142857138</v>
      </c>
      <c r="T61" s="5">
        <f t="shared" si="3"/>
        <v>2.5066914391003428</v>
      </c>
      <c r="U61" s="5">
        <f t="shared" si="4"/>
        <v>37.616828133340491</v>
      </c>
      <c r="AB61" s="14"/>
      <c r="AD61" s="5">
        <f t="shared" si="7"/>
        <v>3.1999999999999993</v>
      </c>
      <c r="AE61" s="5">
        <f t="shared" si="8"/>
        <v>9.8125</v>
      </c>
      <c r="AF61" s="5">
        <f t="shared" si="9"/>
        <v>3.7338187409643715</v>
      </c>
      <c r="AG61" s="5">
        <f t="shared" si="10"/>
        <v>2.6816155357966691</v>
      </c>
      <c r="AH61" s="5">
        <f t="shared" si="19"/>
        <v>0.52610160258385119</v>
      </c>
      <c r="AI61" s="5">
        <f t="shared" si="11"/>
        <v>3.7274464881957153E-2</v>
      </c>
      <c r="AJ61" s="5">
        <f t="shared" si="20"/>
        <v>5.1623719753540395E-2</v>
      </c>
      <c r="AK61" s="5">
        <f t="shared" si="21"/>
        <v>0.47447788283031078</v>
      </c>
      <c r="AL61" s="5">
        <f t="shared" si="12"/>
        <v>0.76</v>
      </c>
      <c r="AM61" s="5">
        <v>16.7</v>
      </c>
    </row>
    <row r="62" spans="1:39" x14ac:dyDescent="0.2">
      <c r="A62" s="23">
        <v>45348</v>
      </c>
      <c r="B62" s="20">
        <v>25.3</v>
      </c>
      <c r="C62" s="20">
        <v>89.8</v>
      </c>
      <c r="D62" s="20">
        <v>1.4</v>
      </c>
      <c r="E62" s="20">
        <v>28</v>
      </c>
      <c r="F62" s="20">
        <v>91.7083333333333</v>
      </c>
      <c r="G62" s="20">
        <v>4.55833333333333</v>
      </c>
      <c r="H62" s="20">
        <v>23.8</v>
      </c>
      <c r="I62" s="20">
        <v>72</v>
      </c>
      <c r="J62" s="20">
        <v>24.2</v>
      </c>
      <c r="K62" s="20">
        <v>0.27290833333333303</v>
      </c>
      <c r="L62" s="20">
        <f t="shared" si="13"/>
        <v>0.12553783333333321</v>
      </c>
      <c r="M62" s="20"/>
      <c r="N62" s="5">
        <f t="shared" si="22"/>
        <v>5.1089294807768528</v>
      </c>
      <c r="O62" s="6">
        <f t="shared" si="15"/>
        <v>5.0312804691293822</v>
      </c>
      <c r="P62" s="20">
        <f t="shared" si="16"/>
        <v>0</v>
      </c>
      <c r="Q62" s="5">
        <f t="shared" si="1"/>
        <v>3.3927059662947801</v>
      </c>
      <c r="R62" s="5">
        <f t="shared" si="17"/>
        <v>1.6980460219530358</v>
      </c>
      <c r="S62" s="5">
        <f t="shared" si="2"/>
        <v>9.8134717714285585E-2</v>
      </c>
      <c r="T62" s="5">
        <f t="shared" si="3"/>
        <v>1.4162105907927509</v>
      </c>
      <c r="U62" s="5">
        <f t="shared" si="4"/>
        <v>37.609862055551268</v>
      </c>
      <c r="AB62" s="14"/>
      <c r="AD62" s="5">
        <f t="shared" si="7"/>
        <v>2.0999999999999996</v>
      </c>
      <c r="AE62" s="5">
        <f t="shared" si="8"/>
        <v>9.8541666666666501</v>
      </c>
      <c r="AF62" s="5">
        <f t="shared" si="9"/>
        <v>3.0410318214605909</v>
      </c>
      <c r="AG62" s="5">
        <f t="shared" si="10"/>
        <v>2.4369634693671198</v>
      </c>
      <c r="AH62" s="5">
        <f t="shared" si="19"/>
        <v>0.30203417604673555</v>
      </c>
      <c r="AI62" s="5">
        <f t="shared" si="11"/>
        <v>2.1596319771852394E-2</v>
      </c>
      <c r="AJ62" s="5">
        <f t="shared" si="20"/>
        <v>2.9762951097938681E-2</v>
      </c>
      <c r="AK62" s="5">
        <f t="shared" si="21"/>
        <v>0.27227122494879685</v>
      </c>
      <c r="AL62" s="5">
        <f t="shared" si="12"/>
        <v>0.73599999999999999</v>
      </c>
      <c r="AM62" s="5">
        <v>16.7</v>
      </c>
    </row>
    <row r="63" spans="1:39" x14ac:dyDescent="0.2">
      <c r="A63" s="23">
        <v>45349</v>
      </c>
      <c r="B63" s="20">
        <v>26.3</v>
      </c>
      <c r="C63" s="20">
        <v>84.8</v>
      </c>
      <c r="D63" s="20">
        <v>1.1000000000000001</v>
      </c>
      <c r="E63" s="20">
        <v>33.1</v>
      </c>
      <c r="F63" s="20">
        <v>88.0416666666666</v>
      </c>
      <c r="G63" s="20">
        <v>3.1291666666666602</v>
      </c>
      <c r="H63" s="20">
        <v>23.7</v>
      </c>
      <c r="I63" s="20">
        <v>56</v>
      </c>
      <c r="J63" s="20">
        <v>15.4</v>
      </c>
      <c r="K63" s="20">
        <v>0.651470833333333</v>
      </c>
      <c r="L63" s="20">
        <f t="shared" si="13"/>
        <v>0.29967658333333319</v>
      </c>
      <c r="M63" s="20"/>
      <c r="N63" s="5">
        <f>IF(0&lt;$X$7&lt;26.5,16*(((10*$X$7)/$Z$6)^$Z$6)/30,((-415.85)+(32.24*$X$7)-(0.43*$X$7^2))/30)</f>
        <v>5.1089294807768528</v>
      </c>
      <c r="O63" s="6">
        <f t="shared" si="15"/>
        <v>5.0312804691293822</v>
      </c>
      <c r="P63" s="20">
        <f t="shared" si="16"/>
        <v>0</v>
      </c>
      <c r="Q63" s="5">
        <f t="shared" si="1"/>
        <v>5.1933408049456373</v>
      </c>
      <c r="R63" s="5">
        <f t="shared" si="17"/>
        <v>2.5992619997409188</v>
      </c>
      <c r="S63" s="5">
        <f t="shared" si="2"/>
        <v>0.23744436664285695</v>
      </c>
      <c r="T63" s="5">
        <f t="shared" si="3"/>
        <v>2.3022097161917041</v>
      </c>
      <c r="U63" s="5">
        <f t="shared" si="4"/>
        <v>37.61382005429514</v>
      </c>
      <c r="AB63" s="14"/>
      <c r="AD63" s="5">
        <f t="shared" si="7"/>
        <v>4.7000000000000011</v>
      </c>
      <c r="AE63" s="5">
        <f t="shared" si="8"/>
        <v>16.0208333333333</v>
      </c>
      <c r="AF63" s="5">
        <f t="shared" si="9"/>
        <v>3.9469044698804279</v>
      </c>
      <c r="AG63" s="5">
        <f t="shared" si="10"/>
        <v>2.4239634039032953</v>
      </c>
      <c r="AH63" s="5">
        <f t="shared" si="19"/>
        <v>0.76147053298856626</v>
      </c>
      <c r="AI63" s="5">
        <f t="shared" si="11"/>
        <v>5.3283693808263519E-2</v>
      </c>
      <c r="AJ63" s="5">
        <f t="shared" si="20"/>
        <v>0.12199392497254297</v>
      </c>
      <c r="AK63" s="5">
        <f t="shared" si="21"/>
        <v>0.63947660801602324</v>
      </c>
      <c r="AL63" s="5">
        <f t="shared" si="12"/>
        <v>0.746</v>
      </c>
      <c r="AM63" s="5">
        <v>16.7</v>
      </c>
    </row>
    <row r="64" spans="1:39" x14ac:dyDescent="0.2">
      <c r="A64" s="23">
        <v>45350</v>
      </c>
      <c r="B64" s="20">
        <v>28.3</v>
      </c>
      <c r="C64" s="20">
        <v>79</v>
      </c>
      <c r="D64" s="20">
        <v>1.2</v>
      </c>
      <c r="E64" s="20">
        <v>34.1</v>
      </c>
      <c r="F64" s="20">
        <v>82.875</v>
      </c>
      <c r="G64" s="20">
        <v>3.05</v>
      </c>
      <c r="H64" s="20">
        <v>24.8</v>
      </c>
      <c r="I64" s="20">
        <v>53</v>
      </c>
      <c r="J64" s="20">
        <v>5.4</v>
      </c>
      <c r="K64" s="20">
        <v>0.855308333333333</v>
      </c>
      <c r="L64" s="20">
        <f t="shared" si="13"/>
        <v>0.39344183333333321</v>
      </c>
      <c r="M64" s="20"/>
      <c r="N64" s="5">
        <f t="shared" si="22"/>
        <v>5.1089294807768528</v>
      </c>
      <c r="O64" s="6">
        <f t="shared" si="15"/>
        <v>5.0312804691293822</v>
      </c>
      <c r="P64" s="20">
        <f t="shared" si="16"/>
        <v>0</v>
      </c>
      <c r="Q64" s="5">
        <f t="shared" si="1"/>
        <v>5.3999123041054382</v>
      </c>
      <c r="R64" s="5">
        <f t="shared" si="17"/>
        <v>2.7026508332802583</v>
      </c>
      <c r="S64" s="5">
        <f t="shared" si="2"/>
        <v>0.32009547814285699</v>
      </c>
      <c r="T64" s="5">
        <f t="shared" si="3"/>
        <v>2.3784549799692702</v>
      </c>
      <c r="U64" s="5">
        <f t="shared" si="4"/>
        <v>37.618411332838036</v>
      </c>
      <c r="AB64" s="14"/>
      <c r="AD64" s="5">
        <f t="shared" si="7"/>
        <v>4.6500000000000004</v>
      </c>
      <c r="AE64" s="5">
        <f t="shared" si="8"/>
        <v>14.9375</v>
      </c>
      <c r="AF64" s="5">
        <f t="shared" si="9"/>
        <v>4.1497228216209656</v>
      </c>
      <c r="AG64" s="5">
        <f t="shared" si="10"/>
        <v>2.57035378685043</v>
      </c>
      <c r="AH64" s="5">
        <f t="shared" si="19"/>
        <v>0.78968451738526779</v>
      </c>
      <c r="AI64" s="5">
        <f t="shared" si="11"/>
        <v>5.528080065259576E-2</v>
      </c>
      <c r="AJ64" s="5">
        <f t="shared" si="20"/>
        <v>0.11795912478442437</v>
      </c>
      <c r="AK64" s="5">
        <f t="shared" si="21"/>
        <v>0.67172539260084341</v>
      </c>
      <c r="AL64" s="5">
        <f t="shared" si="12"/>
        <v>0.76600000000000001</v>
      </c>
      <c r="AM64" s="5">
        <v>16.7</v>
      </c>
    </row>
    <row r="65" spans="1:39" x14ac:dyDescent="0.2">
      <c r="A65" s="23">
        <v>45351</v>
      </c>
      <c r="B65" s="20">
        <v>29</v>
      </c>
      <c r="C65" s="20">
        <v>75.7</v>
      </c>
      <c r="D65" s="20">
        <v>1.6</v>
      </c>
      <c r="E65" s="20">
        <v>35</v>
      </c>
      <c r="F65" s="20">
        <v>78.0833333333333</v>
      </c>
      <c r="G65" s="20">
        <v>4.6124999999999998</v>
      </c>
      <c r="H65" s="20">
        <v>26.1</v>
      </c>
      <c r="I65" s="20">
        <v>46</v>
      </c>
      <c r="J65" s="20">
        <v>0</v>
      </c>
      <c r="K65" s="20">
        <v>0.89173333333333304</v>
      </c>
      <c r="L65" s="20">
        <f t="shared" si="13"/>
        <v>0.41019733333333319</v>
      </c>
      <c r="M65" s="20"/>
      <c r="N65" s="5">
        <f t="shared" si="22"/>
        <v>5.1089294807768528</v>
      </c>
      <c r="O65" s="6">
        <f t="shared" si="15"/>
        <v>5.0312804691293822</v>
      </c>
      <c r="P65" s="20">
        <f t="shared" si="16"/>
        <v>0</v>
      </c>
      <c r="Q65" s="5">
        <f t="shared" si="1"/>
        <v>5.3627205127548452</v>
      </c>
      <c r="R65" s="5">
        <f t="shared" si="17"/>
        <v>2.684036378040227</v>
      </c>
      <c r="S65" s="5">
        <f t="shared" si="2"/>
        <v>0.33677710628571411</v>
      </c>
      <c r="T65" s="5">
        <f t="shared" si="3"/>
        <v>2.976059097346857</v>
      </c>
      <c r="U65" s="5">
        <f t="shared" si="4"/>
        <v>37.62102361200899</v>
      </c>
      <c r="AB65" s="14"/>
      <c r="AD65" s="5">
        <f t="shared" si="7"/>
        <v>4.4499999999999993</v>
      </c>
      <c r="AE65" s="5">
        <f t="shared" si="8"/>
        <v>16.04166666666665</v>
      </c>
      <c r="AF65" s="5">
        <f t="shared" si="9"/>
        <v>4.3399488351831801</v>
      </c>
      <c r="AG65" s="5">
        <f t="shared" si="10"/>
        <v>2.7532701446187993</v>
      </c>
      <c r="AH65" s="5">
        <f t="shared" si="19"/>
        <v>0.79333934528219041</v>
      </c>
      <c r="AI65" s="5">
        <f t="shared" si="11"/>
        <v>5.5628581013638982E-2</v>
      </c>
      <c r="AJ65" s="5">
        <f t="shared" si="20"/>
        <v>0.12726485330568457</v>
      </c>
      <c r="AK65" s="5">
        <f t="shared" si="21"/>
        <v>0.66607449197650581</v>
      </c>
      <c r="AL65" s="5">
        <f t="shared" si="12"/>
        <v>0.77299999999999991</v>
      </c>
      <c r="AM65" s="5">
        <v>16.7</v>
      </c>
    </row>
    <row r="66" spans="1:39" x14ac:dyDescent="0.2">
      <c r="A66" s="23">
        <v>45352</v>
      </c>
      <c r="B66" s="20">
        <v>28.7</v>
      </c>
      <c r="C66" s="20">
        <v>78.099999999999994</v>
      </c>
      <c r="D66" s="20">
        <v>1.8</v>
      </c>
      <c r="E66" s="20">
        <v>32.1</v>
      </c>
      <c r="F66" s="20">
        <v>80.7083333333333</v>
      </c>
      <c r="G66" s="20">
        <v>4.4791666666666599</v>
      </c>
      <c r="H66" s="20">
        <v>26.1</v>
      </c>
      <c r="I66" s="20">
        <v>58</v>
      </c>
      <c r="J66" s="20">
        <v>0</v>
      </c>
      <c r="K66" s="20">
        <v>0.63166666666666593</v>
      </c>
      <c r="L66" s="20">
        <f t="shared" si="13"/>
        <v>0.29056666666666636</v>
      </c>
      <c r="M66" s="20"/>
      <c r="N66" s="5">
        <f>IF(0&lt;$X$8&lt;26.5,16*(((10*$X$8)/$Z$6)^$Z$6)/30,((-415.85)+(32.24*$X$8)-(0.43*$X$8^2))/30)</f>
        <v>4.9205185570586236</v>
      </c>
      <c r="O66" s="6">
        <f t="shared" si="15"/>
        <v>5.0312804691293822</v>
      </c>
      <c r="P66" s="20">
        <f t="shared" si="16"/>
        <v>0</v>
      </c>
      <c r="Q66" s="5">
        <f t="shared" si="1"/>
        <v>4.3749478974440361</v>
      </c>
      <c r="R66" s="5">
        <f t="shared" si="17"/>
        <v>2.1896571489865373</v>
      </c>
      <c r="S66" s="5">
        <f t="shared" si="2"/>
        <v>0.23763299999999973</v>
      </c>
      <c r="T66" s="5">
        <f t="shared" si="3"/>
        <v>2.1414908318013333</v>
      </c>
      <c r="U66" s="5">
        <f t="shared" si="4"/>
        <v>37.619123772611935</v>
      </c>
      <c r="AB66" s="14"/>
      <c r="AD66" s="5">
        <f t="shared" si="7"/>
        <v>3</v>
      </c>
      <c r="AE66" s="5">
        <f t="shared" si="8"/>
        <v>11.35416666666665</v>
      </c>
      <c r="AF66" s="5">
        <f t="shared" si="9"/>
        <v>3.752767188668011</v>
      </c>
      <c r="AG66" s="5">
        <f t="shared" si="10"/>
        <v>2.7532701446187993</v>
      </c>
      <c r="AH66" s="5">
        <f t="shared" si="19"/>
        <v>0.49974852202460585</v>
      </c>
      <c r="AI66" s="5">
        <f t="shared" si="11"/>
        <v>3.5466303880740603E-2</v>
      </c>
      <c r="AJ66" s="5">
        <f t="shared" si="20"/>
        <v>5.6742280104877044E-2</v>
      </c>
      <c r="AK66" s="5">
        <f t="shared" si="21"/>
        <v>0.44300624191972882</v>
      </c>
      <c r="AL66" s="5">
        <f t="shared" si="12"/>
        <v>0.77</v>
      </c>
      <c r="AM66" s="5">
        <v>16.7</v>
      </c>
    </row>
    <row r="67" spans="1:39" x14ac:dyDescent="0.2">
      <c r="A67" s="23">
        <v>45353</v>
      </c>
      <c r="B67" s="20">
        <v>26.4</v>
      </c>
      <c r="C67" s="20">
        <v>87</v>
      </c>
      <c r="D67" s="20">
        <v>0.9</v>
      </c>
      <c r="E67" s="20">
        <v>31.6</v>
      </c>
      <c r="F67" s="20">
        <v>88.7083333333333</v>
      </c>
      <c r="G67" s="20">
        <v>3.3291666666666599</v>
      </c>
      <c r="H67" s="20">
        <v>23.7</v>
      </c>
      <c r="I67" s="20">
        <v>64</v>
      </c>
      <c r="J67" s="20">
        <v>9.6</v>
      </c>
      <c r="K67" s="20">
        <v>0.352275</v>
      </c>
      <c r="L67" s="20">
        <f t="shared" si="13"/>
        <v>0.16204650000000001</v>
      </c>
      <c r="M67" s="20"/>
      <c r="N67" s="5">
        <f t="shared" ref="N67:N96" si="23">IF(0&lt;$X$8&lt;26.5,16*(((10*$X$8)/$Z$6)^$Z$6)/30,((-415.85)+(32.24*$X$8)-(0.43*$X$8^2))/30)</f>
        <v>4.9205185570586236</v>
      </c>
      <c r="O67" s="6">
        <f t="shared" si="15"/>
        <v>5.0312804691293822</v>
      </c>
      <c r="P67" s="20">
        <f t="shared" si="16"/>
        <v>0</v>
      </c>
      <c r="Q67" s="5">
        <f t="shared" si="1"/>
        <v>4.771776809045412</v>
      </c>
      <c r="R67" s="5">
        <f t="shared" si="17"/>
        <v>2.3882696315992207</v>
      </c>
      <c r="S67" s="5">
        <f t="shared" si="2"/>
        <v>0.12856729049999999</v>
      </c>
      <c r="T67" s="5">
        <f t="shared" si="3"/>
        <v>2.1080702108320861</v>
      </c>
      <c r="U67" s="5">
        <f t="shared" si="4"/>
        <v>37.612078534847839</v>
      </c>
      <c r="AB67" s="14"/>
      <c r="AD67" s="5">
        <f t="shared" si="7"/>
        <v>3.9500000000000011</v>
      </c>
      <c r="AE67" s="5">
        <f t="shared" si="8"/>
        <v>12.35416666666665</v>
      </c>
      <c r="AF67" s="5">
        <f t="shared" si="9"/>
        <v>3.6588553838729245</v>
      </c>
      <c r="AG67" s="5">
        <f t="shared" si="10"/>
        <v>2.4239634039032953</v>
      </c>
      <c r="AH67" s="5">
        <f t="shared" si="19"/>
        <v>0.61744598998481459</v>
      </c>
      <c r="AI67" s="5">
        <f t="shared" si="11"/>
        <v>4.3474669034147845E-2</v>
      </c>
      <c r="AJ67" s="5">
        <f t="shared" si="20"/>
        <v>7.6280306679373869E-2</v>
      </c>
      <c r="AK67" s="5">
        <f t="shared" si="21"/>
        <v>0.54116568330544068</v>
      </c>
      <c r="AL67" s="5">
        <f t="shared" si="12"/>
        <v>0.747</v>
      </c>
      <c r="AM67" s="5">
        <v>16.7</v>
      </c>
    </row>
    <row r="68" spans="1:39" x14ac:dyDescent="0.2">
      <c r="A68" s="23">
        <v>45354</v>
      </c>
      <c r="B68" s="20">
        <v>27</v>
      </c>
      <c r="C68" s="20">
        <v>80.599999999999994</v>
      </c>
      <c r="D68" s="20">
        <v>1.2</v>
      </c>
      <c r="E68" s="20">
        <v>31.5</v>
      </c>
      <c r="F68" s="20">
        <v>84.625</v>
      </c>
      <c r="G68" s="20">
        <v>3.62083333333333</v>
      </c>
      <c r="H68" s="20">
        <v>23.9</v>
      </c>
      <c r="I68" s="20">
        <v>62</v>
      </c>
      <c r="J68" s="20">
        <v>56.4</v>
      </c>
      <c r="K68" s="20">
        <v>0.53373333333333306</v>
      </c>
      <c r="L68" s="20">
        <f t="shared" si="13"/>
        <v>0.24551733333333323</v>
      </c>
      <c r="M68" s="20"/>
      <c r="N68" s="5">
        <f t="shared" si="23"/>
        <v>4.9205185570586236</v>
      </c>
      <c r="O68" s="6">
        <f t="shared" si="15"/>
        <v>5.0312804691293822</v>
      </c>
      <c r="P68" s="20">
        <f t="shared" si="16"/>
        <v>0</v>
      </c>
      <c r="Q68" s="5">
        <f t="shared" si="1"/>
        <v>4.7438300006073577</v>
      </c>
      <c r="R68" s="5">
        <f t="shared" si="17"/>
        <v>2.374282281275919</v>
      </c>
      <c r="S68" s="5">
        <f t="shared" si="2"/>
        <v>0.19635744342857131</v>
      </c>
      <c r="T68" s="5">
        <f t="shared" si="3"/>
        <v>2.1924922035733969</v>
      </c>
      <c r="U68" s="5">
        <f t="shared" si="4"/>
        <v>37.617144773239993</v>
      </c>
      <c r="AB68" s="14"/>
      <c r="AD68" s="5">
        <f t="shared" si="7"/>
        <v>3.8000000000000007</v>
      </c>
      <c r="AE68" s="5">
        <f t="shared" si="8"/>
        <v>11.3125</v>
      </c>
      <c r="AF68" s="5">
        <f t="shared" si="9"/>
        <v>3.6403206180476344</v>
      </c>
      <c r="AG68" s="5">
        <f t="shared" si="10"/>
        <v>2.4500244372500051</v>
      </c>
      <c r="AH68" s="5">
        <f t="shared" si="19"/>
        <v>0.59514809039881467</v>
      </c>
      <c r="AI68" s="5">
        <f t="shared" si="11"/>
        <v>4.1956821268590128E-2</v>
      </c>
      <c r="AJ68" s="5">
        <f t="shared" si="20"/>
        <v>6.7326127726365911E-2</v>
      </c>
      <c r="AK68" s="5">
        <f t="shared" si="21"/>
        <v>0.52782196267244874</v>
      </c>
      <c r="AL68" s="5">
        <f t="shared" si="12"/>
        <v>0.753</v>
      </c>
      <c r="AM68" s="5">
        <v>16.7</v>
      </c>
    </row>
    <row r="69" spans="1:39" x14ac:dyDescent="0.2">
      <c r="A69" s="23">
        <v>45355</v>
      </c>
      <c r="B69" s="20">
        <v>27.6</v>
      </c>
      <c r="C69" s="20">
        <v>83.8</v>
      </c>
      <c r="D69" s="20">
        <v>1.2</v>
      </c>
      <c r="E69" s="20">
        <v>32</v>
      </c>
      <c r="F69" s="20">
        <v>85.9583333333333</v>
      </c>
      <c r="G69" s="20">
        <v>2.9083333333333301</v>
      </c>
      <c r="H69" s="20">
        <v>25.8</v>
      </c>
      <c r="I69" s="20">
        <v>62</v>
      </c>
      <c r="J69" s="20">
        <v>0</v>
      </c>
      <c r="K69" s="20">
        <v>0.29977499999999996</v>
      </c>
      <c r="L69" s="20">
        <f t="shared" si="13"/>
        <v>0.13789649999999998</v>
      </c>
      <c r="M69" s="20"/>
      <c r="N69" s="5">
        <f t="shared" si="23"/>
        <v>4.9205185570586236</v>
      </c>
      <c r="O69" s="6">
        <f t="shared" si="15"/>
        <v>5.0312804691293822</v>
      </c>
      <c r="P69" s="20">
        <f t="shared" si="16"/>
        <v>0</v>
      </c>
      <c r="Q69" s="5">
        <f t="shared" si="1"/>
        <v>4.3420618435134246</v>
      </c>
      <c r="R69" s="5">
        <f t="shared" si="17"/>
        <v>2.1731977111191312</v>
      </c>
      <c r="S69" s="5">
        <f t="shared" si="2"/>
        <v>0.11116427849999996</v>
      </c>
      <c r="T69" s="5">
        <f t="shared" si="3"/>
        <v>1.6913648680542934</v>
      </c>
      <c r="U69" s="5">
        <f t="shared" si="4"/>
        <v>37.614611654043919</v>
      </c>
      <c r="AB69" s="14"/>
      <c r="AD69" s="5">
        <f t="shared" si="7"/>
        <v>3.0999999999999996</v>
      </c>
      <c r="AE69" s="5">
        <f t="shared" si="8"/>
        <v>11.97916666666665</v>
      </c>
      <c r="AF69" s="5">
        <f t="shared" si="9"/>
        <v>3.7338187409643715</v>
      </c>
      <c r="AG69" s="5">
        <f t="shared" si="10"/>
        <v>2.7100795102915933</v>
      </c>
      <c r="AH69" s="5">
        <f t="shared" si="19"/>
        <v>0.51186961533638908</v>
      </c>
      <c r="AI69" s="5">
        <f t="shared" si="11"/>
        <v>3.6296301845242025E-2</v>
      </c>
      <c r="AJ69" s="5">
        <f t="shared" si="20"/>
        <v>6.1317714337171522E-2</v>
      </c>
      <c r="AK69" s="5">
        <f t="shared" si="21"/>
        <v>0.45055190099921755</v>
      </c>
      <c r="AL69" s="5">
        <f t="shared" si="12"/>
        <v>0.75900000000000001</v>
      </c>
      <c r="AM69" s="5">
        <v>16.7</v>
      </c>
    </row>
    <row r="70" spans="1:39" x14ac:dyDescent="0.2">
      <c r="A70" s="23">
        <v>45356</v>
      </c>
      <c r="B70" s="20">
        <v>28.9</v>
      </c>
      <c r="C70" s="20">
        <v>75.099999999999994</v>
      </c>
      <c r="D70" s="20">
        <v>1.8</v>
      </c>
      <c r="E70" s="20">
        <v>34.299999999999997</v>
      </c>
      <c r="F70" s="20">
        <v>78.6666666666666</v>
      </c>
      <c r="G70" s="20">
        <v>4.3208333333333302</v>
      </c>
      <c r="H70" s="20">
        <v>25.1</v>
      </c>
      <c r="I70" s="20">
        <v>50</v>
      </c>
      <c r="J70" s="20">
        <v>18.600000000000001</v>
      </c>
      <c r="K70" s="20">
        <v>1.03460833333333</v>
      </c>
      <c r="L70" s="20">
        <f t="shared" si="13"/>
        <v>0.47591983333333182</v>
      </c>
      <c r="M70" s="20"/>
      <c r="N70" s="5">
        <f t="shared" si="23"/>
        <v>4.9205185570586236</v>
      </c>
      <c r="O70" s="6">
        <f t="shared" si="15"/>
        <v>5.0312804691293822</v>
      </c>
      <c r="P70" s="20">
        <f t="shared" si="16"/>
        <v>0</v>
      </c>
      <c r="Q70" s="5">
        <f t="shared" ref="Q70:Q133" si="24">0.0023*(SQRT(E70-H70))*(17.8+B70)*AM70</f>
        <v>5.4407040316564546</v>
      </c>
      <c r="R70" s="5">
        <f t="shared" si="17"/>
        <v>2.7230670530719907</v>
      </c>
      <c r="S70" s="5">
        <f t="shared" ref="S70:S133" si="25">1.26*AL70*((K70*0.95)/2.45)</f>
        <v>0.39023061514285584</v>
      </c>
      <c r="T70" s="5">
        <f t="shared" ref="T70:T133" si="26">((0.408*AI70)*(K70*0.95) + ((0.063*900*G70*AK70)/((AD70+273))))/(AI70+0.063*(1+0.34*G70))</f>
        <v>2.9371797321035955</v>
      </c>
      <c r="U70" s="5">
        <f t="shared" ref="U70:U133" si="27">1.21*(10^((7.45*$X$19)/(234.7+$X$19)))*((1-0.01*(C70/100))+(0.21*$X$19)-2.3)</f>
        <v>37.621498571858261</v>
      </c>
      <c r="AB70" s="14"/>
      <c r="AD70" s="5">
        <f t="shared" ref="AD70:AD133" si="28">(E70-H70)/2</f>
        <v>4.5999999999999979</v>
      </c>
      <c r="AE70" s="5">
        <f t="shared" ref="AE70:AE133" si="29">(F70-I70)/2</f>
        <v>14.3333333333333</v>
      </c>
      <c r="AF70" s="5">
        <f t="shared" ref="AF70:AF133" si="30">0.611*10^((7.5*E70)/(273.3+E70))</f>
        <v>4.1913565241884791</v>
      </c>
      <c r="AG70" s="5">
        <f t="shared" ref="AG70:AG133" si="31">0.611*10^((7.5*H70)/(273.3+H70))</f>
        <v>2.6115949581648166</v>
      </c>
      <c r="AH70" s="5">
        <f t="shared" si="19"/>
        <v>0.78988078301183129</v>
      </c>
      <c r="AI70" s="5">
        <f t="shared" ref="AI70:AI133" si="32">(4098*AH70)/((237.3+AD70)^2)</f>
        <v>5.5317400754815414E-2</v>
      </c>
      <c r="AJ70" s="5">
        <f t="shared" si="20"/>
        <v>0.11321624556502888</v>
      </c>
      <c r="AK70" s="5">
        <f t="shared" si="21"/>
        <v>0.67666453744680244</v>
      </c>
      <c r="AL70" s="5">
        <f t="shared" ref="AL70:AL133" si="33">IF(0&lt;B70&lt;16,0.407+0.0145*B70,0.483+0.01*B70)</f>
        <v>0.77200000000000002</v>
      </c>
      <c r="AM70" s="5">
        <v>16.7</v>
      </c>
    </row>
    <row r="71" spans="1:39" x14ac:dyDescent="0.2">
      <c r="A71" s="23">
        <v>45357</v>
      </c>
      <c r="B71" s="20">
        <v>30.7</v>
      </c>
      <c r="C71" s="20">
        <v>68.8</v>
      </c>
      <c r="D71" s="20">
        <v>1.8</v>
      </c>
      <c r="E71" s="20">
        <v>35.1</v>
      </c>
      <c r="F71" s="20">
        <v>71.25</v>
      </c>
      <c r="G71" s="20">
        <v>4.8208333333333302</v>
      </c>
      <c r="H71" s="20">
        <v>26.5</v>
      </c>
      <c r="I71" s="20">
        <v>51</v>
      </c>
      <c r="J71" s="20">
        <v>0</v>
      </c>
      <c r="K71" s="20">
        <v>0.98644166666666599</v>
      </c>
      <c r="L71" s="20">
        <f t="shared" ref="L71:L134" si="34">K71*0.46</f>
        <v>0.45376316666666638</v>
      </c>
      <c r="M71" s="20"/>
      <c r="N71" s="5">
        <f t="shared" si="23"/>
        <v>4.9205185570586236</v>
      </c>
      <c r="O71" s="6">
        <f t="shared" ref="O71:O134" si="35">$AC$6</f>
        <v>5.0312804691293822</v>
      </c>
      <c r="P71" s="20">
        <f t="shared" ref="P71:P134" si="36">(0.01*B71*Y71)</f>
        <v>0</v>
      </c>
      <c r="Q71" s="5">
        <f t="shared" si="24"/>
        <v>5.4630512078631472</v>
      </c>
      <c r="R71" s="5">
        <f t="shared" ref="R71:R134" si="37">Q71*$W$1</f>
        <v>2.7342517929335175</v>
      </c>
      <c r="S71" s="5">
        <f t="shared" si="25"/>
        <v>0.38073829928571401</v>
      </c>
      <c r="T71" s="5">
        <f t="shared" si="26"/>
        <v>3.2052326379342175</v>
      </c>
      <c r="U71" s="5">
        <f t="shared" si="27"/>
        <v>37.626485650275541</v>
      </c>
      <c r="AB71" s="14"/>
      <c r="AD71" s="5">
        <f t="shared" si="28"/>
        <v>4.3000000000000007</v>
      </c>
      <c r="AE71" s="5">
        <f t="shared" si="29"/>
        <v>10.125</v>
      </c>
      <c r="AF71" s="5">
        <f t="shared" si="30"/>
        <v>4.3615457470670798</v>
      </c>
      <c r="AG71" s="5">
        <f t="shared" si="31"/>
        <v>2.8117918743392765</v>
      </c>
      <c r="AH71" s="5">
        <f t="shared" ref="AH71:AH134" si="38">(AF71-AG71)/2</f>
        <v>0.77487693636390165</v>
      </c>
      <c r="AI71" s="5">
        <f t="shared" si="32"/>
        <v>5.4401494267303042E-2</v>
      </c>
      <c r="AJ71" s="5">
        <f t="shared" ref="AJ71:AJ134" si="39">(AE71*AH71)/100</f>
        <v>7.8456289806845034E-2</v>
      </c>
      <c r="AK71" s="5">
        <f t="shared" ref="AK71:AK134" si="40">AH71-AJ71</f>
        <v>0.6964206465570566</v>
      </c>
      <c r="AL71" s="5">
        <f t="shared" si="33"/>
        <v>0.79</v>
      </c>
      <c r="AM71" s="5">
        <v>16.7</v>
      </c>
    </row>
    <row r="72" spans="1:39" x14ac:dyDescent="0.2">
      <c r="A72" s="23">
        <v>45358</v>
      </c>
      <c r="B72" s="20">
        <v>30.1</v>
      </c>
      <c r="C72" s="20">
        <v>72.3</v>
      </c>
      <c r="D72" s="20">
        <v>1.8</v>
      </c>
      <c r="E72" s="20">
        <v>34.6</v>
      </c>
      <c r="F72" s="20">
        <v>73.7916666666666</v>
      </c>
      <c r="G72" s="20">
        <v>4.8208333333333302</v>
      </c>
      <c r="H72" s="20">
        <v>26.8</v>
      </c>
      <c r="I72" s="20">
        <v>52</v>
      </c>
      <c r="J72" s="20">
        <v>0</v>
      </c>
      <c r="K72" s="20">
        <v>0.7814875</v>
      </c>
      <c r="L72" s="20">
        <f t="shared" si="34"/>
        <v>0.35948425000000001</v>
      </c>
      <c r="M72" s="20"/>
      <c r="N72" s="5">
        <f t="shared" si="23"/>
        <v>4.9205185570586236</v>
      </c>
      <c r="O72" s="6">
        <f t="shared" si="35"/>
        <v>5.0312804691293822</v>
      </c>
      <c r="P72" s="20">
        <f t="shared" si="36"/>
        <v>0</v>
      </c>
      <c r="Q72" s="5">
        <f t="shared" si="24"/>
        <v>5.1383906875775613</v>
      </c>
      <c r="R72" s="5">
        <f t="shared" si="37"/>
        <v>2.5717595196764242</v>
      </c>
      <c r="S72" s="5">
        <f t="shared" si="25"/>
        <v>0.29934097199999998</v>
      </c>
      <c r="T72" s="5">
        <f t="shared" si="26"/>
        <v>2.9224215787013317</v>
      </c>
      <c r="U72" s="5">
        <f t="shared" si="27"/>
        <v>37.623715051154832</v>
      </c>
      <c r="AB72" s="14"/>
      <c r="AD72" s="5">
        <f t="shared" si="28"/>
        <v>3.9000000000000004</v>
      </c>
      <c r="AE72" s="5">
        <f t="shared" si="29"/>
        <v>10.8958333333333</v>
      </c>
      <c r="AF72" s="5">
        <f t="shared" si="30"/>
        <v>4.2544881280991662</v>
      </c>
      <c r="AG72" s="5">
        <f t="shared" si="31"/>
        <v>2.8563929422901966</v>
      </c>
      <c r="AH72" s="5">
        <f t="shared" si="38"/>
        <v>0.69904759290448482</v>
      </c>
      <c r="AI72" s="5">
        <f t="shared" si="32"/>
        <v>4.924068566307796E-2</v>
      </c>
      <c r="AJ72" s="5">
        <f t="shared" si="39"/>
        <v>7.616706064355093E-2</v>
      </c>
      <c r="AK72" s="5">
        <f t="shared" si="40"/>
        <v>0.62288053226093387</v>
      </c>
      <c r="AL72" s="5">
        <f t="shared" si="33"/>
        <v>0.78400000000000003</v>
      </c>
      <c r="AM72" s="5">
        <v>16.7</v>
      </c>
    </row>
    <row r="73" spans="1:39" x14ac:dyDescent="0.2">
      <c r="A73" s="23">
        <v>45359</v>
      </c>
      <c r="B73" s="20">
        <v>28.3</v>
      </c>
      <c r="C73" s="20">
        <v>80</v>
      </c>
      <c r="D73" s="20">
        <v>1.7</v>
      </c>
      <c r="E73" s="20">
        <v>32.6</v>
      </c>
      <c r="F73" s="20">
        <v>82.9791666666666</v>
      </c>
      <c r="G73" s="20">
        <v>4.83958333333333</v>
      </c>
      <c r="H73" s="20">
        <v>26.4</v>
      </c>
      <c r="I73" s="20">
        <v>60</v>
      </c>
      <c r="J73" s="20">
        <v>1.2</v>
      </c>
      <c r="K73" s="20">
        <v>0.59883750000000002</v>
      </c>
      <c r="L73" s="20">
        <f t="shared" si="34"/>
        <v>0.27546524999999999</v>
      </c>
      <c r="M73" s="20"/>
      <c r="N73" s="5">
        <f t="shared" si="23"/>
        <v>4.9205185570586236</v>
      </c>
      <c r="O73" s="6">
        <f t="shared" si="35"/>
        <v>5.0312804691293822</v>
      </c>
      <c r="P73" s="20">
        <f t="shared" si="36"/>
        <v>0</v>
      </c>
      <c r="Q73" s="5">
        <f t="shared" si="24"/>
        <v>4.4090099336116504</v>
      </c>
      <c r="R73" s="5">
        <f t="shared" si="37"/>
        <v>2.2067051648148013</v>
      </c>
      <c r="S73" s="5">
        <f t="shared" si="25"/>
        <v>0.22411236792857142</v>
      </c>
      <c r="T73" s="5">
        <f t="shared" si="26"/>
        <v>2.310510485205977</v>
      </c>
      <c r="U73" s="5">
        <f t="shared" si="27"/>
        <v>37.617619733089263</v>
      </c>
      <c r="AB73" s="14"/>
      <c r="AD73" s="5">
        <f t="shared" si="28"/>
        <v>3.1000000000000014</v>
      </c>
      <c r="AE73" s="5">
        <f t="shared" si="29"/>
        <v>11.4895833333333</v>
      </c>
      <c r="AF73" s="5">
        <f t="shared" si="30"/>
        <v>3.8487705516817581</v>
      </c>
      <c r="AG73" s="5">
        <f t="shared" si="31"/>
        <v>2.7970605689481141</v>
      </c>
      <c r="AH73" s="5">
        <f t="shared" si="38"/>
        <v>0.52585499136682201</v>
      </c>
      <c r="AI73" s="5">
        <f t="shared" si="32"/>
        <v>3.7287994679922609E-2</v>
      </c>
      <c r="AJ73" s="5">
        <f t="shared" si="39"/>
        <v>6.0418547445583649E-2</v>
      </c>
      <c r="AK73" s="5">
        <f t="shared" si="40"/>
        <v>0.46543644392123834</v>
      </c>
      <c r="AL73" s="5">
        <f t="shared" si="33"/>
        <v>0.76600000000000001</v>
      </c>
      <c r="AM73" s="5">
        <v>16.7</v>
      </c>
    </row>
    <row r="74" spans="1:39" x14ac:dyDescent="0.2">
      <c r="A74" s="23">
        <v>45360</v>
      </c>
      <c r="B74" s="20">
        <v>28</v>
      </c>
      <c r="C74" s="20">
        <v>80.5</v>
      </c>
      <c r="D74" s="20">
        <v>1.9</v>
      </c>
      <c r="E74" s="20">
        <v>31.6</v>
      </c>
      <c r="F74" s="20">
        <v>83.5833333333333</v>
      </c>
      <c r="G74" s="20">
        <v>4.8458333333333297</v>
      </c>
      <c r="H74" s="20">
        <v>24.6</v>
      </c>
      <c r="I74" s="20">
        <v>62</v>
      </c>
      <c r="J74" s="20">
        <v>8.8000000000000007</v>
      </c>
      <c r="K74" s="20">
        <v>0.5981208333333331</v>
      </c>
      <c r="L74" s="20">
        <f t="shared" si="34"/>
        <v>0.27513558333333321</v>
      </c>
      <c r="M74" s="20"/>
      <c r="N74" s="5">
        <f t="shared" si="23"/>
        <v>4.9205185570586236</v>
      </c>
      <c r="O74" s="6">
        <f t="shared" si="35"/>
        <v>5.0312804691293822</v>
      </c>
      <c r="P74" s="20">
        <f t="shared" si="36"/>
        <v>0</v>
      </c>
      <c r="Q74" s="5">
        <f t="shared" si="24"/>
        <v>4.6543474998959837</v>
      </c>
      <c r="R74" s="5">
        <f t="shared" si="37"/>
        <v>2.3294963770811914</v>
      </c>
      <c r="S74" s="5">
        <f t="shared" si="25"/>
        <v>0.2229674842499999</v>
      </c>
      <c r="T74" s="5">
        <f t="shared" si="26"/>
        <v>2.4422424079878495</v>
      </c>
      <c r="U74" s="5">
        <f t="shared" si="27"/>
        <v>37.617223933214873</v>
      </c>
      <c r="AB74" s="14"/>
      <c r="AD74" s="5">
        <f t="shared" si="28"/>
        <v>3.5</v>
      </c>
      <c r="AE74" s="5">
        <f t="shared" si="29"/>
        <v>10.79166666666665</v>
      </c>
      <c r="AF74" s="5">
        <f t="shared" si="30"/>
        <v>3.6588553838729245</v>
      </c>
      <c r="AG74" s="5">
        <f t="shared" si="31"/>
        <v>2.5431768268137356</v>
      </c>
      <c r="AH74" s="5">
        <f t="shared" si="38"/>
        <v>0.55783927852959447</v>
      </c>
      <c r="AI74" s="5">
        <f t="shared" si="32"/>
        <v>3.9424671144190564E-2</v>
      </c>
      <c r="AJ74" s="5">
        <f t="shared" si="39"/>
        <v>6.0200155474651976E-2</v>
      </c>
      <c r="AK74" s="5">
        <f t="shared" si="40"/>
        <v>0.49763912305494251</v>
      </c>
      <c r="AL74" s="5">
        <f t="shared" si="33"/>
        <v>0.76300000000000001</v>
      </c>
      <c r="AM74" s="5">
        <v>16.7</v>
      </c>
    </row>
    <row r="75" spans="1:39" x14ac:dyDescent="0.2">
      <c r="A75" s="23">
        <v>45361</v>
      </c>
      <c r="B75" s="20">
        <v>28.6</v>
      </c>
      <c r="C75" s="20">
        <v>78.599999999999994</v>
      </c>
      <c r="D75" s="20">
        <v>1.7</v>
      </c>
      <c r="E75" s="20">
        <v>33.299999999999997</v>
      </c>
      <c r="F75" s="20">
        <v>80.9166666666666</v>
      </c>
      <c r="G75" s="20">
        <v>4.0708333333333302</v>
      </c>
      <c r="H75" s="20">
        <v>24.6</v>
      </c>
      <c r="I75" s="20">
        <v>53</v>
      </c>
      <c r="J75" s="20">
        <v>1.8</v>
      </c>
      <c r="K75" s="20">
        <v>0.64017916666666597</v>
      </c>
      <c r="L75" s="20">
        <f t="shared" si="34"/>
        <v>0.29448241666666636</v>
      </c>
      <c r="M75" s="20"/>
      <c r="N75" s="5">
        <f t="shared" si="23"/>
        <v>4.9205185570586236</v>
      </c>
      <c r="O75" s="6">
        <f t="shared" si="35"/>
        <v>5.0312804691293822</v>
      </c>
      <c r="P75" s="20">
        <f t="shared" si="36"/>
        <v>0</v>
      </c>
      <c r="Q75" s="5">
        <f t="shared" si="24"/>
        <v>5.2568055660953634</v>
      </c>
      <c r="R75" s="5">
        <f t="shared" si="37"/>
        <v>2.6310260507005676</v>
      </c>
      <c r="S75" s="5">
        <f t="shared" si="25"/>
        <v>0.24052262924999976</v>
      </c>
      <c r="T75" s="5">
        <f t="shared" si="26"/>
        <v>2.6358518050437993</v>
      </c>
      <c r="U75" s="5">
        <f t="shared" si="27"/>
        <v>37.618727972737545</v>
      </c>
      <c r="AB75" s="14"/>
      <c r="AD75" s="5">
        <f t="shared" si="28"/>
        <v>4.3499999999999979</v>
      </c>
      <c r="AE75" s="5">
        <f t="shared" si="29"/>
        <v>13.9583333333333</v>
      </c>
      <c r="AF75" s="5">
        <f t="shared" si="30"/>
        <v>3.9867634365677822</v>
      </c>
      <c r="AG75" s="5">
        <f t="shared" si="31"/>
        <v>2.5431768268137356</v>
      </c>
      <c r="AH75" s="5">
        <f t="shared" si="38"/>
        <v>0.72179330487702331</v>
      </c>
      <c r="AI75" s="5">
        <f t="shared" si="32"/>
        <v>5.0653703566894109E-2</v>
      </c>
      <c r="AJ75" s="5">
        <f t="shared" si="39"/>
        <v>0.1007503154724176</v>
      </c>
      <c r="AK75" s="5">
        <f t="shared" si="40"/>
        <v>0.62104298940460567</v>
      </c>
      <c r="AL75" s="5">
        <f t="shared" si="33"/>
        <v>0.76900000000000002</v>
      </c>
      <c r="AM75" s="5">
        <v>16.7</v>
      </c>
    </row>
    <row r="76" spans="1:39" x14ac:dyDescent="0.2">
      <c r="A76" s="23">
        <v>45362</v>
      </c>
      <c r="B76" s="20">
        <v>27.5</v>
      </c>
      <c r="C76" s="20">
        <v>83.5</v>
      </c>
      <c r="D76" s="20">
        <v>1.6</v>
      </c>
      <c r="E76" s="20">
        <v>31.8</v>
      </c>
      <c r="F76" s="20">
        <v>85.9166666666666</v>
      </c>
      <c r="G76" s="20">
        <v>4.4541666666666604</v>
      </c>
      <c r="H76" s="20">
        <v>25.9</v>
      </c>
      <c r="I76" s="20">
        <v>64</v>
      </c>
      <c r="J76" s="20">
        <v>1.4</v>
      </c>
      <c r="K76" s="20">
        <v>0.44072916666666601</v>
      </c>
      <c r="L76" s="20">
        <f t="shared" si="34"/>
        <v>0.20273541666666636</v>
      </c>
      <c r="M76" s="20"/>
      <c r="N76" s="5">
        <f t="shared" si="23"/>
        <v>4.9205185570586236</v>
      </c>
      <c r="O76" s="6">
        <f t="shared" si="35"/>
        <v>5.0312804691293822</v>
      </c>
      <c r="P76" s="20">
        <f t="shared" si="36"/>
        <v>0</v>
      </c>
      <c r="Q76" s="5">
        <f t="shared" si="24"/>
        <v>4.2263797321467811</v>
      </c>
      <c r="R76" s="5">
        <f t="shared" si="37"/>
        <v>2.1152989273846288</v>
      </c>
      <c r="S76" s="5">
        <f t="shared" si="25"/>
        <v>0.16321838035714259</v>
      </c>
      <c r="T76" s="5">
        <f t="shared" si="26"/>
        <v>2.0831240031569322</v>
      </c>
      <c r="U76" s="5">
        <f t="shared" si="27"/>
        <v>37.614849133968548</v>
      </c>
      <c r="AB76" s="14"/>
      <c r="AD76" s="5">
        <f t="shared" si="28"/>
        <v>2.9500000000000011</v>
      </c>
      <c r="AE76" s="5">
        <f t="shared" si="29"/>
        <v>10.9583333333333</v>
      </c>
      <c r="AF76" s="5">
        <f t="shared" si="30"/>
        <v>3.6961715910165558</v>
      </c>
      <c r="AG76" s="5">
        <f t="shared" si="31"/>
        <v>2.7244101754306382</v>
      </c>
      <c r="AH76" s="5">
        <f t="shared" si="38"/>
        <v>0.48588070779295878</v>
      </c>
      <c r="AI76" s="5">
        <f t="shared" si="32"/>
        <v>3.4496482753038342E-2</v>
      </c>
      <c r="AJ76" s="5">
        <f t="shared" si="39"/>
        <v>5.3244427562311569E-2</v>
      </c>
      <c r="AK76" s="5">
        <f t="shared" si="40"/>
        <v>0.43263628023064721</v>
      </c>
      <c r="AL76" s="5">
        <f t="shared" si="33"/>
        <v>0.75800000000000001</v>
      </c>
      <c r="AM76" s="5">
        <v>16.7</v>
      </c>
    </row>
    <row r="77" spans="1:39" x14ac:dyDescent="0.2">
      <c r="A77" s="23">
        <v>45363</v>
      </c>
      <c r="B77" s="20">
        <v>28.8</v>
      </c>
      <c r="C77" s="20">
        <v>76.400000000000006</v>
      </c>
      <c r="D77" s="20">
        <v>1.5</v>
      </c>
      <c r="E77" s="20">
        <v>34.700000000000003</v>
      </c>
      <c r="F77" s="20">
        <v>80.5416666666666</v>
      </c>
      <c r="G77" s="20">
        <v>4.1416666666666604</v>
      </c>
      <c r="H77" s="20">
        <v>24.3</v>
      </c>
      <c r="I77" s="20">
        <v>55</v>
      </c>
      <c r="J77" s="20">
        <v>28.8</v>
      </c>
      <c r="K77" s="20">
        <v>0.829141666666666</v>
      </c>
      <c r="L77" s="20">
        <f t="shared" si="34"/>
        <v>0.38140516666666635</v>
      </c>
      <c r="M77" s="20"/>
      <c r="N77" s="5">
        <f t="shared" si="23"/>
        <v>4.9205185570586236</v>
      </c>
      <c r="O77" s="6">
        <f t="shared" si="35"/>
        <v>5.0312804691293822</v>
      </c>
      <c r="P77" s="20">
        <f t="shared" si="36"/>
        <v>0</v>
      </c>
      <c r="Q77" s="5">
        <f t="shared" si="24"/>
        <v>5.7722734068904256</v>
      </c>
      <c r="R77" s="5">
        <f t="shared" si="37"/>
        <v>2.8890172014818098</v>
      </c>
      <c r="S77" s="5">
        <f t="shared" si="25"/>
        <v>0.31232818992857114</v>
      </c>
      <c r="T77" s="5">
        <f t="shared" si="26"/>
        <v>3.1502440725772041</v>
      </c>
      <c r="U77" s="5">
        <f t="shared" si="27"/>
        <v>37.620469492184853</v>
      </c>
      <c r="AB77" s="14"/>
      <c r="AD77" s="5">
        <f t="shared" si="28"/>
        <v>5.2000000000000011</v>
      </c>
      <c r="AE77" s="5">
        <f t="shared" si="29"/>
        <v>12.7708333333333</v>
      </c>
      <c r="AF77" s="5">
        <f t="shared" si="30"/>
        <v>4.2757149343567242</v>
      </c>
      <c r="AG77" s="5">
        <f t="shared" si="31"/>
        <v>2.5028821659538099</v>
      </c>
      <c r="AH77" s="5">
        <f t="shared" si="38"/>
        <v>0.88641638420145719</v>
      </c>
      <c r="AI77" s="5">
        <f t="shared" si="32"/>
        <v>6.1771229120332817E-2</v>
      </c>
      <c r="AJ77" s="5">
        <f t="shared" si="39"/>
        <v>0.11320275906572747</v>
      </c>
      <c r="AK77" s="5">
        <f t="shared" si="40"/>
        <v>0.77321362513572978</v>
      </c>
      <c r="AL77" s="5">
        <f t="shared" si="33"/>
        <v>0.77100000000000002</v>
      </c>
      <c r="AM77" s="5">
        <v>16.7</v>
      </c>
    </row>
    <row r="78" spans="1:39" x14ac:dyDescent="0.2">
      <c r="A78" s="23">
        <v>45364</v>
      </c>
      <c r="B78" s="20">
        <v>27.6</v>
      </c>
      <c r="C78" s="20">
        <v>83.6</v>
      </c>
      <c r="D78" s="20">
        <v>1.2</v>
      </c>
      <c r="E78" s="20">
        <v>30.5</v>
      </c>
      <c r="F78" s="20">
        <v>85.2083333333333</v>
      </c>
      <c r="G78" s="20">
        <v>3.3541666666666599</v>
      </c>
      <c r="H78" s="20">
        <v>27</v>
      </c>
      <c r="I78" s="20">
        <v>68</v>
      </c>
      <c r="J78" s="20">
        <v>0</v>
      </c>
      <c r="K78" s="20">
        <v>0.27232083333333301</v>
      </c>
      <c r="L78" s="20">
        <f t="shared" si="34"/>
        <v>0.12526758333333318</v>
      </c>
      <c r="M78" s="20"/>
      <c r="N78" s="5">
        <f t="shared" si="23"/>
        <v>4.9205185570586236</v>
      </c>
      <c r="O78" s="6">
        <f t="shared" si="35"/>
        <v>5.0312804691293822</v>
      </c>
      <c r="P78" s="20">
        <f t="shared" si="36"/>
        <v>0</v>
      </c>
      <c r="Q78" s="5">
        <f t="shared" si="24"/>
        <v>3.2623772671299069</v>
      </c>
      <c r="R78" s="5">
        <f t="shared" si="37"/>
        <v>1.6328166353330937</v>
      </c>
      <c r="S78" s="5">
        <f t="shared" si="25"/>
        <v>0.10098356753571414</v>
      </c>
      <c r="T78" s="5">
        <f t="shared" si="26"/>
        <v>1.1802880574095926</v>
      </c>
      <c r="U78" s="5">
        <f t="shared" si="27"/>
        <v>37.614769973993674</v>
      </c>
      <c r="AB78" s="14"/>
      <c r="AD78" s="5">
        <f t="shared" si="28"/>
        <v>1.75</v>
      </c>
      <c r="AE78" s="5">
        <f t="shared" si="29"/>
        <v>8.6041666666666501</v>
      </c>
      <c r="AF78" s="5">
        <f t="shared" si="30"/>
        <v>3.4594231358551255</v>
      </c>
      <c r="AG78" s="5">
        <f t="shared" si="31"/>
        <v>2.8864689131283341</v>
      </c>
      <c r="AH78" s="5">
        <f t="shared" si="38"/>
        <v>0.28647711136339571</v>
      </c>
      <c r="AI78" s="5">
        <f t="shared" si="32"/>
        <v>2.0543970695674835E-2</v>
      </c>
      <c r="AJ78" s="5">
        <f t="shared" si="39"/>
        <v>2.4648968123558788E-2</v>
      </c>
      <c r="AK78" s="5">
        <f t="shared" si="40"/>
        <v>0.26182814323983694</v>
      </c>
      <c r="AL78" s="5">
        <f t="shared" si="33"/>
        <v>0.75900000000000001</v>
      </c>
      <c r="AM78" s="5">
        <v>16.7</v>
      </c>
    </row>
    <row r="79" spans="1:39" x14ac:dyDescent="0.2">
      <c r="A79" s="23">
        <v>45365</v>
      </c>
      <c r="B79" s="20">
        <v>28.8</v>
      </c>
      <c r="C79" s="20">
        <v>79.8</v>
      </c>
      <c r="D79" s="20">
        <v>1.5</v>
      </c>
      <c r="E79" s="20">
        <v>33.4</v>
      </c>
      <c r="F79" s="20">
        <v>84.2083333333333</v>
      </c>
      <c r="G79" s="20">
        <v>4.18333333333333</v>
      </c>
      <c r="H79" s="20">
        <v>24</v>
      </c>
      <c r="I79" s="20">
        <v>59</v>
      </c>
      <c r="J79" s="20">
        <v>42.4</v>
      </c>
      <c r="K79" s="20">
        <v>0.88527499999999992</v>
      </c>
      <c r="L79" s="20">
        <f t="shared" si="34"/>
        <v>0.40722649999999999</v>
      </c>
      <c r="M79" s="20"/>
      <c r="N79" s="5">
        <f t="shared" si="23"/>
        <v>4.9205185570586236</v>
      </c>
      <c r="O79" s="6">
        <f t="shared" si="35"/>
        <v>5.0312804691293822</v>
      </c>
      <c r="P79" s="20">
        <f t="shared" si="36"/>
        <v>0</v>
      </c>
      <c r="Q79" s="5">
        <f t="shared" si="24"/>
        <v>5.4877478800559336</v>
      </c>
      <c r="R79" s="5">
        <f t="shared" si="37"/>
        <v>2.7466124532409708</v>
      </c>
      <c r="S79" s="5">
        <f t="shared" si="25"/>
        <v>0.33347297507142853</v>
      </c>
      <c r="T79" s="5">
        <f t="shared" si="26"/>
        <v>2.8782707955540356</v>
      </c>
      <c r="U79" s="5">
        <f t="shared" si="27"/>
        <v>37.617778053039018</v>
      </c>
      <c r="AB79" s="14"/>
      <c r="AD79" s="5">
        <f t="shared" si="28"/>
        <v>4.6999999999999993</v>
      </c>
      <c r="AE79" s="5">
        <f t="shared" si="29"/>
        <v>12.60416666666665</v>
      </c>
      <c r="AF79" s="5">
        <f t="shared" si="30"/>
        <v>4.0068239237311412</v>
      </c>
      <c r="AG79" s="5">
        <f t="shared" si="31"/>
        <v>2.4631465486296187</v>
      </c>
      <c r="AH79" s="5">
        <f t="shared" si="38"/>
        <v>0.77183868755076124</v>
      </c>
      <c r="AI79" s="5">
        <f t="shared" si="32"/>
        <v>5.4009202608821458E-2</v>
      </c>
      <c r="AJ79" s="5">
        <f t="shared" si="39"/>
        <v>9.7283834576710401E-2</v>
      </c>
      <c r="AK79" s="5">
        <f t="shared" si="40"/>
        <v>0.67455485297405082</v>
      </c>
      <c r="AL79" s="5">
        <f t="shared" si="33"/>
        <v>0.77100000000000002</v>
      </c>
      <c r="AM79" s="5">
        <v>16.7</v>
      </c>
    </row>
    <row r="80" spans="1:39" x14ac:dyDescent="0.2">
      <c r="A80" s="23">
        <v>45366</v>
      </c>
      <c r="B80" s="20">
        <v>28.7</v>
      </c>
      <c r="C80" s="20">
        <v>81.599999999999994</v>
      </c>
      <c r="D80" s="20">
        <v>1.3</v>
      </c>
      <c r="E80" s="20">
        <v>32.5</v>
      </c>
      <c r="F80" s="20">
        <v>83.4166666666666</v>
      </c>
      <c r="G80" s="20">
        <v>3.80416666666666</v>
      </c>
      <c r="H80" s="20">
        <v>26.9</v>
      </c>
      <c r="I80" s="20">
        <v>65</v>
      </c>
      <c r="J80" s="20">
        <v>0.2</v>
      </c>
      <c r="K80" s="20">
        <v>0.50266666666666604</v>
      </c>
      <c r="L80" s="20">
        <f t="shared" si="34"/>
        <v>0.23122666666666639</v>
      </c>
      <c r="M80" s="20"/>
      <c r="N80" s="5">
        <f t="shared" si="23"/>
        <v>4.9205185570586236</v>
      </c>
      <c r="O80" s="6">
        <f t="shared" si="35"/>
        <v>5.0312804691293822</v>
      </c>
      <c r="P80" s="20">
        <f t="shared" si="36"/>
        <v>0</v>
      </c>
      <c r="Q80" s="5">
        <f t="shared" si="24"/>
        <v>4.2266012151207271</v>
      </c>
      <c r="R80" s="5">
        <f t="shared" si="37"/>
        <v>2.1154097793967321</v>
      </c>
      <c r="S80" s="5">
        <f t="shared" si="25"/>
        <v>0.18910319999999975</v>
      </c>
      <c r="T80" s="5">
        <f t="shared" si="26"/>
        <v>1.9422082697054437</v>
      </c>
      <c r="U80" s="5">
        <f t="shared" si="27"/>
        <v>37.61635317349122</v>
      </c>
      <c r="AB80" s="14"/>
      <c r="AD80" s="5">
        <f t="shared" si="28"/>
        <v>2.8000000000000007</v>
      </c>
      <c r="AE80" s="5">
        <f t="shared" si="29"/>
        <v>9.2083333333333002</v>
      </c>
      <c r="AF80" s="5">
        <f t="shared" si="30"/>
        <v>3.8294006907571303</v>
      </c>
      <c r="AG80" s="5">
        <f t="shared" si="31"/>
        <v>2.8713965589882768</v>
      </c>
      <c r="AH80" s="5">
        <f t="shared" si="38"/>
        <v>0.47900206588442673</v>
      </c>
      <c r="AI80" s="5">
        <f t="shared" si="32"/>
        <v>3.4050619717738401E-2</v>
      </c>
      <c r="AJ80" s="5">
        <f t="shared" si="39"/>
        <v>4.4108106900190805E-2</v>
      </c>
      <c r="AK80" s="5">
        <f t="shared" si="40"/>
        <v>0.43489395898423594</v>
      </c>
      <c r="AL80" s="5">
        <f t="shared" si="33"/>
        <v>0.77</v>
      </c>
      <c r="AM80" s="5">
        <v>16.7</v>
      </c>
    </row>
    <row r="81" spans="1:39" x14ac:dyDescent="0.2">
      <c r="A81" s="23">
        <v>45367</v>
      </c>
      <c r="B81" s="20">
        <v>26.8</v>
      </c>
      <c r="C81" s="20">
        <v>87.1</v>
      </c>
      <c r="D81" s="20">
        <v>1.5</v>
      </c>
      <c r="E81" s="20">
        <v>29.2</v>
      </c>
      <c r="F81" s="20">
        <v>90.0833333333333</v>
      </c>
      <c r="G81" s="20">
        <v>4.1624999999999996</v>
      </c>
      <c r="H81" s="20">
        <v>24.4</v>
      </c>
      <c r="I81" s="20">
        <v>74</v>
      </c>
      <c r="J81" s="20">
        <v>28.8</v>
      </c>
      <c r="K81" s="20">
        <v>0.34239999999999998</v>
      </c>
      <c r="L81" s="20">
        <f t="shared" si="34"/>
        <v>0.15750400000000001</v>
      </c>
      <c r="M81" s="20"/>
      <c r="N81" s="5">
        <f t="shared" si="23"/>
        <v>4.9205185570586236</v>
      </c>
      <c r="O81" s="6">
        <f t="shared" si="35"/>
        <v>5.0312804691293822</v>
      </c>
      <c r="P81" s="20">
        <f t="shared" si="36"/>
        <v>0</v>
      </c>
      <c r="Q81" s="5">
        <f t="shared" si="24"/>
        <v>3.7531833805851802</v>
      </c>
      <c r="R81" s="5">
        <f t="shared" si="37"/>
        <v>1.8784646156716718</v>
      </c>
      <c r="S81" s="5">
        <f t="shared" si="25"/>
        <v>0.12563242971428568</v>
      </c>
      <c r="T81" s="5">
        <f t="shared" si="26"/>
        <v>1.6139798575673179</v>
      </c>
      <c r="U81" s="5">
        <f t="shared" si="27"/>
        <v>37.611999374872966</v>
      </c>
      <c r="AB81" s="14"/>
      <c r="AD81" s="5">
        <f t="shared" si="28"/>
        <v>2.4000000000000004</v>
      </c>
      <c r="AE81" s="5">
        <f t="shared" si="29"/>
        <v>8.0416666666666501</v>
      </c>
      <c r="AF81" s="5">
        <f t="shared" si="30"/>
        <v>3.2359973134914912</v>
      </c>
      <c r="AG81" s="5">
        <f t="shared" si="31"/>
        <v>2.5162512773466017</v>
      </c>
      <c r="AH81" s="5">
        <f t="shared" si="38"/>
        <v>0.35987301807244476</v>
      </c>
      <c r="AI81" s="5">
        <f t="shared" si="32"/>
        <v>2.5667594645944029E-2</v>
      </c>
      <c r="AJ81" s="5">
        <f t="shared" si="39"/>
        <v>2.8939788536659038E-2</v>
      </c>
      <c r="AK81" s="5">
        <f t="shared" si="40"/>
        <v>0.33093322953578574</v>
      </c>
      <c r="AL81" s="5">
        <f t="shared" si="33"/>
        <v>0.751</v>
      </c>
      <c r="AM81" s="5">
        <v>16.7</v>
      </c>
    </row>
    <row r="82" spans="1:39" x14ac:dyDescent="0.2">
      <c r="A82" s="23">
        <v>45368</v>
      </c>
      <c r="B82" s="20">
        <v>27.4</v>
      </c>
      <c r="C82" s="20">
        <v>85.8</v>
      </c>
      <c r="D82" s="20">
        <v>1.2</v>
      </c>
      <c r="E82" s="20">
        <v>31.6</v>
      </c>
      <c r="F82" s="20">
        <v>88.6666666666666</v>
      </c>
      <c r="G82" s="20">
        <v>3.6708333333333298</v>
      </c>
      <c r="H82" s="20">
        <v>25.3</v>
      </c>
      <c r="I82" s="20">
        <v>67</v>
      </c>
      <c r="J82" s="20">
        <v>3.4</v>
      </c>
      <c r="K82" s="20">
        <v>0.49420833333333297</v>
      </c>
      <c r="L82" s="20">
        <f t="shared" si="34"/>
        <v>0.22733583333333318</v>
      </c>
      <c r="M82" s="20"/>
      <c r="N82" s="5">
        <f t="shared" si="23"/>
        <v>4.9205185570586236</v>
      </c>
      <c r="O82" s="6">
        <f t="shared" si="35"/>
        <v>5.0312804691293822</v>
      </c>
      <c r="P82" s="20">
        <f t="shared" si="36"/>
        <v>0</v>
      </c>
      <c r="Q82" s="5">
        <f t="shared" si="24"/>
        <v>4.3576567355599725</v>
      </c>
      <c r="R82" s="5">
        <f t="shared" si="37"/>
        <v>2.1810029393544998</v>
      </c>
      <c r="S82" s="5">
        <f t="shared" si="25"/>
        <v>0.18278224607142837</v>
      </c>
      <c r="T82" s="5">
        <f t="shared" si="26"/>
        <v>1.9660570667028718</v>
      </c>
      <c r="U82" s="5">
        <f t="shared" si="27"/>
        <v>37.613028454546367</v>
      </c>
      <c r="AB82" s="14"/>
      <c r="AD82" s="5">
        <f t="shared" si="28"/>
        <v>3.1500000000000004</v>
      </c>
      <c r="AE82" s="5">
        <f t="shared" si="29"/>
        <v>10.8333333333333</v>
      </c>
      <c r="AF82" s="5">
        <f t="shared" si="30"/>
        <v>3.6588553838729245</v>
      </c>
      <c r="AG82" s="5">
        <f t="shared" si="31"/>
        <v>2.6394091379090368</v>
      </c>
      <c r="AH82" s="5">
        <f t="shared" si="38"/>
        <v>0.50972312298194389</v>
      </c>
      <c r="AI82" s="5">
        <f t="shared" si="32"/>
        <v>3.6129065342539679E-2</v>
      </c>
      <c r="AJ82" s="5">
        <f t="shared" si="39"/>
        <v>5.5220004989710414E-2</v>
      </c>
      <c r="AK82" s="5">
        <f t="shared" si="40"/>
        <v>0.45450311799223347</v>
      </c>
      <c r="AL82" s="5">
        <f t="shared" si="33"/>
        <v>0.7569999999999999</v>
      </c>
      <c r="AM82" s="5">
        <v>16.7</v>
      </c>
    </row>
    <row r="83" spans="1:39" x14ac:dyDescent="0.2">
      <c r="A83" s="23">
        <v>45369</v>
      </c>
      <c r="B83" s="20">
        <v>26.1</v>
      </c>
      <c r="C83" s="20">
        <v>90.4</v>
      </c>
      <c r="D83" s="20">
        <v>1.1000000000000001</v>
      </c>
      <c r="E83" s="20">
        <v>27.5</v>
      </c>
      <c r="F83" s="20">
        <v>92.4583333333333</v>
      </c>
      <c r="G83" s="20">
        <v>3.24166666666666</v>
      </c>
      <c r="H83" s="20">
        <v>23.8</v>
      </c>
      <c r="I83" s="20">
        <v>78</v>
      </c>
      <c r="J83" s="20">
        <v>27.2</v>
      </c>
      <c r="K83" s="20">
        <v>0.16947083333333299</v>
      </c>
      <c r="L83" s="20">
        <f t="shared" si="34"/>
        <v>7.7956583333333176E-2</v>
      </c>
      <c r="M83" s="20"/>
      <c r="N83" s="5">
        <f t="shared" si="23"/>
        <v>4.9205185570586236</v>
      </c>
      <c r="O83" s="6">
        <f t="shared" si="35"/>
        <v>5.0312804691293822</v>
      </c>
      <c r="P83" s="20">
        <f t="shared" si="36"/>
        <v>0</v>
      </c>
      <c r="Q83" s="5">
        <f t="shared" si="24"/>
        <v>3.2434685369406155</v>
      </c>
      <c r="R83" s="5">
        <f t="shared" si="37"/>
        <v>1.623352834344417</v>
      </c>
      <c r="S83" s="5">
        <f t="shared" si="25"/>
        <v>6.1602163714285577E-2</v>
      </c>
      <c r="T83" s="5">
        <f t="shared" si="26"/>
        <v>1.0865601113285197</v>
      </c>
      <c r="U83" s="5">
        <f t="shared" si="27"/>
        <v>37.609387095702004</v>
      </c>
      <c r="AB83" s="14"/>
      <c r="AD83" s="5">
        <f t="shared" si="28"/>
        <v>1.8499999999999996</v>
      </c>
      <c r="AE83" s="5">
        <f t="shared" si="29"/>
        <v>7.2291666666666501</v>
      </c>
      <c r="AF83" s="5">
        <f t="shared" si="30"/>
        <v>2.9628710654047565</v>
      </c>
      <c r="AG83" s="5">
        <f t="shared" si="31"/>
        <v>2.4369634693671198</v>
      </c>
      <c r="AH83" s="5">
        <f t="shared" si="38"/>
        <v>0.26295379801881835</v>
      </c>
      <c r="AI83" s="5">
        <f t="shared" si="32"/>
        <v>1.8841289891054189E-2</v>
      </c>
      <c r="AJ83" s="5">
        <f t="shared" si="39"/>
        <v>1.9009368315110367E-2</v>
      </c>
      <c r="AK83" s="5">
        <f t="shared" si="40"/>
        <v>0.243944429703708</v>
      </c>
      <c r="AL83" s="5">
        <f t="shared" si="33"/>
        <v>0.74399999999999999</v>
      </c>
      <c r="AM83" s="5">
        <v>16.7</v>
      </c>
    </row>
    <row r="84" spans="1:39" x14ac:dyDescent="0.2">
      <c r="A84" s="23">
        <v>45370</v>
      </c>
      <c r="B84" s="20">
        <v>26.9</v>
      </c>
      <c r="C84" s="20">
        <v>85</v>
      </c>
      <c r="D84" s="20">
        <v>0.9</v>
      </c>
      <c r="E84" s="20">
        <v>31.6</v>
      </c>
      <c r="F84" s="20">
        <v>87.7916666666666</v>
      </c>
      <c r="G84" s="20">
        <v>3.26249999999999</v>
      </c>
      <c r="H84" s="20">
        <v>24.1</v>
      </c>
      <c r="I84" s="20">
        <v>64</v>
      </c>
      <c r="J84" s="20">
        <v>7.2</v>
      </c>
      <c r="K84" s="20">
        <v>0.51378750000000006</v>
      </c>
      <c r="L84" s="20">
        <f t="shared" si="34"/>
        <v>0.23634225000000003</v>
      </c>
      <c r="M84" s="20"/>
      <c r="N84" s="5">
        <f t="shared" si="23"/>
        <v>4.9205185570586236</v>
      </c>
      <c r="O84" s="6">
        <f t="shared" si="35"/>
        <v>5.0312804691293822</v>
      </c>
      <c r="P84" s="20">
        <f t="shared" si="36"/>
        <v>0</v>
      </c>
      <c r="Q84" s="5">
        <f t="shared" si="24"/>
        <v>4.7019982374483611</v>
      </c>
      <c r="R84" s="5">
        <f t="shared" si="37"/>
        <v>2.3533455246783554</v>
      </c>
      <c r="S84" s="5">
        <f t="shared" si="25"/>
        <v>0.18876846342857143</v>
      </c>
      <c r="T84" s="5">
        <f t="shared" si="26"/>
        <v>2.0420070073444681</v>
      </c>
      <c r="U84" s="5">
        <f t="shared" si="27"/>
        <v>37.613661734345392</v>
      </c>
      <c r="AB84" s="14"/>
      <c r="AD84" s="5">
        <f t="shared" si="28"/>
        <v>3.75</v>
      </c>
      <c r="AE84" s="5">
        <f t="shared" si="29"/>
        <v>11.8958333333333</v>
      </c>
      <c r="AF84" s="5">
        <f t="shared" si="30"/>
        <v>3.6588553838729245</v>
      </c>
      <c r="AG84" s="5">
        <f t="shared" si="31"/>
        <v>2.476330045344838</v>
      </c>
      <c r="AH84" s="5">
        <f t="shared" si="38"/>
        <v>0.59126266926404325</v>
      </c>
      <c r="AI84" s="5">
        <f t="shared" si="32"/>
        <v>4.1700200402263278E-2</v>
      </c>
      <c r="AJ84" s="5">
        <f t="shared" si="39"/>
        <v>7.0335621697868278E-2</v>
      </c>
      <c r="AK84" s="5">
        <f t="shared" si="40"/>
        <v>0.52092704756617492</v>
      </c>
      <c r="AL84" s="5">
        <f t="shared" si="33"/>
        <v>0.752</v>
      </c>
      <c r="AM84" s="5">
        <v>16.7</v>
      </c>
    </row>
    <row r="85" spans="1:39" x14ac:dyDescent="0.2">
      <c r="A85" s="23">
        <v>45371</v>
      </c>
      <c r="B85" s="20">
        <v>27.1</v>
      </c>
      <c r="C85" s="20">
        <v>86.9</v>
      </c>
      <c r="D85" s="20">
        <v>1.1000000000000001</v>
      </c>
      <c r="E85" s="20">
        <v>30.9</v>
      </c>
      <c r="F85" s="20">
        <v>89.375</v>
      </c>
      <c r="G85" s="20">
        <v>3.4208333333333298</v>
      </c>
      <c r="H85" s="20">
        <v>24.1</v>
      </c>
      <c r="I85" s="20">
        <v>70</v>
      </c>
      <c r="J85" s="20">
        <v>0.2</v>
      </c>
      <c r="K85" s="20">
        <v>0.39420833333333299</v>
      </c>
      <c r="L85" s="20">
        <f t="shared" si="34"/>
        <v>0.1813358333333332</v>
      </c>
      <c r="M85" s="20"/>
      <c r="N85" s="5">
        <f t="shared" si="23"/>
        <v>4.9205185570586236</v>
      </c>
      <c r="O85" s="6">
        <f t="shared" si="35"/>
        <v>5.0312804691293822</v>
      </c>
      <c r="P85" s="20">
        <f t="shared" si="36"/>
        <v>0</v>
      </c>
      <c r="Q85" s="5">
        <f t="shared" si="24"/>
        <v>4.4972300563336542</v>
      </c>
      <c r="R85" s="5">
        <f t="shared" si="37"/>
        <v>2.2508592500590074</v>
      </c>
      <c r="S85" s="5">
        <f t="shared" si="25"/>
        <v>0.14521959214285698</v>
      </c>
      <c r="T85" s="5">
        <f t="shared" si="26"/>
        <v>1.9579966144595948</v>
      </c>
      <c r="U85" s="5">
        <f t="shared" si="27"/>
        <v>37.61215769482272</v>
      </c>
      <c r="AB85" s="14"/>
      <c r="AD85" s="5">
        <f t="shared" si="28"/>
        <v>3.3999999999999986</v>
      </c>
      <c r="AE85" s="5">
        <f t="shared" si="29"/>
        <v>9.6875</v>
      </c>
      <c r="AF85" s="5">
        <f t="shared" si="30"/>
        <v>3.5308196083479828</v>
      </c>
      <c r="AG85" s="5">
        <f t="shared" si="31"/>
        <v>2.476330045344838</v>
      </c>
      <c r="AH85" s="5">
        <f t="shared" si="38"/>
        <v>0.52724478150157239</v>
      </c>
      <c r="AI85" s="5">
        <f t="shared" si="32"/>
        <v>3.729340722217455E-2</v>
      </c>
      <c r="AJ85" s="5">
        <f t="shared" si="39"/>
        <v>5.1076838207964832E-2</v>
      </c>
      <c r="AK85" s="5">
        <f t="shared" si="40"/>
        <v>0.47616794329360757</v>
      </c>
      <c r="AL85" s="5">
        <f t="shared" si="33"/>
        <v>0.754</v>
      </c>
      <c r="AM85" s="5">
        <v>16.7</v>
      </c>
    </row>
    <row r="86" spans="1:39" x14ac:dyDescent="0.2">
      <c r="A86" s="23">
        <v>45372</v>
      </c>
      <c r="B86" s="20">
        <v>26.5</v>
      </c>
      <c r="C86" s="20">
        <v>88.1</v>
      </c>
      <c r="D86" s="20">
        <v>1.1000000000000001</v>
      </c>
      <c r="E86" s="20">
        <v>29.9</v>
      </c>
      <c r="F86" s="20">
        <v>90.9166666666666</v>
      </c>
      <c r="G86" s="20">
        <v>3.1291666666666602</v>
      </c>
      <c r="H86" s="20">
        <v>23.6</v>
      </c>
      <c r="I86" s="20">
        <v>71</v>
      </c>
      <c r="J86" s="20">
        <v>32.799999999999997</v>
      </c>
      <c r="K86" s="20">
        <v>0.345799999999999</v>
      </c>
      <c r="L86" s="20">
        <f t="shared" si="34"/>
        <v>0.15906799999999954</v>
      </c>
      <c r="M86" s="20"/>
      <c r="N86" s="5">
        <f t="shared" si="23"/>
        <v>4.9205185570586236</v>
      </c>
      <c r="O86" s="6">
        <f t="shared" si="35"/>
        <v>5.0312804691293822</v>
      </c>
      <c r="P86" s="20">
        <f t="shared" si="36"/>
        <v>0</v>
      </c>
      <c r="Q86" s="5">
        <f t="shared" si="24"/>
        <v>4.2708892341882025</v>
      </c>
      <c r="R86" s="5">
        <f t="shared" si="37"/>
        <v>2.1375758896770867</v>
      </c>
      <c r="S86" s="5">
        <f t="shared" si="25"/>
        <v>0.12637310399999963</v>
      </c>
      <c r="T86" s="5">
        <f t="shared" si="26"/>
        <v>1.6971997703212842</v>
      </c>
      <c r="U86" s="5">
        <f t="shared" si="27"/>
        <v>37.611207775124186</v>
      </c>
      <c r="AB86" s="14"/>
      <c r="AD86" s="5">
        <f t="shared" si="28"/>
        <v>3.1499999999999986</v>
      </c>
      <c r="AE86" s="5">
        <f t="shared" si="29"/>
        <v>9.9583333333333002</v>
      </c>
      <c r="AF86" s="5">
        <f t="shared" si="30"/>
        <v>3.3546871735039403</v>
      </c>
      <c r="AG86" s="5">
        <f t="shared" si="31"/>
        <v>2.4110240005403845</v>
      </c>
      <c r="AH86" s="5">
        <f t="shared" si="38"/>
        <v>0.47183158648177792</v>
      </c>
      <c r="AI86" s="5">
        <f t="shared" si="32"/>
        <v>3.3443321383868574E-2</v>
      </c>
      <c r="AJ86" s="5">
        <f t="shared" si="39"/>
        <v>4.6986562153810231E-2</v>
      </c>
      <c r="AK86" s="5">
        <f t="shared" si="40"/>
        <v>0.42484502432796767</v>
      </c>
      <c r="AL86" s="5">
        <f t="shared" si="33"/>
        <v>0.748</v>
      </c>
      <c r="AM86" s="5">
        <v>16.7</v>
      </c>
    </row>
    <row r="87" spans="1:39" x14ac:dyDescent="0.2">
      <c r="A87" s="23">
        <v>45373</v>
      </c>
      <c r="B87" s="20">
        <v>27.9</v>
      </c>
      <c r="C87" s="20">
        <v>83.3</v>
      </c>
      <c r="D87" s="20">
        <v>1.5</v>
      </c>
      <c r="E87" s="20">
        <v>34.1</v>
      </c>
      <c r="F87" s="20">
        <v>86.1666666666666</v>
      </c>
      <c r="G87" s="20">
        <v>3.9624999999999999</v>
      </c>
      <c r="H87" s="20">
        <v>25.2</v>
      </c>
      <c r="I87" s="20">
        <v>61</v>
      </c>
      <c r="J87" s="20">
        <v>1</v>
      </c>
      <c r="K87" s="20">
        <v>0.70269166666666605</v>
      </c>
      <c r="L87" s="20">
        <f t="shared" si="34"/>
        <v>0.32323816666666638</v>
      </c>
      <c r="M87" s="20"/>
      <c r="N87" s="5">
        <f t="shared" si="23"/>
        <v>4.9205185570586236</v>
      </c>
      <c r="O87" s="6">
        <f t="shared" si="35"/>
        <v>5.0312804691293822</v>
      </c>
      <c r="P87" s="20">
        <f t="shared" si="36"/>
        <v>0</v>
      </c>
      <c r="Q87" s="5">
        <f t="shared" si="24"/>
        <v>5.2366736630960791</v>
      </c>
      <c r="R87" s="5">
        <f t="shared" si="37"/>
        <v>2.6209500529153504</v>
      </c>
      <c r="S87" s="5">
        <f t="shared" si="25"/>
        <v>0.2616060844285712</v>
      </c>
      <c r="T87" s="5">
        <f t="shared" si="26"/>
        <v>2.7521408300100081</v>
      </c>
      <c r="U87" s="5">
        <f t="shared" si="27"/>
        <v>37.615007453918302</v>
      </c>
      <c r="AB87" s="14"/>
      <c r="AD87" s="5">
        <f t="shared" si="28"/>
        <v>4.4500000000000011</v>
      </c>
      <c r="AE87" s="5">
        <f t="shared" si="29"/>
        <v>12.5833333333333</v>
      </c>
      <c r="AF87" s="5">
        <f t="shared" si="30"/>
        <v>4.1497228216209656</v>
      </c>
      <c r="AG87" s="5">
        <f t="shared" si="31"/>
        <v>2.625469874340034</v>
      </c>
      <c r="AH87" s="5">
        <f t="shared" si="38"/>
        <v>0.76212647364046582</v>
      </c>
      <c r="AI87" s="5">
        <f t="shared" si="32"/>
        <v>5.3439949163831525E-2</v>
      </c>
      <c r="AJ87" s="5">
        <f t="shared" si="39"/>
        <v>9.5900914599758358E-2</v>
      </c>
      <c r="AK87" s="5">
        <f t="shared" si="40"/>
        <v>0.66622555904070746</v>
      </c>
      <c r="AL87" s="5">
        <f t="shared" si="33"/>
        <v>0.76200000000000001</v>
      </c>
      <c r="AM87" s="5">
        <v>16.7</v>
      </c>
    </row>
    <row r="88" spans="1:39" x14ac:dyDescent="0.2">
      <c r="A88" s="23">
        <v>45374</v>
      </c>
      <c r="B88" s="20">
        <v>27.7</v>
      </c>
      <c r="C88" s="20">
        <v>83.7</v>
      </c>
      <c r="D88" s="20">
        <v>1.4</v>
      </c>
      <c r="E88" s="20">
        <v>34.200000000000003</v>
      </c>
      <c r="F88" s="20">
        <v>85.9583333333333</v>
      </c>
      <c r="G88" s="20">
        <v>3.8333333333333299</v>
      </c>
      <c r="H88" s="20">
        <v>25.6</v>
      </c>
      <c r="I88" s="20">
        <v>58</v>
      </c>
      <c r="J88" s="20">
        <v>1.8</v>
      </c>
      <c r="K88" s="20">
        <v>0.54826249999999899</v>
      </c>
      <c r="L88" s="20">
        <f t="shared" si="34"/>
        <v>0.25220074999999953</v>
      </c>
      <c r="M88" s="20"/>
      <c r="N88" s="5">
        <f t="shared" si="23"/>
        <v>4.9205185570586236</v>
      </c>
      <c r="O88" s="6">
        <f t="shared" si="35"/>
        <v>5.0312804691293822</v>
      </c>
      <c r="P88" s="20">
        <f t="shared" si="36"/>
        <v>0</v>
      </c>
      <c r="Q88" s="5">
        <f t="shared" si="24"/>
        <v>5.1251305145932617</v>
      </c>
      <c r="R88" s="5">
        <f t="shared" si="37"/>
        <v>2.5651228160510318</v>
      </c>
      <c r="S88" s="5">
        <f t="shared" si="25"/>
        <v>0.20357769857142818</v>
      </c>
      <c r="T88" s="5">
        <f t="shared" si="26"/>
        <v>2.5993021358440522</v>
      </c>
      <c r="U88" s="5">
        <f t="shared" si="27"/>
        <v>37.614690814018793</v>
      </c>
      <c r="AB88" s="14"/>
      <c r="AD88" s="5">
        <f t="shared" si="28"/>
        <v>4.3000000000000007</v>
      </c>
      <c r="AE88" s="5">
        <f t="shared" si="29"/>
        <v>13.97916666666665</v>
      </c>
      <c r="AF88" s="5">
        <f t="shared" si="30"/>
        <v>4.1704944896016816</v>
      </c>
      <c r="AG88" s="5">
        <f t="shared" si="31"/>
        <v>2.6816155357966691</v>
      </c>
      <c r="AH88" s="5">
        <f t="shared" si="38"/>
        <v>0.74443947690250623</v>
      </c>
      <c r="AI88" s="5">
        <f t="shared" si="32"/>
        <v>5.2264582973787985E-2</v>
      </c>
      <c r="AJ88" s="5">
        <f t="shared" si="39"/>
        <v>0.10406643520866271</v>
      </c>
      <c r="AK88" s="5">
        <f t="shared" si="40"/>
        <v>0.64037304169384357</v>
      </c>
      <c r="AL88" s="5">
        <f t="shared" si="33"/>
        <v>0.76</v>
      </c>
      <c r="AM88" s="5">
        <v>16.7</v>
      </c>
    </row>
    <row r="89" spans="1:39" x14ac:dyDescent="0.2">
      <c r="A89" s="23">
        <v>45375</v>
      </c>
      <c r="B89" s="20">
        <v>25.3</v>
      </c>
      <c r="C89" s="20">
        <v>92.5</v>
      </c>
      <c r="D89" s="20">
        <v>1.2</v>
      </c>
      <c r="E89" s="20">
        <v>28.1</v>
      </c>
      <c r="F89" s="20">
        <v>93.125</v>
      </c>
      <c r="G89" s="20">
        <v>3.9083333333333301</v>
      </c>
      <c r="H89" s="20">
        <v>25.8</v>
      </c>
      <c r="I89" s="20">
        <v>82</v>
      </c>
      <c r="J89" s="20">
        <v>3</v>
      </c>
      <c r="K89" s="20">
        <v>9.9641666666666601E-2</v>
      </c>
      <c r="L89" s="20">
        <f t="shared" si="34"/>
        <v>4.5835166666666635E-2</v>
      </c>
      <c r="M89" s="20"/>
      <c r="N89" s="5">
        <f t="shared" si="23"/>
        <v>4.9205185570586236</v>
      </c>
      <c r="O89" s="6">
        <f t="shared" si="35"/>
        <v>5.0312804691293822</v>
      </c>
      <c r="P89" s="20">
        <f t="shared" si="36"/>
        <v>0</v>
      </c>
      <c r="Q89" s="5">
        <f t="shared" si="24"/>
        <v>2.510646078847893</v>
      </c>
      <c r="R89" s="5">
        <f t="shared" si="37"/>
        <v>1.2565759099293661</v>
      </c>
      <c r="S89" s="5">
        <f t="shared" si="25"/>
        <v>3.5830004571428549E-2</v>
      </c>
      <c r="T89" s="5">
        <f t="shared" si="26"/>
        <v>0.83440610232986889</v>
      </c>
      <c r="U89" s="5">
        <f t="shared" si="27"/>
        <v>37.607724736229578</v>
      </c>
      <c r="AB89" s="14"/>
      <c r="AD89" s="5">
        <f t="shared" si="28"/>
        <v>1.1500000000000004</v>
      </c>
      <c r="AE89" s="5">
        <f t="shared" si="29"/>
        <v>5.5625</v>
      </c>
      <c r="AF89" s="5">
        <f t="shared" si="30"/>
        <v>3.056877988425549</v>
      </c>
      <c r="AG89" s="5">
        <f t="shared" si="31"/>
        <v>2.7100795102915933</v>
      </c>
      <c r="AH89" s="5">
        <f t="shared" si="38"/>
        <v>0.17339923906697785</v>
      </c>
      <c r="AI89" s="5">
        <f t="shared" si="32"/>
        <v>1.2497538630222245E-2</v>
      </c>
      <c r="AJ89" s="5">
        <f t="shared" si="39"/>
        <v>9.6453326731006424E-3</v>
      </c>
      <c r="AK89" s="5">
        <f t="shared" si="40"/>
        <v>0.16375390639387721</v>
      </c>
      <c r="AL89" s="5">
        <f t="shared" si="33"/>
        <v>0.73599999999999999</v>
      </c>
      <c r="AM89" s="5">
        <v>16.7</v>
      </c>
    </row>
    <row r="90" spans="1:39" x14ac:dyDescent="0.2">
      <c r="A90" s="23">
        <v>45376</v>
      </c>
      <c r="B90" s="20">
        <v>25.4</v>
      </c>
      <c r="C90" s="20">
        <v>88.1</v>
      </c>
      <c r="D90" s="20">
        <v>1.1000000000000001</v>
      </c>
      <c r="E90" s="20">
        <v>30.5</v>
      </c>
      <c r="F90" s="20">
        <v>90.75</v>
      </c>
      <c r="G90" s="20">
        <v>3.1124999999999998</v>
      </c>
      <c r="H90" s="20">
        <v>22.4</v>
      </c>
      <c r="I90" s="20">
        <v>64</v>
      </c>
      <c r="J90" s="20">
        <v>94.8</v>
      </c>
      <c r="K90" s="20">
        <v>0.476333333333333</v>
      </c>
      <c r="L90" s="20">
        <f t="shared" si="34"/>
        <v>0.21911333333333319</v>
      </c>
      <c r="M90" s="20"/>
      <c r="N90" s="5">
        <f t="shared" si="23"/>
        <v>4.9205185570586236</v>
      </c>
      <c r="O90" s="6">
        <f t="shared" si="35"/>
        <v>5.0312804691293822</v>
      </c>
      <c r="P90" s="20">
        <f t="shared" si="36"/>
        <v>0</v>
      </c>
      <c r="Q90" s="5">
        <f t="shared" si="24"/>
        <v>4.7224847419643821</v>
      </c>
      <c r="R90" s="5">
        <f t="shared" si="37"/>
        <v>2.3635990001763054</v>
      </c>
      <c r="S90" s="5">
        <f t="shared" si="25"/>
        <v>0.17151674571428557</v>
      </c>
      <c r="T90" s="5">
        <f t="shared" si="26"/>
        <v>1.9703323479928609</v>
      </c>
      <c r="U90" s="5">
        <f t="shared" si="27"/>
        <v>37.611207775124186</v>
      </c>
      <c r="AB90" s="14"/>
      <c r="AD90" s="5">
        <f t="shared" si="28"/>
        <v>4.0500000000000007</v>
      </c>
      <c r="AE90" s="5">
        <f t="shared" si="29"/>
        <v>13.375</v>
      </c>
      <c r="AF90" s="5">
        <f t="shared" si="30"/>
        <v>3.4594231358551255</v>
      </c>
      <c r="AG90" s="5">
        <f t="shared" si="31"/>
        <v>2.2603963576376671</v>
      </c>
      <c r="AH90" s="5">
        <f t="shared" si="38"/>
        <v>0.5995133891087292</v>
      </c>
      <c r="AI90" s="5">
        <f t="shared" si="32"/>
        <v>4.2177053304627184E-2</v>
      </c>
      <c r="AJ90" s="5">
        <f t="shared" si="39"/>
        <v>8.0184915793292538E-2</v>
      </c>
      <c r="AK90" s="5">
        <f t="shared" si="40"/>
        <v>0.51932847331543663</v>
      </c>
      <c r="AL90" s="5">
        <f t="shared" si="33"/>
        <v>0.73699999999999999</v>
      </c>
      <c r="AM90" s="5">
        <v>16.7</v>
      </c>
    </row>
    <row r="91" spans="1:39" x14ac:dyDescent="0.2">
      <c r="A91" s="23">
        <v>45377</v>
      </c>
      <c r="B91" s="20">
        <v>28.2</v>
      </c>
      <c r="C91" s="20">
        <v>79.2</v>
      </c>
      <c r="D91" s="20">
        <v>1.5</v>
      </c>
      <c r="E91" s="20">
        <v>32.799999999999997</v>
      </c>
      <c r="F91" s="20">
        <v>83.1458333333333</v>
      </c>
      <c r="G91" s="20">
        <v>3.46458333333333</v>
      </c>
      <c r="H91" s="20">
        <v>24</v>
      </c>
      <c r="I91" s="20">
        <v>59</v>
      </c>
      <c r="J91" s="20">
        <v>11.2</v>
      </c>
      <c r="K91" s="20">
        <v>0.73322291666666606</v>
      </c>
      <c r="L91" s="20">
        <f t="shared" si="34"/>
        <v>0.33728254166666638</v>
      </c>
      <c r="M91" s="20"/>
      <c r="N91" s="5">
        <f t="shared" si="23"/>
        <v>4.9205185570586236</v>
      </c>
      <c r="O91" s="6">
        <f t="shared" si="35"/>
        <v>5.0312804691293822</v>
      </c>
      <c r="P91" s="20">
        <f t="shared" si="36"/>
        <v>0</v>
      </c>
      <c r="Q91" s="5">
        <f t="shared" si="24"/>
        <v>5.2413537835639366</v>
      </c>
      <c r="R91" s="5">
        <f t="shared" si="37"/>
        <v>2.62329244863772</v>
      </c>
      <c r="S91" s="5">
        <f t="shared" si="25"/>
        <v>0.27404730241071401</v>
      </c>
      <c r="T91" s="5">
        <f t="shared" si="26"/>
        <v>2.4453976384371723</v>
      </c>
      <c r="U91" s="5">
        <f t="shared" si="27"/>
        <v>37.618253012888282</v>
      </c>
      <c r="AB91" s="14"/>
      <c r="AD91" s="5">
        <f t="shared" si="28"/>
        <v>4.3999999999999986</v>
      </c>
      <c r="AE91" s="5">
        <f t="shared" si="29"/>
        <v>12.07291666666665</v>
      </c>
      <c r="AF91" s="5">
        <f t="shared" si="30"/>
        <v>3.8877662493760701</v>
      </c>
      <c r="AG91" s="5">
        <f t="shared" si="31"/>
        <v>2.4631465486296187</v>
      </c>
      <c r="AH91" s="5">
        <f t="shared" si="38"/>
        <v>0.71230985037322569</v>
      </c>
      <c r="AI91" s="5">
        <f t="shared" si="32"/>
        <v>4.9967497958784884E-2</v>
      </c>
      <c r="AJ91" s="5">
        <f t="shared" si="39"/>
        <v>8.5996574644017443E-2</v>
      </c>
      <c r="AK91" s="5">
        <f t="shared" si="40"/>
        <v>0.62631327572920825</v>
      </c>
      <c r="AL91" s="5">
        <f t="shared" si="33"/>
        <v>0.7649999999999999</v>
      </c>
      <c r="AM91" s="5">
        <v>16.7</v>
      </c>
    </row>
    <row r="92" spans="1:39" x14ac:dyDescent="0.2">
      <c r="A92" s="23">
        <v>45378</v>
      </c>
      <c r="B92" s="20">
        <v>29.6</v>
      </c>
      <c r="C92" s="20">
        <v>76</v>
      </c>
      <c r="D92" s="20">
        <v>1.9</v>
      </c>
      <c r="E92" s="20">
        <v>32.9</v>
      </c>
      <c r="F92" s="20">
        <v>77.625</v>
      </c>
      <c r="G92" s="20">
        <v>4.3958333333333304</v>
      </c>
      <c r="H92" s="20">
        <v>27.3</v>
      </c>
      <c r="I92" s="20">
        <v>62</v>
      </c>
      <c r="J92" s="20">
        <v>0</v>
      </c>
      <c r="K92" s="20">
        <v>0.68853750000000002</v>
      </c>
      <c r="L92" s="20">
        <f t="shared" si="34"/>
        <v>0.31672725000000002</v>
      </c>
      <c r="M92" s="20"/>
      <c r="N92" s="5">
        <f t="shared" si="23"/>
        <v>4.9205185570586236</v>
      </c>
      <c r="O92" s="6">
        <f t="shared" si="35"/>
        <v>5.0312804691293822</v>
      </c>
      <c r="P92" s="20">
        <f t="shared" si="36"/>
        <v>0</v>
      </c>
      <c r="Q92" s="5">
        <f t="shared" si="24"/>
        <v>4.3084063999295141</v>
      </c>
      <c r="R92" s="5">
        <f t="shared" si="37"/>
        <v>2.1563531944818299</v>
      </c>
      <c r="S92" s="5">
        <f t="shared" si="25"/>
        <v>0.26205540524999998</v>
      </c>
      <c r="T92" s="5">
        <f t="shared" si="26"/>
        <v>2.1661212104317196</v>
      </c>
      <c r="U92" s="5">
        <f t="shared" si="27"/>
        <v>37.620786132084362</v>
      </c>
      <c r="AB92" s="14"/>
      <c r="AD92" s="5">
        <f t="shared" si="28"/>
        <v>2.7999999999999989</v>
      </c>
      <c r="AE92" s="5">
        <f t="shared" si="29"/>
        <v>7.8125</v>
      </c>
      <c r="AF92" s="5">
        <f t="shared" si="30"/>
        <v>3.9073927164751923</v>
      </c>
      <c r="AG92" s="5">
        <f t="shared" si="31"/>
        <v>2.9321010589616519</v>
      </c>
      <c r="AH92" s="5">
        <f t="shared" si="38"/>
        <v>0.48764582875677021</v>
      </c>
      <c r="AI92" s="5">
        <f t="shared" si="32"/>
        <v>3.4665075277450927E-2</v>
      </c>
      <c r="AJ92" s="5">
        <f t="shared" si="39"/>
        <v>3.8097330371622669E-2</v>
      </c>
      <c r="AK92" s="5">
        <f t="shared" si="40"/>
        <v>0.44954849838514754</v>
      </c>
      <c r="AL92" s="5">
        <f t="shared" si="33"/>
        <v>0.77900000000000003</v>
      </c>
      <c r="AM92" s="5">
        <v>16.7</v>
      </c>
    </row>
    <row r="93" spans="1:39" x14ac:dyDescent="0.2">
      <c r="A93" s="23">
        <v>45379</v>
      </c>
      <c r="B93" s="20">
        <v>25.2</v>
      </c>
      <c r="C93" s="20">
        <v>87.8</v>
      </c>
      <c r="D93" s="20">
        <v>1.6</v>
      </c>
      <c r="E93" s="20">
        <v>30.7</v>
      </c>
      <c r="F93" s="20">
        <v>89.4166666666666</v>
      </c>
      <c r="G93" s="20">
        <v>5.0666666666666602</v>
      </c>
      <c r="H93" s="20">
        <v>23.5</v>
      </c>
      <c r="I93" s="20">
        <v>71</v>
      </c>
      <c r="J93" s="20">
        <v>39.200000000000003</v>
      </c>
      <c r="K93" s="20">
        <v>0.32919999999999999</v>
      </c>
      <c r="L93" s="20">
        <f t="shared" si="34"/>
        <v>0.15143200000000001</v>
      </c>
      <c r="M93" s="20"/>
      <c r="N93" s="5">
        <f t="shared" si="23"/>
        <v>4.9205185570586236</v>
      </c>
      <c r="O93" s="6">
        <f t="shared" si="35"/>
        <v>5.0312804691293822</v>
      </c>
      <c r="P93" s="20">
        <f t="shared" si="36"/>
        <v>0</v>
      </c>
      <c r="Q93" s="5">
        <f t="shared" si="24"/>
        <v>4.4317883444135733</v>
      </c>
      <c r="R93" s="5">
        <f t="shared" si="37"/>
        <v>2.2181057371699877</v>
      </c>
      <c r="S93" s="5">
        <f t="shared" si="25"/>
        <v>0.11821571999999998</v>
      </c>
      <c r="T93" s="5">
        <f t="shared" si="26"/>
        <v>2.4830725221690879</v>
      </c>
      <c r="U93" s="5">
        <f t="shared" si="27"/>
        <v>37.611445255048821</v>
      </c>
      <c r="AB93" s="14"/>
      <c r="AD93" s="5">
        <f t="shared" si="28"/>
        <v>3.5999999999999996</v>
      </c>
      <c r="AE93" s="5">
        <f t="shared" si="29"/>
        <v>9.2083333333333002</v>
      </c>
      <c r="AF93" s="5">
        <f t="shared" si="30"/>
        <v>3.4949625465735186</v>
      </c>
      <c r="AG93" s="5">
        <f t="shared" si="31"/>
        <v>2.3981450197180743</v>
      </c>
      <c r="AH93" s="5">
        <f t="shared" si="38"/>
        <v>0.54840876342772216</v>
      </c>
      <c r="AI93" s="5">
        <f t="shared" si="32"/>
        <v>3.8726008830639168E-2</v>
      </c>
      <c r="AJ93" s="5">
        <f t="shared" si="39"/>
        <v>5.0499306965635898E-2</v>
      </c>
      <c r="AK93" s="5">
        <f t="shared" si="40"/>
        <v>0.49790945646208629</v>
      </c>
      <c r="AL93" s="5">
        <f t="shared" si="33"/>
        <v>0.73499999999999999</v>
      </c>
      <c r="AM93" s="5">
        <v>16.7</v>
      </c>
    </row>
    <row r="94" spans="1:39" x14ac:dyDescent="0.2">
      <c r="A94" s="23">
        <v>45380</v>
      </c>
      <c r="B94" s="20">
        <v>25.5</v>
      </c>
      <c r="C94" s="20">
        <v>86.7</v>
      </c>
      <c r="D94" s="20">
        <v>1.2</v>
      </c>
      <c r="E94" s="20">
        <v>28.7</v>
      </c>
      <c r="F94" s="20">
        <v>88.6666666666666</v>
      </c>
      <c r="G94" s="20">
        <v>3.17916666666666</v>
      </c>
      <c r="H94" s="20">
        <v>23</v>
      </c>
      <c r="I94" s="20">
        <v>74</v>
      </c>
      <c r="J94" s="20">
        <v>0</v>
      </c>
      <c r="K94" s="20">
        <v>0.26426666666666604</v>
      </c>
      <c r="L94" s="20">
        <f t="shared" si="34"/>
        <v>0.12156266666666639</v>
      </c>
      <c r="M94" s="20"/>
      <c r="N94" s="5">
        <f t="shared" si="23"/>
        <v>4.9205185570586236</v>
      </c>
      <c r="O94" s="6">
        <f t="shared" si="35"/>
        <v>5.0312804691293822</v>
      </c>
      <c r="P94" s="20">
        <f t="shared" si="36"/>
        <v>0</v>
      </c>
      <c r="Q94" s="5">
        <f t="shared" si="24"/>
        <v>3.9707233645812319</v>
      </c>
      <c r="R94" s="5">
        <f t="shared" si="37"/>
        <v>1.9873431651569495</v>
      </c>
      <c r="S94" s="5">
        <f t="shared" si="25"/>
        <v>9.5285499428571188E-2</v>
      </c>
      <c r="T94" s="5">
        <f t="shared" si="26"/>
        <v>1.5662623995386642</v>
      </c>
      <c r="U94" s="5">
        <f t="shared" si="27"/>
        <v>37.612316014772468</v>
      </c>
      <c r="AB94" s="14"/>
      <c r="AD94" s="5">
        <f t="shared" si="28"/>
        <v>2.8499999999999996</v>
      </c>
      <c r="AE94" s="5">
        <f t="shared" si="29"/>
        <v>7.3333333333333002</v>
      </c>
      <c r="AF94" s="5">
        <f t="shared" si="30"/>
        <v>3.1534761781486544</v>
      </c>
      <c r="AG94" s="5">
        <f t="shared" si="31"/>
        <v>2.3346481219405364</v>
      </c>
      <c r="AH94" s="5">
        <f t="shared" si="38"/>
        <v>0.40941402810405902</v>
      </c>
      <c r="AI94" s="5">
        <f t="shared" si="32"/>
        <v>2.9091726186131827E-2</v>
      </c>
      <c r="AJ94" s="5">
        <f t="shared" si="39"/>
        <v>3.0023695394297528E-2</v>
      </c>
      <c r="AK94" s="5">
        <f t="shared" si="40"/>
        <v>0.37939033270976152</v>
      </c>
      <c r="AL94" s="5">
        <f t="shared" si="33"/>
        <v>0.73799999999999999</v>
      </c>
      <c r="AM94" s="5">
        <v>16.7</v>
      </c>
    </row>
    <row r="95" spans="1:39" x14ac:dyDescent="0.2">
      <c r="A95" s="23">
        <v>45381</v>
      </c>
      <c r="B95" s="20">
        <v>29.1</v>
      </c>
      <c r="C95" s="20">
        <v>76.8</v>
      </c>
      <c r="D95" s="20">
        <v>1.6</v>
      </c>
      <c r="E95" s="20">
        <v>34.4</v>
      </c>
      <c r="F95" s="20">
        <v>79.8333333333333</v>
      </c>
      <c r="G95" s="20">
        <v>4.0625</v>
      </c>
      <c r="H95" s="20">
        <v>24.1</v>
      </c>
      <c r="I95" s="20">
        <v>53</v>
      </c>
      <c r="J95" s="20">
        <v>0</v>
      </c>
      <c r="K95" s="20">
        <v>0.790333333333333</v>
      </c>
      <c r="L95" s="20">
        <f t="shared" si="34"/>
        <v>0.36355333333333317</v>
      </c>
      <c r="M95" s="20"/>
      <c r="N95" s="5">
        <f t="shared" si="23"/>
        <v>4.9205185570586236</v>
      </c>
      <c r="O95" s="6">
        <f t="shared" si="35"/>
        <v>5.0312804691293822</v>
      </c>
      <c r="P95" s="20">
        <f t="shared" si="36"/>
        <v>0</v>
      </c>
      <c r="Q95" s="5">
        <f t="shared" si="24"/>
        <v>5.7814365302251911</v>
      </c>
      <c r="R95" s="5">
        <f t="shared" si="37"/>
        <v>2.8936033357598285</v>
      </c>
      <c r="S95" s="5">
        <f t="shared" si="25"/>
        <v>0.29886793714285698</v>
      </c>
      <c r="T95" s="5">
        <f t="shared" si="26"/>
        <v>3.0442255500761779</v>
      </c>
      <c r="U95" s="5">
        <f t="shared" si="27"/>
        <v>37.620152852285344</v>
      </c>
      <c r="AB95" s="14"/>
      <c r="AD95" s="5">
        <f t="shared" si="28"/>
        <v>5.1499999999999986</v>
      </c>
      <c r="AE95" s="5">
        <f t="shared" si="29"/>
        <v>13.41666666666665</v>
      </c>
      <c r="AF95" s="5">
        <f t="shared" si="30"/>
        <v>4.2123092549600285</v>
      </c>
      <c r="AG95" s="5">
        <f t="shared" si="31"/>
        <v>2.476330045344838</v>
      </c>
      <c r="AH95" s="5">
        <f t="shared" si="38"/>
        <v>0.86798960480759524</v>
      </c>
      <c r="AI95" s="5">
        <f t="shared" si="32"/>
        <v>6.0512082767196045E-2</v>
      </c>
      <c r="AJ95" s="5">
        <f t="shared" si="39"/>
        <v>0.11645527197835222</v>
      </c>
      <c r="AK95" s="5">
        <f t="shared" si="40"/>
        <v>0.75153433282924298</v>
      </c>
      <c r="AL95" s="5">
        <f t="shared" si="33"/>
        <v>0.77400000000000002</v>
      </c>
      <c r="AM95" s="5">
        <v>16.7</v>
      </c>
    </row>
    <row r="96" spans="1:39" x14ac:dyDescent="0.2">
      <c r="A96" s="23">
        <v>45382</v>
      </c>
      <c r="B96" s="20">
        <v>29.6</v>
      </c>
      <c r="C96" s="20">
        <v>75.7</v>
      </c>
      <c r="D96" s="20">
        <v>1.5</v>
      </c>
      <c r="E96" s="20">
        <v>34.299999999999997</v>
      </c>
      <c r="F96" s="20">
        <v>78</v>
      </c>
      <c r="G96" s="20">
        <v>4.24166666666666</v>
      </c>
      <c r="H96" s="20">
        <v>26.5</v>
      </c>
      <c r="I96" s="20">
        <v>53</v>
      </c>
      <c r="J96" s="20">
        <v>0</v>
      </c>
      <c r="K96" s="20">
        <v>0.73079583333333298</v>
      </c>
      <c r="L96" s="20">
        <f t="shared" si="34"/>
        <v>0.3361660833333332</v>
      </c>
      <c r="M96" s="20"/>
      <c r="N96" s="5">
        <f t="shared" si="23"/>
        <v>4.9205185570586236</v>
      </c>
      <c r="O96" s="6">
        <f t="shared" si="35"/>
        <v>5.0312804691293822</v>
      </c>
      <c r="P96" s="20">
        <f t="shared" si="36"/>
        <v>0</v>
      </c>
      <c r="Q96" s="5">
        <f t="shared" si="24"/>
        <v>5.0847540415694432</v>
      </c>
      <c r="R96" s="5">
        <f t="shared" si="37"/>
        <v>2.5449144307445195</v>
      </c>
      <c r="S96" s="5">
        <f t="shared" si="25"/>
        <v>0.27813880617857129</v>
      </c>
      <c r="T96" s="5">
        <f t="shared" si="26"/>
        <v>2.6574522236914135</v>
      </c>
      <c r="U96" s="5">
        <f t="shared" si="27"/>
        <v>37.62102361200899</v>
      </c>
      <c r="AB96" s="14"/>
      <c r="AD96" s="5">
        <f t="shared" si="28"/>
        <v>3.8999999999999986</v>
      </c>
      <c r="AE96" s="5">
        <f t="shared" si="29"/>
        <v>12.5</v>
      </c>
      <c r="AF96" s="5">
        <f t="shared" si="30"/>
        <v>4.1913565241884791</v>
      </c>
      <c r="AG96" s="5">
        <f t="shared" si="31"/>
        <v>2.8117918743392765</v>
      </c>
      <c r="AH96" s="5">
        <f t="shared" si="38"/>
        <v>0.68978232492460134</v>
      </c>
      <c r="AI96" s="5">
        <f t="shared" si="32"/>
        <v>4.8588043192361437E-2</v>
      </c>
      <c r="AJ96" s="5">
        <f t="shared" si="39"/>
        <v>8.6222790615575168E-2</v>
      </c>
      <c r="AK96" s="5">
        <f t="shared" si="40"/>
        <v>0.6035595343090262</v>
      </c>
      <c r="AL96" s="5">
        <f t="shared" si="33"/>
        <v>0.77900000000000003</v>
      </c>
      <c r="AM96" s="5">
        <v>16.7</v>
      </c>
    </row>
    <row r="97" spans="1:39" x14ac:dyDescent="0.2">
      <c r="A97" s="23">
        <v>45383</v>
      </c>
      <c r="B97" s="20">
        <v>28.6</v>
      </c>
      <c r="C97" s="20">
        <v>80.2</v>
      </c>
      <c r="D97" s="20">
        <v>1</v>
      </c>
      <c r="E97" s="20">
        <v>32.9</v>
      </c>
      <c r="F97" s="20">
        <v>83.4583333333333</v>
      </c>
      <c r="G97" s="20">
        <v>3.3624999999999998</v>
      </c>
      <c r="H97" s="20">
        <v>24.6</v>
      </c>
      <c r="I97" s="20">
        <v>61</v>
      </c>
      <c r="J97" s="20">
        <v>0.4</v>
      </c>
      <c r="K97" s="20">
        <v>0.55413333333333303</v>
      </c>
      <c r="L97" s="20">
        <f t="shared" si="34"/>
        <v>0.2549013333333332</v>
      </c>
      <c r="M97" s="20"/>
      <c r="N97" s="5">
        <f>IF(0&lt;$X$9&lt;26.5,16*(((10*$X$9)/$Z$6)^$Z$6)/30,((-415.85)+(32.24*$X$9)-(0.43*$X$9^2))/30)</f>
        <v>4.9357673962963018</v>
      </c>
      <c r="O97" s="6">
        <f t="shared" si="35"/>
        <v>5.0312804691293822</v>
      </c>
      <c r="P97" s="20">
        <f t="shared" si="36"/>
        <v>0</v>
      </c>
      <c r="Q97" s="5">
        <f t="shared" si="24"/>
        <v>5.1345375454134912</v>
      </c>
      <c r="R97" s="5">
        <f t="shared" si="37"/>
        <v>2.5698310257872636</v>
      </c>
      <c r="S97" s="5">
        <f t="shared" si="25"/>
        <v>0.20819422628571416</v>
      </c>
      <c r="T97" s="5">
        <f t="shared" si="26"/>
        <v>2.3327824182171915</v>
      </c>
      <c r="U97" s="5">
        <f t="shared" si="27"/>
        <v>37.617461413139509</v>
      </c>
      <c r="AB97" s="14"/>
      <c r="AD97" s="5">
        <f t="shared" si="28"/>
        <v>4.1499999999999986</v>
      </c>
      <c r="AE97" s="5">
        <f t="shared" si="29"/>
        <v>11.22916666666665</v>
      </c>
      <c r="AF97" s="5">
        <f t="shared" si="30"/>
        <v>3.9073927164751923</v>
      </c>
      <c r="AG97" s="5">
        <f t="shared" si="31"/>
        <v>2.5431768268137356</v>
      </c>
      <c r="AH97" s="5">
        <f t="shared" si="38"/>
        <v>0.68210794483072834</v>
      </c>
      <c r="AI97" s="5">
        <f t="shared" si="32"/>
        <v>4.7948016111095969E-2</v>
      </c>
      <c r="AJ97" s="5">
        <f t="shared" si="39"/>
        <v>7.6595037971617097E-2</v>
      </c>
      <c r="AK97" s="5">
        <f t="shared" si="40"/>
        <v>0.60551290685911119</v>
      </c>
      <c r="AL97" s="5">
        <f t="shared" si="33"/>
        <v>0.76900000000000002</v>
      </c>
      <c r="AM97" s="5">
        <v>16.7</v>
      </c>
    </row>
    <row r="98" spans="1:39" x14ac:dyDescent="0.2">
      <c r="A98" s="23">
        <v>45384</v>
      </c>
      <c r="B98" s="20">
        <v>27.9</v>
      </c>
      <c r="C98" s="20">
        <v>83.9</v>
      </c>
      <c r="D98" s="20">
        <v>1.3</v>
      </c>
      <c r="E98" s="20">
        <v>31.2</v>
      </c>
      <c r="F98" s="20">
        <v>86.1666666666666</v>
      </c>
      <c r="G98" s="20">
        <v>3.6958333333333302</v>
      </c>
      <c r="H98" s="20">
        <v>24.8</v>
      </c>
      <c r="I98" s="20">
        <v>69</v>
      </c>
      <c r="J98" s="20">
        <v>5.2</v>
      </c>
      <c r="K98" s="20">
        <v>0.44223749999999901</v>
      </c>
      <c r="L98" s="20">
        <f t="shared" si="34"/>
        <v>0.20342924999999956</v>
      </c>
      <c r="M98" s="20"/>
      <c r="N98" s="5">
        <f t="shared" ref="N98:N127" si="41">IF(0&lt;$X$9&lt;26.5,16*(((10*$X$9)/$Z$6)^$Z$6)/30,((-415.85)+(32.24*$X$9)-(0.43*$X$9^2))/30)</f>
        <v>4.9357673962963018</v>
      </c>
      <c r="O98" s="6">
        <f t="shared" si="35"/>
        <v>5.0312804691293822</v>
      </c>
      <c r="P98" s="20">
        <f t="shared" si="36"/>
        <v>0</v>
      </c>
      <c r="Q98" s="5">
        <f t="shared" si="24"/>
        <v>4.4406903849335855</v>
      </c>
      <c r="R98" s="5">
        <f t="shared" si="37"/>
        <v>2.2225611997542623</v>
      </c>
      <c r="S98" s="5">
        <f t="shared" si="25"/>
        <v>0.16464123064285674</v>
      </c>
      <c r="T98" s="5">
        <f t="shared" si="26"/>
        <v>2.0105068213727826</v>
      </c>
      <c r="U98" s="5">
        <f t="shared" si="27"/>
        <v>37.614532494069039</v>
      </c>
      <c r="AB98" s="14"/>
      <c r="AD98" s="5">
        <f t="shared" si="28"/>
        <v>3.1999999999999993</v>
      </c>
      <c r="AE98" s="5">
        <f t="shared" si="29"/>
        <v>8.5833333333333002</v>
      </c>
      <c r="AF98" s="5">
        <f t="shared" si="30"/>
        <v>3.5852060172036411</v>
      </c>
      <c r="AG98" s="5">
        <f t="shared" si="31"/>
        <v>2.57035378685043</v>
      </c>
      <c r="AH98" s="5">
        <f t="shared" si="38"/>
        <v>0.50742611517660552</v>
      </c>
      <c r="AI98" s="5">
        <f t="shared" si="32"/>
        <v>3.5951300694477106E-2</v>
      </c>
      <c r="AJ98" s="5">
        <f t="shared" si="39"/>
        <v>4.3554074885991806E-2</v>
      </c>
      <c r="AK98" s="5">
        <f t="shared" si="40"/>
        <v>0.46387204029061369</v>
      </c>
      <c r="AL98" s="5">
        <f t="shared" si="33"/>
        <v>0.76200000000000001</v>
      </c>
      <c r="AM98" s="5">
        <v>16.7</v>
      </c>
    </row>
    <row r="99" spans="1:39" x14ac:dyDescent="0.2">
      <c r="A99" s="23">
        <v>45385</v>
      </c>
      <c r="B99" s="20">
        <v>29.2</v>
      </c>
      <c r="C99" s="20">
        <v>76.400000000000006</v>
      </c>
      <c r="D99" s="20">
        <v>1.7</v>
      </c>
      <c r="E99" s="20">
        <v>34.200000000000003</v>
      </c>
      <c r="F99" s="20">
        <v>79.2083333333333</v>
      </c>
      <c r="G99" s="20">
        <v>4.4249999999999998</v>
      </c>
      <c r="H99" s="20">
        <v>25.8</v>
      </c>
      <c r="I99" s="20">
        <v>49</v>
      </c>
      <c r="J99" s="20">
        <v>0</v>
      </c>
      <c r="K99" s="20">
        <v>0.91849583333333307</v>
      </c>
      <c r="L99" s="20">
        <f t="shared" si="34"/>
        <v>0.42250808333333323</v>
      </c>
      <c r="M99" s="20"/>
      <c r="N99" s="5">
        <f t="shared" si="41"/>
        <v>4.9357673962963018</v>
      </c>
      <c r="O99" s="6">
        <f t="shared" si="35"/>
        <v>5.0312804691293822</v>
      </c>
      <c r="P99" s="20">
        <f t="shared" si="36"/>
        <v>0</v>
      </c>
      <c r="Q99" s="5">
        <f t="shared" si="24"/>
        <v>5.2321695397186812</v>
      </c>
      <c r="R99" s="5">
        <f t="shared" si="37"/>
        <v>2.6186957435648326</v>
      </c>
      <c r="S99" s="5">
        <f t="shared" si="25"/>
        <v>0.34778188660714265</v>
      </c>
      <c r="T99" s="5">
        <f t="shared" si="26"/>
        <v>2.770847269990631</v>
      </c>
      <c r="U99" s="5">
        <f t="shared" si="27"/>
        <v>37.620469492184853</v>
      </c>
      <c r="AB99" s="14"/>
      <c r="AD99" s="5">
        <f t="shared" si="28"/>
        <v>4.2000000000000011</v>
      </c>
      <c r="AE99" s="5">
        <f t="shared" si="29"/>
        <v>15.10416666666665</v>
      </c>
      <c r="AF99" s="5">
        <f t="shared" si="30"/>
        <v>4.1704944896016816</v>
      </c>
      <c r="AG99" s="5">
        <f t="shared" si="31"/>
        <v>2.7100795102915933</v>
      </c>
      <c r="AH99" s="5">
        <f t="shared" si="38"/>
        <v>0.73020748965504412</v>
      </c>
      <c r="AI99" s="5">
        <f t="shared" si="32"/>
        <v>5.1307867796704869E-2</v>
      </c>
      <c r="AJ99" s="5">
        <f t="shared" si="39"/>
        <v>0.1102917562499805</v>
      </c>
      <c r="AK99" s="5">
        <f t="shared" si="40"/>
        <v>0.61991573340506356</v>
      </c>
      <c r="AL99" s="5">
        <f t="shared" si="33"/>
        <v>0.77499999999999991</v>
      </c>
      <c r="AM99" s="5">
        <v>16.7</v>
      </c>
    </row>
    <row r="100" spans="1:39" x14ac:dyDescent="0.2">
      <c r="A100" s="23">
        <v>45386</v>
      </c>
      <c r="B100" s="20">
        <v>27.5</v>
      </c>
      <c r="C100" s="20">
        <v>83.4</v>
      </c>
      <c r="D100" s="20">
        <v>1.4</v>
      </c>
      <c r="E100" s="20">
        <v>32.5</v>
      </c>
      <c r="F100" s="20">
        <v>85.4166666666666</v>
      </c>
      <c r="G100" s="20">
        <v>4.4583333333333304</v>
      </c>
      <c r="H100" s="20">
        <v>23.7</v>
      </c>
      <c r="I100" s="20">
        <v>61</v>
      </c>
      <c r="J100" s="20">
        <v>24.4</v>
      </c>
      <c r="K100" s="20">
        <v>0.61456250000000001</v>
      </c>
      <c r="L100" s="20">
        <f t="shared" si="34"/>
        <v>0.28269875</v>
      </c>
      <c r="M100" s="20"/>
      <c r="N100" s="5">
        <f t="shared" si="41"/>
        <v>4.9357673962963018</v>
      </c>
      <c r="O100" s="6">
        <f t="shared" si="35"/>
        <v>5.0312804691293822</v>
      </c>
      <c r="P100" s="20">
        <f t="shared" si="36"/>
        <v>0</v>
      </c>
      <c r="Q100" s="5">
        <f t="shared" si="24"/>
        <v>5.1615940520749204</v>
      </c>
      <c r="R100" s="5">
        <f t="shared" si="37"/>
        <v>2.5833727809410592</v>
      </c>
      <c r="S100" s="5">
        <f t="shared" si="25"/>
        <v>0.22759532035714286</v>
      </c>
      <c r="T100" s="5">
        <f t="shared" si="26"/>
        <v>2.7620539583819963</v>
      </c>
      <c r="U100" s="5">
        <f t="shared" si="27"/>
        <v>37.614928293943422</v>
      </c>
      <c r="AB100" s="14"/>
      <c r="AD100" s="5">
        <f t="shared" si="28"/>
        <v>4.4000000000000004</v>
      </c>
      <c r="AE100" s="5">
        <f t="shared" si="29"/>
        <v>12.2083333333333</v>
      </c>
      <c r="AF100" s="5">
        <f t="shared" si="30"/>
        <v>3.8294006907571303</v>
      </c>
      <c r="AG100" s="5">
        <f t="shared" si="31"/>
        <v>2.4239634039032953</v>
      </c>
      <c r="AH100" s="5">
        <f t="shared" si="38"/>
        <v>0.70271864342691748</v>
      </c>
      <c r="AI100" s="5">
        <f t="shared" si="32"/>
        <v>4.9294688768710043E-2</v>
      </c>
      <c r="AJ100" s="5">
        <f t="shared" si="39"/>
        <v>8.5790234385035941E-2</v>
      </c>
      <c r="AK100" s="5">
        <f t="shared" si="40"/>
        <v>0.61692840904188151</v>
      </c>
      <c r="AL100" s="5">
        <f t="shared" si="33"/>
        <v>0.75800000000000001</v>
      </c>
      <c r="AM100" s="5">
        <v>16.7</v>
      </c>
    </row>
    <row r="101" spans="1:39" x14ac:dyDescent="0.2">
      <c r="A101" s="23">
        <v>45387</v>
      </c>
      <c r="B101" s="20">
        <v>26.1</v>
      </c>
      <c r="C101" s="20">
        <v>88.7</v>
      </c>
      <c r="D101" s="20">
        <v>1.3</v>
      </c>
      <c r="E101" s="20">
        <v>29.7</v>
      </c>
      <c r="F101" s="20">
        <v>90.5833333333333</v>
      </c>
      <c r="G101" s="20">
        <v>3.4750000000000001</v>
      </c>
      <c r="H101" s="20">
        <v>25.7</v>
      </c>
      <c r="I101" s="20">
        <v>75</v>
      </c>
      <c r="J101" s="20">
        <v>0.6</v>
      </c>
      <c r="K101" s="20">
        <v>0.227362499999999</v>
      </c>
      <c r="L101" s="20">
        <f t="shared" si="34"/>
        <v>0.10458674999999955</v>
      </c>
      <c r="M101" s="20"/>
      <c r="N101" s="5">
        <f t="shared" si="41"/>
        <v>4.9357673962963018</v>
      </c>
      <c r="O101" s="6">
        <f t="shared" si="35"/>
        <v>5.0312804691293822</v>
      </c>
      <c r="P101" s="20">
        <f t="shared" si="36"/>
        <v>0</v>
      </c>
      <c r="Q101" s="5">
        <f t="shared" si="24"/>
        <v>3.3723980000000005</v>
      </c>
      <c r="R101" s="5">
        <f t="shared" si="37"/>
        <v>1.6878819046604114</v>
      </c>
      <c r="S101" s="5">
        <f t="shared" si="25"/>
        <v>8.2645619142856785E-2</v>
      </c>
      <c r="T101" s="5">
        <f t="shared" si="26"/>
        <v>1.3035553238197091</v>
      </c>
      <c r="U101" s="5">
        <f t="shared" si="27"/>
        <v>37.610732815274922</v>
      </c>
      <c r="AB101" s="14"/>
      <c r="AD101" s="5">
        <f t="shared" si="28"/>
        <v>2</v>
      </c>
      <c r="AE101" s="5">
        <f t="shared" si="29"/>
        <v>7.7916666666666501</v>
      </c>
      <c r="AF101" s="5">
        <f t="shared" si="30"/>
        <v>3.3203948003388764</v>
      </c>
      <c r="AG101" s="5">
        <f t="shared" si="31"/>
        <v>2.6958147156907444</v>
      </c>
      <c r="AH101" s="5">
        <f t="shared" si="38"/>
        <v>0.31229004232406599</v>
      </c>
      <c r="AI101" s="5">
        <f t="shared" si="32"/>
        <v>2.2348310330608415E-2</v>
      </c>
      <c r="AJ101" s="5">
        <f t="shared" si="39"/>
        <v>2.4332599131083422E-2</v>
      </c>
      <c r="AK101" s="5">
        <f t="shared" si="40"/>
        <v>0.28795744319298255</v>
      </c>
      <c r="AL101" s="5">
        <f t="shared" si="33"/>
        <v>0.74399999999999999</v>
      </c>
      <c r="AM101" s="5">
        <v>16.7</v>
      </c>
    </row>
    <row r="102" spans="1:39" x14ac:dyDescent="0.2">
      <c r="A102" s="23">
        <v>45388</v>
      </c>
      <c r="B102" s="20">
        <v>27.4</v>
      </c>
      <c r="C102" s="20">
        <v>79.400000000000006</v>
      </c>
      <c r="D102" s="20">
        <v>1.4</v>
      </c>
      <c r="E102" s="20">
        <v>33</v>
      </c>
      <c r="F102" s="20">
        <v>83.625</v>
      </c>
      <c r="G102" s="20">
        <v>4.2124999999999897</v>
      </c>
      <c r="H102" s="20">
        <v>23.5</v>
      </c>
      <c r="I102" s="20">
        <v>54</v>
      </c>
      <c r="J102" s="20">
        <v>4.5999999999999996</v>
      </c>
      <c r="K102" s="20">
        <v>0.71533333333333304</v>
      </c>
      <c r="L102" s="20">
        <f t="shared" si="34"/>
        <v>0.3290533333333332</v>
      </c>
      <c r="M102" s="20"/>
      <c r="N102" s="5">
        <f t="shared" si="41"/>
        <v>4.9357673962963018</v>
      </c>
      <c r="O102" s="6">
        <f t="shared" si="35"/>
        <v>5.0312804691293822</v>
      </c>
      <c r="P102" s="20">
        <f t="shared" si="36"/>
        <v>0</v>
      </c>
      <c r="Q102" s="5">
        <f t="shared" si="24"/>
        <v>5.3511182059012672</v>
      </c>
      <c r="R102" s="5">
        <f t="shared" si="37"/>
        <v>2.6782294347937681</v>
      </c>
      <c r="S102" s="5">
        <f t="shared" si="25"/>
        <v>0.26456501142857125</v>
      </c>
      <c r="T102" s="5">
        <f t="shared" si="26"/>
        <v>2.7810572205024688</v>
      </c>
      <c r="U102" s="5">
        <f t="shared" si="27"/>
        <v>37.618094692938527</v>
      </c>
      <c r="AB102" s="14"/>
      <c r="AD102" s="5">
        <f t="shared" si="28"/>
        <v>4.75</v>
      </c>
      <c r="AE102" s="5">
        <f t="shared" si="29"/>
        <v>14.8125</v>
      </c>
      <c r="AF102" s="5">
        <f t="shared" si="30"/>
        <v>3.9271053508234131</v>
      </c>
      <c r="AG102" s="5">
        <f t="shared" si="31"/>
        <v>2.3981450197180743</v>
      </c>
      <c r="AH102" s="5">
        <f t="shared" si="38"/>
        <v>0.7644801655526694</v>
      </c>
      <c r="AI102" s="5">
        <f t="shared" si="32"/>
        <v>5.3472193799337653E-2</v>
      </c>
      <c r="AJ102" s="5">
        <f t="shared" si="39"/>
        <v>0.11323862452248916</v>
      </c>
      <c r="AK102" s="5">
        <f t="shared" si="40"/>
        <v>0.65124154103018028</v>
      </c>
      <c r="AL102" s="5">
        <f t="shared" si="33"/>
        <v>0.7569999999999999</v>
      </c>
      <c r="AM102" s="5">
        <v>16.7</v>
      </c>
    </row>
    <row r="103" spans="1:39" x14ac:dyDescent="0.2">
      <c r="A103" s="23">
        <v>45389</v>
      </c>
      <c r="B103" s="20">
        <v>28.1</v>
      </c>
      <c r="C103" s="20">
        <v>82.5</v>
      </c>
      <c r="D103" s="20">
        <v>1</v>
      </c>
      <c r="E103" s="20">
        <v>32.299999999999997</v>
      </c>
      <c r="F103" s="20">
        <v>85.6666666666666</v>
      </c>
      <c r="G103" s="20">
        <v>3.1458333333333299</v>
      </c>
      <c r="H103" s="20">
        <v>26.2</v>
      </c>
      <c r="I103" s="20">
        <v>62</v>
      </c>
      <c r="J103" s="20">
        <v>0.2</v>
      </c>
      <c r="K103" s="20">
        <v>0.603070833333333</v>
      </c>
      <c r="L103" s="20">
        <f t="shared" si="34"/>
        <v>0.27741258333333318</v>
      </c>
      <c r="M103" s="20"/>
      <c r="N103" s="5">
        <f t="shared" si="41"/>
        <v>4.9357673962963018</v>
      </c>
      <c r="O103" s="6">
        <f t="shared" si="35"/>
        <v>5.0312804691293822</v>
      </c>
      <c r="P103" s="20">
        <f t="shared" si="36"/>
        <v>0</v>
      </c>
      <c r="Q103" s="5">
        <f t="shared" si="24"/>
        <v>4.3543357203598916</v>
      </c>
      <c r="R103" s="5">
        <f t="shared" si="37"/>
        <v>2.1793407744910054</v>
      </c>
      <c r="S103" s="5">
        <f t="shared" si="25"/>
        <v>0.22510738842857128</v>
      </c>
      <c r="T103" s="5">
        <f t="shared" si="26"/>
        <v>1.7993902300724098</v>
      </c>
      <c r="U103" s="5">
        <f t="shared" si="27"/>
        <v>37.615640733717321</v>
      </c>
      <c r="AB103" s="14"/>
      <c r="AD103" s="5">
        <f t="shared" si="28"/>
        <v>3.0499999999999989</v>
      </c>
      <c r="AE103" s="5">
        <f t="shared" si="29"/>
        <v>11.8333333333333</v>
      </c>
      <c r="AF103" s="5">
        <f t="shared" si="30"/>
        <v>3.7909153757869953</v>
      </c>
      <c r="AG103" s="5">
        <f t="shared" si="31"/>
        <v>2.7677999643057292</v>
      </c>
      <c r="AH103" s="5">
        <f t="shared" si="38"/>
        <v>0.51155770574063308</v>
      </c>
      <c r="AI103" s="5">
        <f t="shared" si="32"/>
        <v>3.6289278366717109E-2</v>
      </c>
      <c r="AJ103" s="5">
        <f t="shared" si="39"/>
        <v>6.0534328512641407E-2</v>
      </c>
      <c r="AK103" s="5">
        <f t="shared" si="40"/>
        <v>0.45102337722799168</v>
      </c>
      <c r="AL103" s="5">
        <f t="shared" si="33"/>
        <v>0.76400000000000001</v>
      </c>
      <c r="AM103" s="5">
        <v>16.7</v>
      </c>
    </row>
    <row r="104" spans="1:39" x14ac:dyDescent="0.2">
      <c r="A104" s="23">
        <v>45390</v>
      </c>
      <c r="B104" s="20">
        <v>28.7</v>
      </c>
      <c r="C104" s="20">
        <v>79.2</v>
      </c>
      <c r="D104" s="20">
        <v>1.1000000000000001</v>
      </c>
      <c r="E104" s="20">
        <v>34.299999999999997</v>
      </c>
      <c r="F104" s="20">
        <v>83.3333333333333</v>
      </c>
      <c r="G104" s="20">
        <v>3.2291666666666599</v>
      </c>
      <c r="H104" s="20">
        <v>24.4</v>
      </c>
      <c r="I104" s="20">
        <v>51</v>
      </c>
      <c r="J104" s="20">
        <v>20.6</v>
      </c>
      <c r="K104" s="20">
        <v>0.63327083333333301</v>
      </c>
      <c r="L104" s="20">
        <f t="shared" si="34"/>
        <v>0.2913045833333332</v>
      </c>
      <c r="M104" s="20"/>
      <c r="N104" s="5">
        <f t="shared" si="41"/>
        <v>4.9357673962963018</v>
      </c>
      <c r="O104" s="6">
        <f t="shared" si="35"/>
        <v>5.0312804691293822</v>
      </c>
      <c r="P104" s="20">
        <f t="shared" si="36"/>
        <v>0</v>
      </c>
      <c r="Q104" s="5">
        <f t="shared" si="24"/>
        <v>5.6197223262210647</v>
      </c>
      <c r="R104" s="5">
        <f t="shared" si="37"/>
        <v>2.8126655346268881</v>
      </c>
      <c r="S104" s="5">
        <f t="shared" si="25"/>
        <v>0.2382364874999999</v>
      </c>
      <c r="T104" s="5">
        <f t="shared" si="26"/>
        <v>2.5012743568767686</v>
      </c>
      <c r="U104" s="5">
        <f t="shared" si="27"/>
        <v>37.618253012888282</v>
      </c>
      <c r="AB104" s="14"/>
      <c r="AD104" s="5">
        <f t="shared" si="28"/>
        <v>4.9499999999999993</v>
      </c>
      <c r="AE104" s="5">
        <f t="shared" si="29"/>
        <v>16.16666666666665</v>
      </c>
      <c r="AF104" s="5">
        <f t="shared" si="30"/>
        <v>4.1913565241884791</v>
      </c>
      <c r="AG104" s="5">
        <f t="shared" si="31"/>
        <v>2.5162512773466017</v>
      </c>
      <c r="AH104" s="5">
        <f t="shared" si="38"/>
        <v>0.83755262342093872</v>
      </c>
      <c r="AI104" s="5">
        <f t="shared" si="32"/>
        <v>5.8486614899302639E-2</v>
      </c>
      <c r="AJ104" s="5">
        <f t="shared" si="39"/>
        <v>0.13540434078638497</v>
      </c>
      <c r="AK104" s="5">
        <f t="shared" si="40"/>
        <v>0.70214828263455376</v>
      </c>
      <c r="AL104" s="5">
        <f t="shared" si="33"/>
        <v>0.77</v>
      </c>
      <c r="AM104" s="5">
        <v>16.7</v>
      </c>
    </row>
    <row r="105" spans="1:39" x14ac:dyDescent="0.2">
      <c r="A105" s="23">
        <v>45391</v>
      </c>
      <c r="B105" s="20">
        <v>27.9</v>
      </c>
      <c r="C105" s="20">
        <v>82.5</v>
      </c>
      <c r="D105" s="20">
        <v>1.6</v>
      </c>
      <c r="E105" s="20">
        <v>31.2</v>
      </c>
      <c r="F105" s="20">
        <v>85.375</v>
      </c>
      <c r="G105" s="20">
        <v>4.43333333333333</v>
      </c>
      <c r="H105" s="20">
        <v>26.3</v>
      </c>
      <c r="I105" s="20">
        <v>67</v>
      </c>
      <c r="J105" s="20">
        <v>0.2</v>
      </c>
      <c r="K105" s="20">
        <v>0.39628333333333304</v>
      </c>
      <c r="L105" s="20">
        <f t="shared" si="34"/>
        <v>0.18229033333333322</v>
      </c>
      <c r="M105" s="20"/>
      <c r="N105" s="5">
        <f t="shared" si="41"/>
        <v>4.9357673962963018</v>
      </c>
      <c r="O105" s="6">
        <f t="shared" si="35"/>
        <v>5.0312804691293822</v>
      </c>
      <c r="P105" s="20">
        <f t="shared" si="36"/>
        <v>0</v>
      </c>
      <c r="Q105" s="5">
        <f t="shared" si="24"/>
        <v>3.8856040868168868</v>
      </c>
      <c r="R105" s="5">
        <f t="shared" si="37"/>
        <v>1.9447410497849793</v>
      </c>
      <c r="S105" s="5">
        <f t="shared" si="25"/>
        <v>0.14753288828571415</v>
      </c>
      <c r="T105" s="5">
        <f t="shared" si="26"/>
        <v>1.806487894407411</v>
      </c>
      <c r="U105" s="5">
        <f t="shared" si="27"/>
        <v>37.615640733717321</v>
      </c>
      <c r="AB105" s="14"/>
      <c r="AD105" s="5">
        <f t="shared" si="28"/>
        <v>2.4499999999999993</v>
      </c>
      <c r="AE105" s="5">
        <f t="shared" si="29"/>
        <v>9.1875</v>
      </c>
      <c r="AF105" s="5">
        <f t="shared" si="30"/>
        <v>3.5852060172036411</v>
      </c>
      <c r="AG105" s="5">
        <f t="shared" si="31"/>
        <v>2.7823966858099221</v>
      </c>
      <c r="AH105" s="5">
        <f t="shared" si="38"/>
        <v>0.40140466569685951</v>
      </c>
      <c r="AI105" s="5">
        <f t="shared" si="32"/>
        <v>2.861785893196846E-2</v>
      </c>
      <c r="AJ105" s="5">
        <f t="shared" si="39"/>
        <v>3.6879053660898969E-2</v>
      </c>
      <c r="AK105" s="5">
        <f t="shared" si="40"/>
        <v>0.36452561203596057</v>
      </c>
      <c r="AL105" s="5">
        <f t="shared" si="33"/>
        <v>0.76200000000000001</v>
      </c>
      <c r="AM105" s="5">
        <v>16.7</v>
      </c>
    </row>
    <row r="106" spans="1:39" x14ac:dyDescent="0.2">
      <c r="A106" s="23">
        <v>45392</v>
      </c>
      <c r="B106" s="20">
        <v>28.1</v>
      </c>
      <c r="C106" s="20">
        <v>82.1</v>
      </c>
      <c r="D106" s="20">
        <v>1.4</v>
      </c>
      <c r="E106" s="20">
        <v>33.5</v>
      </c>
      <c r="F106" s="20">
        <v>84.6666666666666</v>
      </c>
      <c r="G106" s="20">
        <v>3.9083333333333301</v>
      </c>
      <c r="H106" s="20">
        <v>25.6</v>
      </c>
      <c r="I106" s="20">
        <v>57</v>
      </c>
      <c r="J106" s="20">
        <v>3.4</v>
      </c>
      <c r="K106" s="20">
        <v>0.55623333333333302</v>
      </c>
      <c r="L106" s="20">
        <f t="shared" si="34"/>
        <v>0.25586733333333322</v>
      </c>
      <c r="M106" s="20"/>
      <c r="N106" s="5">
        <f t="shared" si="41"/>
        <v>4.9357673962963018</v>
      </c>
      <c r="O106" s="6">
        <f t="shared" si="35"/>
        <v>5.0312804691293822</v>
      </c>
      <c r="P106" s="20">
        <f t="shared" si="36"/>
        <v>0</v>
      </c>
      <c r="Q106" s="5">
        <f t="shared" si="24"/>
        <v>4.955306686316387</v>
      </c>
      <c r="R106" s="5">
        <f t="shared" si="37"/>
        <v>2.4801261558914973</v>
      </c>
      <c r="S106" s="5">
        <f t="shared" si="25"/>
        <v>0.20762442171428558</v>
      </c>
      <c r="T106" s="5">
        <f t="shared" si="26"/>
        <v>2.4422902281503602</v>
      </c>
      <c r="U106" s="5">
        <f t="shared" si="27"/>
        <v>37.615957373616837</v>
      </c>
      <c r="AB106" s="14"/>
      <c r="AD106" s="5">
        <f t="shared" si="28"/>
        <v>3.9499999999999993</v>
      </c>
      <c r="AE106" s="5">
        <f t="shared" si="29"/>
        <v>13.8333333333333</v>
      </c>
      <c r="AF106" s="5">
        <f t="shared" si="30"/>
        <v>4.0269721746729781</v>
      </c>
      <c r="AG106" s="5">
        <f t="shared" si="31"/>
        <v>2.6816155357966691</v>
      </c>
      <c r="AH106" s="5">
        <f t="shared" si="38"/>
        <v>0.67267831943815448</v>
      </c>
      <c r="AI106" s="5">
        <f t="shared" si="32"/>
        <v>4.7363603907670984E-2</v>
      </c>
      <c r="AJ106" s="5">
        <f t="shared" si="39"/>
        <v>9.3053834188944487E-2</v>
      </c>
      <c r="AK106" s="5">
        <f t="shared" si="40"/>
        <v>0.57962448524920995</v>
      </c>
      <c r="AL106" s="5">
        <f t="shared" si="33"/>
        <v>0.76400000000000001</v>
      </c>
      <c r="AM106" s="5">
        <v>16.7</v>
      </c>
    </row>
    <row r="107" spans="1:39" x14ac:dyDescent="0.2">
      <c r="A107" s="23">
        <v>45393</v>
      </c>
      <c r="B107" s="20">
        <v>28.9</v>
      </c>
      <c r="C107" s="20">
        <v>77.5</v>
      </c>
      <c r="D107" s="20">
        <v>1.3</v>
      </c>
      <c r="E107" s="20">
        <v>33.799999999999997</v>
      </c>
      <c r="F107" s="20">
        <v>80.625</v>
      </c>
      <c r="G107" s="20">
        <v>3.69999999999999</v>
      </c>
      <c r="H107" s="20">
        <v>26.7</v>
      </c>
      <c r="I107" s="20">
        <v>56</v>
      </c>
      <c r="J107" s="20">
        <v>0</v>
      </c>
      <c r="K107" s="20">
        <v>0.60948749999999996</v>
      </c>
      <c r="L107" s="20">
        <f t="shared" si="34"/>
        <v>0.28036424999999998</v>
      </c>
      <c r="M107" s="20"/>
      <c r="N107" s="5">
        <f t="shared" si="41"/>
        <v>4.9357673962963018</v>
      </c>
      <c r="O107" s="6">
        <f t="shared" si="35"/>
        <v>5.0312804691293822</v>
      </c>
      <c r="P107" s="20">
        <f t="shared" si="36"/>
        <v>0</v>
      </c>
      <c r="Q107" s="5">
        <f t="shared" si="24"/>
        <v>4.779586899520071</v>
      </c>
      <c r="R107" s="5">
        <f t="shared" si="37"/>
        <v>2.3921785742524717</v>
      </c>
      <c r="S107" s="5">
        <f t="shared" si="25"/>
        <v>0.22988475385714283</v>
      </c>
      <c r="T107" s="5">
        <f t="shared" si="26"/>
        <v>2.2813708110246429</v>
      </c>
      <c r="U107" s="5">
        <f t="shared" si="27"/>
        <v>37.619598732461199</v>
      </c>
      <c r="AB107" s="14"/>
      <c r="AD107" s="5">
        <f t="shared" si="28"/>
        <v>3.5499999999999989</v>
      </c>
      <c r="AE107" s="5">
        <f t="shared" si="29"/>
        <v>12.3125</v>
      </c>
      <c r="AF107" s="5">
        <f t="shared" si="30"/>
        <v>4.0879467356658399</v>
      </c>
      <c r="AG107" s="5">
        <f t="shared" si="31"/>
        <v>2.8414577983779647</v>
      </c>
      <c r="AH107" s="5">
        <f t="shared" si="38"/>
        <v>0.62324446864393757</v>
      </c>
      <c r="AI107" s="5">
        <f t="shared" si="32"/>
        <v>4.4028823984235396E-2</v>
      </c>
      <c r="AJ107" s="5">
        <f t="shared" si="39"/>
        <v>7.673697520178481E-2</v>
      </c>
      <c r="AK107" s="5">
        <f t="shared" si="40"/>
        <v>0.54650749344215277</v>
      </c>
      <c r="AL107" s="5">
        <f t="shared" si="33"/>
        <v>0.77200000000000002</v>
      </c>
      <c r="AM107" s="5">
        <v>16.7</v>
      </c>
    </row>
    <row r="108" spans="1:39" x14ac:dyDescent="0.2">
      <c r="A108" s="23">
        <v>45394</v>
      </c>
      <c r="B108" s="20">
        <v>27.3</v>
      </c>
      <c r="C108" s="20">
        <v>86.4</v>
      </c>
      <c r="D108" s="20">
        <v>1.1000000000000001</v>
      </c>
      <c r="E108" s="20">
        <v>31.8</v>
      </c>
      <c r="F108" s="20">
        <v>88.9583333333333</v>
      </c>
      <c r="G108" s="20">
        <v>3.7083333333333299</v>
      </c>
      <c r="H108" s="20">
        <v>24.4</v>
      </c>
      <c r="I108" s="20">
        <v>59</v>
      </c>
      <c r="J108" s="20">
        <v>42.8</v>
      </c>
      <c r="K108" s="20">
        <v>0.41583749999999997</v>
      </c>
      <c r="L108" s="20">
        <f t="shared" si="34"/>
        <v>0.19128524999999999</v>
      </c>
      <c r="M108" s="20"/>
      <c r="N108" s="5">
        <f t="shared" si="41"/>
        <v>4.9357673962963018</v>
      </c>
      <c r="O108" s="6">
        <f t="shared" si="35"/>
        <v>5.0312804691293822</v>
      </c>
      <c r="P108" s="20">
        <f t="shared" si="36"/>
        <v>0</v>
      </c>
      <c r="Q108" s="5">
        <f t="shared" si="24"/>
        <v>4.7123409898095661</v>
      </c>
      <c r="R108" s="5">
        <f t="shared" si="37"/>
        <v>2.3585220621317822</v>
      </c>
      <c r="S108" s="5">
        <f t="shared" si="25"/>
        <v>0.15359373899999998</v>
      </c>
      <c r="T108" s="5">
        <f t="shared" si="26"/>
        <v>2.1072875556097745</v>
      </c>
      <c r="U108" s="5">
        <f t="shared" si="27"/>
        <v>37.612553494697103</v>
      </c>
      <c r="AB108" s="14"/>
      <c r="AD108" s="5">
        <f t="shared" si="28"/>
        <v>3.7000000000000011</v>
      </c>
      <c r="AE108" s="5">
        <f t="shared" si="29"/>
        <v>14.97916666666665</v>
      </c>
      <c r="AF108" s="5">
        <f t="shared" si="30"/>
        <v>3.6961715910165558</v>
      </c>
      <c r="AG108" s="5">
        <f t="shared" si="31"/>
        <v>2.5162512773466017</v>
      </c>
      <c r="AH108" s="5">
        <f t="shared" si="38"/>
        <v>0.58996015683497705</v>
      </c>
      <c r="AI108" s="5">
        <f t="shared" si="32"/>
        <v>4.1625604289005629E-2</v>
      </c>
      <c r="AJ108" s="5">
        <f t="shared" si="39"/>
        <v>8.8371115159239177E-2</v>
      </c>
      <c r="AK108" s="5">
        <f t="shared" si="40"/>
        <v>0.50158904167573781</v>
      </c>
      <c r="AL108" s="5">
        <f t="shared" si="33"/>
        <v>0.75600000000000001</v>
      </c>
      <c r="AM108" s="5">
        <v>16.7</v>
      </c>
    </row>
    <row r="109" spans="1:39" x14ac:dyDescent="0.2">
      <c r="A109" s="23">
        <v>45395</v>
      </c>
      <c r="B109" s="20">
        <v>26.7</v>
      </c>
      <c r="C109" s="20">
        <v>85.1</v>
      </c>
      <c r="D109" s="20">
        <v>2</v>
      </c>
      <c r="E109" s="20">
        <v>29.6</v>
      </c>
      <c r="F109" s="20">
        <v>86.8333333333333</v>
      </c>
      <c r="G109" s="20">
        <v>4.55833333333333</v>
      </c>
      <c r="H109" s="20">
        <v>24</v>
      </c>
      <c r="I109" s="20">
        <v>72</v>
      </c>
      <c r="J109" s="20">
        <v>49.2</v>
      </c>
      <c r="K109" s="20">
        <v>0.34425</v>
      </c>
      <c r="L109" s="20">
        <f t="shared" si="34"/>
        <v>0.158355</v>
      </c>
      <c r="M109" s="20"/>
      <c r="N109" s="5">
        <f t="shared" si="41"/>
        <v>4.9357673962963018</v>
      </c>
      <c r="O109" s="6">
        <f t="shared" si="35"/>
        <v>5.0312804691293822</v>
      </c>
      <c r="P109" s="20">
        <f t="shared" si="36"/>
        <v>0</v>
      </c>
      <c r="Q109" s="5">
        <f t="shared" si="24"/>
        <v>4.0448119155456421</v>
      </c>
      <c r="R109" s="5">
        <f t="shared" si="37"/>
        <v>2.024424412540959</v>
      </c>
      <c r="S109" s="5">
        <f t="shared" si="25"/>
        <v>0.1261430357142857</v>
      </c>
      <c r="T109" s="5">
        <f t="shared" si="26"/>
        <v>1.9342300862139514</v>
      </c>
      <c r="U109" s="5">
        <f t="shared" si="27"/>
        <v>37.613582574370511</v>
      </c>
      <c r="AB109" s="14"/>
      <c r="AD109" s="5">
        <f t="shared" si="28"/>
        <v>2.8000000000000007</v>
      </c>
      <c r="AE109" s="5">
        <f t="shared" si="29"/>
        <v>7.4166666666666501</v>
      </c>
      <c r="AF109" s="5">
        <f t="shared" si="30"/>
        <v>3.303363484418278</v>
      </c>
      <c r="AG109" s="5">
        <f t="shared" si="31"/>
        <v>2.4631465486296187</v>
      </c>
      <c r="AH109" s="5">
        <f t="shared" si="38"/>
        <v>0.42010846789432965</v>
      </c>
      <c r="AI109" s="5">
        <f t="shared" si="32"/>
        <v>2.9864075124726122E-2</v>
      </c>
      <c r="AJ109" s="5">
        <f t="shared" si="39"/>
        <v>3.1158044702162716E-2</v>
      </c>
      <c r="AK109" s="5">
        <f t="shared" si="40"/>
        <v>0.38895042319216694</v>
      </c>
      <c r="AL109" s="5">
        <f t="shared" si="33"/>
        <v>0.75</v>
      </c>
      <c r="AM109" s="5">
        <v>16.7</v>
      </c>
    </row>
    <row r="110" spans="1:39" x14ac:dyDescent="0.2">
      <c r="A110" s="23">
        <v>45396</v>
      </c>
      <c r="B110" s="20">
        <v>28.7</v>
      </c>
      <c r="C110" s="20">
        <v>76.2</v>
      </c>
      <c r="D110" s="20">
        <v>1.4</v>
      </c>
      <c r="E110" s="20">
        <v>33.799999999999997</v>
      </c>
      <c r="F110" s="20">
        <v>79.1666666666666</v>
      </c>
      <c r="G110" s="20">
        <v>3.55833333333333</v>
      </c>
      <c r="H110" s="20">
        <v>24.9</v>
      </c>
      <c r="I110" s="20">
        <v>51</v>
      </c>
      <c r="J110" s="20">
        <v>0</v>
      </c>
      <c r="K110" s="20">
        <v>0.74506666666666599</v>
      </c>
      <c r="L110" s="20">
        <f t="shared" si="34"/>
        <v>0.34273066666666635</v>
      </c>
      <c r="M110" s="20"/>
      <c r="N110" s="5">
        <f t="shared" si="41"/>
        <v>4.9357673962963018</v>
      </c>
      <c r="O110" s="6">
        <f t="shared" si="35"/>
        <v>5.0312804691293822</v>
      </c>
      <c r="P110" s="20">
        <f t="shared" si="36"/>
        <v>0</v>
      </c>
      <c r="Q110" s="5">
        <f t="shared" si="24"/>
        <v>5.3283440992115452</v>
      </c>
      <c r="R110" s="5">
        <f t="shared" si="37"/>
        <v>2.6668310166425333</v>
      </c>
      <c r="S110" s="5">
        <f t="shared" si="25"/>
        <v>0.28029407999999972</v>
      </c>
      <c r="T110" s="5">
        <f t="shared" si="26"/>
        <v>2.526895444308864</v>
      </c>
      <c r="U110" s="5">
        <f t="shared" si="27"/>
        <v>37.620627812134607</v>
      </c>
      <c r="AB110" s="14"/>
      <c r="AD110" s="5">
        <f t="shared" si="28"/>
        <v>4.4499999999999993</v>
      </c>
      <c r="AE110" s="5">
        <f t="shared" si="29"/>
        <v>14.0833333333333</v>
      </c>
      <c r="AF110" s="5">
        <f t="shared" si="30"/>
        <v>4.0879467356658399</v>
      </c>
      <c r="AG110" s="5">
        <f t="shared" si="31"/>
        <v>2.5840371643542337</v>
      </c>
      <c r="AH110" s="5">
        <f t="shared" si="38"/>
        <v>0.75195478565580309</v>
      </c>
      <c r="AI110" s="5">
        <f t="shared" si="32"/>
        <v>5.2726715195964974E-2</v>
      </c>
      <c r="AJ110" s="5">
        <f t="shared" si="39"/>
        <v>0.10590029897985868</v>
      </c>
      <c r="AK110" s="5">
        <f t="shared" si="40"/>
        <v>0.64605448667594445</v>
      </c>
      <c r="AL110" s="5">
        <f t="shared" si="33"/>
        <v>0.77</v>
      </c>
      <c r="AM110" s="5">
        <v>16.7</v>
      </c>
    </row>
    <row r="111" spans="1:39" x14ac:dyDescent="0.2">
      <c r="A111" s="23">
        <v>45397</v>
      </c>
      <c r="B111" s="20">
        <v>29.2</v>
      </c>
      <c r="C111" s="20">
        <v>76</v>
      </c>
      <c r="D111" s="20">
        <v>1.7</v>
      </c>
      <c r="E111" s="20">
        <v>33.9</v>
      </c>
      <c r="F111" s="20">
        <v>78.25</v>
      </c>
      <c r="G111" s="20">
        <v>4.62083333333333</v>
      </c>
      <c r="H111" s="20">
        <v>26.9</v>
      </c>
      <c r="I111" s="20">
        <v>59</v>
      </c>
      <c r="J111" s="20">
        <v>0</v>
      </c>
      <c r="K111" s="20">
        <v>0.62187916666666598</v>
      </c>
      <c r="L111" s="20">
        <f t="shared" si="34"/>
        <v>0.28606441666666638</v>
      </c>
      <c r="M111" s="20"/>
      <c r="N111" s="5">
        <f t="shared" si="41"/>
        <v>4.9357673962963018</v>
      </c>
      <c r="O111" s="6">
        <f t="shared" si="35"/>
        <v>5.0312804691293822</v>
      </c>
      <c r="P111" s="20">
        <f t="shared" si="36"/>
        <v>0</v>
      </c>
      <c r="Q111" s="5">
        <f t="shared" si="24"/>
        <v>4.7762954693255741</v>
      </c>
      <c r="R111" s="5">
        <f t="shared" si="37"/>
        <v>2.390531216655372</v>
      </c>
      <c r="S111" s="5">
        <f t="shared" si="25"/>
        <v>0.23547010446428543</v>
      </c>
      <c r="T111" s="5">
        <f t="shared" si="26"/>
        <v>2.6263462708930194</v>
      </c>
      <c r="U111" s="5">
        <f t="shared" si="27"/>
        <v>37.620786132084362</v>
      </c>
      <c r="AB111" s="14"/>
      <c r="AD111" s="5">
        <f t="shared" si="28"/>
        <v>3.5</v>
      </c>
      <c r="AE111" s="5">
        <f t="shared" si="29"/>
        <v>9.625</v>
      </c>
      <c r="AF111" s="5">
        <f t="shared" si="30"/>
        <v>4.108449271877344</v>
      </c>
      <c r="AG111" s="5">
        <f t="shared" si="31"/>
        <v>2.8713965589882768</v>
      </c>
      <c r="AH111" s="5">
        <f t="shared" si="38"/>
        <v>0.61852635644453358</v>
      </c>
      <c r="AI111" s="5">
        <f t="shared" si="32"/>
        <v>4.3713662940904667E-2</v>
      </c>
      <c r="AJ111" s="5">
        <f t="shared" si="39"/>
        <v>5.953316180778636E-2</v>
      </c>
      <c r="AK111" s="5">
        <f t="shared" si="40"/>
        <v>0.55899319463674724</v>
      </c>
      <c r="AL111" s="5">
        <f t="shared" si="33"/>
        <v>0.77499999999999991</v>
      </c>
      <c r="AM111" s="5">
        <v>16.7</v>
      </c>
    </row>
    <row r="112" spans="1:39" x14ac:dyDescent="0.2">
      <c r="A112" s="23">
        <v>45398</v>
      </c>
      <c r="B112" s="20">
        <v>28.3</v>
      </c>
      <c r="C112" s="20">
        <v>82.2</v>
      </c>
      <c r="D112" s="20">
        <v>1.3</v>
      </c>
      <c r="E112" s="20">
        <v>33.1</v>
      </c>
      <c r="F112" s="20">
        <v>84.4166666666666</v>
      </c>
      <c r="G112" s="20">
        <v>3.9083333333333301</v>
      </c>
      <c r="H112" s="20">
        <v>26.4</v>
      </c>
      <c r="I112" s="20">
        <v>57</v>
      </c>
      <c r="J112" s="20">
        <v>0</v>
      </c>
      <c r="K112" s="20">
        <v>0.46242500000000003</v>
      </c>
      <c r="L112" s="20">
        <f t="shared" si="34"/>
        <v>0.21271550000000003</v>
      </c>
      <c r="M112" s="20"/>
      <c r="N112" s="5">
        <f t="shared" si="41"/>
        <v>4.9357673962963018</v>
      </c>
      <c r="O112" s="6">
        <f t="shared" si="35"/>
        <v>5.0312804691293822</v>
      </c>
      <c r="P112" s="20">
        <f t="shared" si="36"/>
        <v>0</v>
      </c>
      <c r="Q112" s="5">
        <f t="shared" si="24"/>
        <v>4.5833458968734515</v>
      </c>
      <c r="R112" s="5">
        <f t="shared" si="37"/>
        <v>2.2939601441265953</v>
      </c>
      <c r="S112" s="5">
        <f t="shared" si="25"/>
        <v>0.17306057442857142</v>
      </c>
      <c r="T112" s="5">
        <f t="shared" si="26"/>
        <v>2.1617899840872679</v>
      </c>
      <c r="U112" s="5">
        <f t="shared" si="27"/>
        <v>37.615878213641963</v>
      </c>
      <c r="AB112" s="14"/>
      <c r="AD112" s="5">
        <f t="shared" si="28"/>
        <v>3.3500000000000014</v>
      </c>
      <c r="AE112" s="5">
        <f t="shared" si="29"/>
        <v>13.7083333333333</v>
      </c>
      <c r="AF112" s="5">
        <f t="shared" si="30"/>
        <v>3.9469044698804279</v>
      </c>
      <c r="AG112" s="5">
        <f t="shared" si="31"/>
        <v>2.7970605689481141</v>
      </c>
      <c r="AH112" s="5">
        <f t="shared" si="38"/>
        <v>0.57492195046615691</v>
      </c>
      <c r="AI112" s="5">
        <f t="shared" si="32"/>
        <v>4.0682638565332177E-2</v>
      </c>
      <c r="AJ112" s="5">
        <f t="shared" si="39"/>
        <v>7.8812217376402149E-2</v>
      </c>
      <c r="AK112" s="5">
        <f t="shared" si="40"/>
        <v>0.49610973308975476</v>
      </c>
      <c r="AL112" s="5">
        <f t="shared" si="33"/>
        <v>0.76600000000000001</v>
      </c>
      <c r="AM112" s="5">
        <v>16.7</v>
      </c>
    </row>
    <row r="113" spans="1:39" x14ac:dyDescent="0.2">
      <c r="A113" s="23">
        <v>45399</v>
      </c>
      <c r="B113" s="20">
        <v>28</v>
      </c>
      <c r="C113" s="20">
        <v>82.5</v>
      </c>
      <c r="D113" s="20">
        <v>1.2</v>
      </c>
      <c r="E113" s="20">
        <v>32.9</v>
      </c>
      <c r="F113" s="20">
        <v>85.0416666666666</v>
      </c>
      <c r="G113" s="20">
        <v>3.4666666666666601</v>
      </c>
      <c r="H113" s="20">
        <v>24.7</v>
      </c>
      <c r="I113" s="20">
        <v>58</v>
      </c>
      <c r="J113" s="20">
        <v>6.4</v>
      </c>
      <c r="K113" s="20">
        <v>0.432195833333333</v>
      </c>
      <c r="L113" s="20">
        <f t="shared" si="34"/>
        <v>0.19881008333333319</v>
      </c>
      <c r="M113" s="20"/>
      <c r="N113" s="5">
        <f t="shared" si="41"/>
        <v>4.9357673962963018</v>
      </c>
      <c r="O113" s="6">
        <f t="shared" si="35"/>
        <v>5.0312804691293822</v>
      </c>
      <c r="P113" s="20">
        <f t="shared" si="36"/>
        <v>0</v>
      </c>
      <c r="Q113" s="5">
        <f t="shared" si="24"/>
        <v>5.0375191644904733</v>
      </c>
      <c r="R113" s="5">
        <f t="shared" si="37"/>
        <v>2.5212734209080612</v>
      </c>
      <c r="S113" s="5">
        <f t="shared" si="25"/>
        <v>0.16111396274999984</v>
      </c>
      <c r="T113" s="5">
        <f t="shared" si="26"/>
        <v>2.2854360768635607</v>
      </c>
      <c r="U113" s="5">
        <f t="shared" si="27"/>
        <v>37.615640733717321</v>
      </c>
      <c r="AB113" s="14"/>
      <c r="AD113" s="5">
        <f t="shared" si="28"/>
        <v>4.0999999999999996</v>
      </c>
      <c r="AE113" s="5">
        <f t="shared" si="29"/>
        <v>13.5208333333333</v>
      </c>
      <c r="AF113" s="5">
        <f t="shared" si="30"/>
        <v>3.9073927164751923</v>
      </c>
      <c r="AG113" s="5">
        <f t="shared" si="31"/>
        <v>2.5567337570001247</v>
      </c>
      <c r="AH113" s="5">
        <f t="shared" si="38"/>
        <v>0.67532947973753377</v>
      </c>
      <c r="AI113" s="5">
        <f t="shared" si="32"/>
        <v>4.7491198606794752E-2</v>
      </c>
      <c r="AJ113" s="5">
        <f t="shared" si="39"/>
        <v>9.1310173406178821E-2</v>
      </c>
      <c r="AK113" s="5">
        <f t="shared" si="40"/>
        <v>0.5840193063313549</v>
      </c>
      <c r="AL113" s="5">
        <f t="shared" si="33"/>
        <v>0.76300000000000001</v>
      </c>
      <c r="AM113" s="5">
        <v>16.7</v>
      </c>
    </row>
    <row r="114" spans="1:39" x14ac:dyDescent="0.2">
      <c r="A114" s="23">
        <v>45400</v>
      </c>
      <c r="B114" s="20">
        <v>26.4</v>
      </c>
      <c r="C114" s="20">
        <v>90.8</v>
      </c>
      <c r="D114" s="20">
        <v>0.9</v>
      </c>
      <c r="E114" s="20">
        <v>29.5</v>
      </c>
      <c r="F114" s="20">
        <v>91.75</v>
      </c>
      <c r="G114" s="20">
        <v>3.2291666666666599</v>
      </c>
      <c r="H114" s="20">
        <v>25.5</v>
      </c>
      <c r="I114" s="20">
        <v>76</v>
      </c>
      <c r="J114" s="20">
        <v>0</v>
      </c>
      <c r="K114" s="20">
        <v>0.10971249999999899</v>
      </c>
      <c r="L114" s="20">
        <f t="shared" si="34"/>
        <v>5.0467749999999541E-2</v>
      </c>
      <c r="M114" s="20"/>
      <c r="N114" s="5">
        <f t="shared" si="41"/>
        <v>4.9357673962963018</v>
      </c>
      <c r="O114" s="6">
        <f t="shared" si="35"/>
        <v>5.0312804691293822</v>
      </c>
      <c r="P114" s="20">
        <f t="shared" si="36"/>
        <v>0</v>
      </c>
      <c r="Q114" s="5">
        <f t="shared" si="24"/>
        <v>3.3954439999999999</v>
      </c>
      <c r="R114" s="5">
        <f t="shared" si="37"/>
        <v>1.69941640514784</v>
      </c>
      <c r="S114" s="5">
        <f t="shared" si="25"/>
        <v>4.0040987464285346E-2</v>
      </c>
      <c r="T114" s="5">
        <f t="shared" si="26"/>
        <v>1.236144980654954</v>
      </c>
      <c r="U114" s="5">
        <f t="shared" si="27"/>
        <v>37.609070455802495</v>
      </c>
      <c r="AB114" s="14"/>
      <c r="AD114" s="5">
        <f t="shared" si="28"/>
        <v>2</v>
      </c>
      <c r="AE114" s="5">
        <f t="shared" si="29"/>
        <v>7.875</v>
      </c>
      <c r="AF114" s="5">
        <f t="shared" si="30"/>
        <v>3.2864083645559687</v>
      </c>
      <c r="AG114" s="5">
        <f t="shared" si="31"/>
        <v>2.667481715569846</v>
      </c>
      <c r="AH114" s="5">
        <f t="shared" si="38"/>
        <v>0.30946332449306135</v>
      </c>
      <c r="AI114" s="5">
        <f t="shared" si="32"/>
        <v>2.2146022845441659E-2</v>
      </c>
      <c r="AJ114" s="5">
        <f t="shared" si="39"/>
        <v>2.437023680382858E-2</v>
      </c>
      <c r="AK114" s="5">
        <f t="shared" si="40"/>
        <v>0.28509308768923275</v>
      </c>
      <c r="AL114" s="5">
        <f t="shared" si="33"/>
        <v>0.747</v>
      </c>
      <c r="AM114" s="5">
        <v>16.7</v>
      </c>
    </row>
    <row r="115" spans="1:39" x14ac:dyDescent="0.2">
      <c r="A115" s="23">
        <v>45401</v>
      </c>
      <c r="B115" s="20">
        <v>27.4</v>
      </c>
      <c r="C115" s="20">
        <v>81.900000000000006</v>
      </c>
      <c r="D115" s="20">
        <v>1</v>
      </c>
      <c r="E115" s="20">
        <v>32.299999999999997</v>
      </c>
      <c r="F115" s="20">
        <v>85.5</v>
      </c>
      <c r="G115" s="20">
        <v>2.8</v>
      </c>
      <c r="H115" s="20">
        <v>23.8</v>
      </c>
      <c r="I115" s="20">
        <v>60</v>
      </c>
      <c r="J115" s="20">
        <v>16.8</v>
      </c>
      <c r="K115" s="20">
        <v>0.50075833333333297</v>
      </c>
      <c r="L115" s="20">
        <f t="shared" si="34"/>
        <v>0.23034883333333317</v>
      </c>
      <c r="M115" s="20"/>
      <c r="N115" s="5">
        <f t="shared" si="41"/>
        <v>4.9357673962963018</v>
      </c>
      <c r="O115" s="6">
        <f t="shared" si="35"/>
        <v>5.0312804691293822</v>
      </c>
      <c r="P115" s="20">
        <f t="shared" si="36"/>
        <v>0</v>
      </c>
      <c r="Q115" s="5">
        <f t="shared" si="24"/>
        <v>5.0616510875507785</v>
      </c>
      <c r="R115" s="5">
        <f t="shared" si="37"/>
        <v>2.5333514248263844</v>
      </c>
      <c r="S115" s="5">
        <f t="shared" si="25"/>
        <v>0.18520475421428553</v>
      </c>
      <c r="T115" s="5">
        <f t="shared" si="26"/>
        <v>2.037578063755189</v>
      </c>
      <c r="U115" s="5">
        <f t="shared" si="27"/>
        <v>37.616115693566591</v>
      </c>
      <c r="AB115" s="14"/>
      <c r="AD115" s="5">
        <f t="shared" si="28"/>
        <v>4.2499999999999982</v>
      </c>
      <c r="AE115" s="5">
        <f t="shared" si="29"/>
        <v>12.75</v>
      </c>
      <c r="AF115" s="5">
        <f t="shared" si="30"/>
        <v>3.7909153757869953</v>
      </c>
      <c r="AG115" s="5">
        <f t="shared" si="31"/>
        <v>2.4369634693671198</v>
      </c>
      <c r="AH115" s="5">
        <f t="shared" si="38"/>
        <v>0.67697595320993775</v>
      </c>
      <c r="AI115" s="5">
        <f t="shared" si="32"/>
        <v>4.7547875059723257E-2</v>
      </c>
      <c r="AJ115" s="5">
        <f t="shared" si="39"/>
        <v>8.6314434034267057E-2</v>
      </c>
      <c r="AK115" s="5">
        <f t="shared" si="40"/>
        <v>0.59066151917567067</v>
      </c>
      <c r="AL115" s="5">
        <f t="shared" si="33"/>
        <v>0.7569999999999999</v>
      </c>
      <c r="AM115" s="5">
        <v>16.7</v>
      </c>
    </row>
    <row r="116" spans="1:39" x14ac:dyDescent="0.2">
      <c r="A116" s="23">
        <v>45402</v>
      </c>
      <c r="B116" s="20">
        <v>27.2</v>
      </c>
      <c r="C116" s="20">
        <v>87.9</v>
      </c>
      <c r="D116" s="20">
        <v>0.7</v>
      </c>
      <c r="E116" s="20">
        <v>32</v>
      </c>
      <c r="F116" s="20">
        <v>89.25</v>
      </c>
      <c r="G116" s="20">
        <v>2.9083333333333301</v>
      </c>
      <c r="H116" s="20">
        <v>24.9</v>
      </c>
      <c r="I116" s="20">
        <v>65</v>
      </c>
      <c r="J116" s="20">
        <v>0</v>
      </c>
      <c r="K116" s="20">
        <v>0.35771666666666602</v>
      </c>
      <c r="L116" s="20">
        <f t="shared" si="34"/>
        <v>0.16454966666666637</v>
      </c>
      <c r="M116" s="20"/>
      <c r="N116" s="5">
        <f t="shared" si="41"/>
        <v>4.9357673962963018</v>
      </c>
      <c r="O116" s="6">
        <f t="shared" si="35"/>
        <v>5.0312804691293822</v>
      </c>
      <c r="P116" s="20">
        <f t="shared" si="36"/>
        <v>0</v>
      </c>
      <c r="Q116" s="5">
        <f t="shared" si="24"/>
        <v>4.6055976547837965</v>
      </c>
      <c r="R116" s="5">
        <f t="shared" si="37"/>
        <v>2.3050971272240099</v>
      </c>
      <c r="S116" s="5">
        <f t="shared" si="25"/>
        <v>0.1319514578571426</v>
      </c>
      <c r="T116" s="5">
        <f t="shared" si="26"/>
        <v>1.8495950790013003</v>
      </c>
      <c r="U116" s="5">
        <f t="shared" si="27"/>
        <v>37.61136609507394</v>
      </c>
      <c r="AB116" s="14"/>
      <c r="AD116" s="5">
        <f t="shared" si="28"/>
        <v>3.5500000000000007</v>
      </c>
      <c r="AE116" s="5">
        <f t="shared" si="29"/>
        <v>12.125</v>
      </c>
      <c r="AF116" s="5">
        <f t="shared" si="30"/>
        <v>3.7338187409643715</v>
      </c>
      <c r="AG116" s="5">
        <f t="shared" si="31"/>
        <v>2.5840371643542337</v>
      </c>
      <c r="AH116" s="5">
        <f t="shared" si="38"/>
        <v>0.5748907883050689</v>
      </c>
      <c r="AI116" s="5">
        <f t="shared" si="32"/>
        <v>4.0612900076780208E-2</v>
      </c>
      <c r="AJ116" s="5">
        <f t="shared" si="39"/>
        <v>6.9705508081989609E-2</v>
      </c>
      <c r="AK116" s="5">
        <f t="shared" si="40"/>
        <v>0.50518528022307929</v>
      </c>
      <c r="AL116" s="5">
        <f t="shared" si="33"/>
        <v>0.755</v>
      </c>
      <c r="AM116" s="5">
        <v>16.7</v>
      </c>
    </row>
    <row r="117" spans="1:39" x14ac:dyDescent="0.2">
      <c r="A117" s="23">
        <v>45403</v>
      </c>
      <c r="B117" s="20">
        <v>25.7</v>
      </c>
      <c r="C117" s="20">
        <v>93.3</v>
      </c>
      <c r="D117" s="20">
        <v>0.9</v>
      </c>
      <c r="E117" s="20">
        <v>28.7</v>
      </c>
      <c r="F117" s="20">
        <v>94.8333333333333</v>
      </c>
      <c r="G117" s="20">
        <v>2.5916666666666601</v>
      </c>
      <c r="H117" s="20">
        <v>25.2</v>
      </c>
      <c r="I117" s="20">
        <v>78</v>
      </c>
      <c r="J117" s="20">
        <v>15.6</v>
      </c>
      <c r="K117" s="20">
        <v>0.20527500000000001</v>
      </c>
      <c r="L117" s="20">
        <f t="shared" si="34"/>
        <v>9.442650000000001E-2</v>
      </c>
      <c r="M117" s="20"/>
      <c r="N117" s="5">
        <f t="shared" si="41"/>
        <v>4.9357673962963018</v>
      </c>
      <c r="O117" s="6">
        <f t="shared" si="35"/>
        <v>5.0312804691293822</v>
      </c>
      <c r="P117" s="20">
        <f t="shared" si="36"/>
        <v>0</v>
      </c>
      <c r="Q117" s="5">
        <f t="shared" si="24"/>
        <v>3.1258460599152191</v>
      </c>
      <c r="R117" s="5">
        <f t="shared" si="37"/>
        <v>1.5644828994931623</v>
      </c>
      <c r="S117" s="5">
        <f t="shared" si="25"/>
        <v>7.4215710000000004E-2</v>
      </c>
      <c r="T117" s="5">
        <f t="shared" si="26"/>
        <v>0.95180556451318421</v>
      </c>
      <c r="U117" s="5">
        <f t="shared" si="27"/>
        <v>37.607091456430553</v>
      </c>
      <c r="AB117" s="14"/>
      <c r="AD117" s="5">
        <f t="shared" si="28"/>
        <v>1.75</v>
      </c>
      <c r="AE117" s="5">
        <f t="shared" si="29"/>
        <v>8.4166666666666501</v>
      </c>
      <c r="AF117" s="5">
        <f t="shared" si="30"/>
        <v>3.1534761781486544</v>
      </c>
      <c r="AG117" s="5">
        <f t="shared" si="31"/>
        <v>2.625469874340034</v>
      </c>
      <c r="AH117" s="5">
        <f t="shared" si="38"/>
        <v>0.26400315190431023</v>
      </c>
      <c r="AI117" s="5">
        <f t="shared" si="32"/>
        <v>1.8932308380504512E-2</v>
      </c>
      <c r="AJ117" s="5">
        <f t="shared" si="39"/>
        <v>2.22202652852794E-2</v>
      </c>
      <c r="AK117" s="5">
        <f t="shared" si="40"/>
        <v>0.24178288661903083</v>
      </c>
      <c r="AL117" s="5">
        <f t="shared" si="33"/>
        <v>0.74</v>
      </c>
      <c r="AM117" s="5">
        <v>16.7</v>
      </c>
    </row>
    <row r="118" spans="1:39" x14ac:dyDescent="0.2">
      <c r="A118" s="23">
        <v>45404</v>
      </c>
      <c r="B118" s="20">
        <v>27.1</v>
      </c>
      <c r="C118" s="20">
        <v>82.2</v>
      </c>
      <c r="D118" s="20">
        <v>1.1000000000000001</v>
      </c>
      <c r="E118" s="20">
        <v>31.6</v>
      </c>
      <c r="F118" s="20">
        <v>86.125</v>
      </c>
      <c r="G118" s="20">
        <v>3.2666666666666599</v>
      </c>
      <c r="H118" s="20">
        <v>24.2</v>
      </c>
      <c r="I118" s="20">
        <v>59</v>
      </c>
      <c r="J118" s="20">
        <v>9.1999999999999993</v>
      </c>
      <c r="K118" s="20">
        <v>0.453658333333333</v>
      </c>
      <c r="L118" s="20">
        <f t="shared" si="34"/>
        <v>0.20868283333333318</v>
      </c>
      <c r="M118" s="20"/>
      <c r="N118" s="5">
        <f t="shared" si="41"/>
        <v>4.9357673962963018</v>
      </c>
      <c r="O118" s="6">
        <f t="shared" si="35"/>
        <v>5.0312804691293822</v>
      </c>
      <c r="P118" s="20">
        <f t="shared" si="36"/>
        <v>0</v>
      </c>
      <c r="Q118" s="5">
        <f t="shared" si="24"/>
        <v>4.6914436905199457</v>
      </c>
      <c r="R118" s="5">
        <f t="shared" si="37"/>
        <v>2.348062984250932</v>
      </c>
      <c r="S118" s="5">
        <f t="shared" si="25"/>
        <v>0.16711995299999988</v>
      </c>
      <c r="T118" s="5">
        <f t="shared" si="26"/>
        <v>1.9832603684637538</v>
      </c>
      <c r="U118" s="5">
        <f t="shared" si="27"/>
        <v>37.615878213641963</v>
      </c>
      <c r="AB118" s="14"/>
      <c r="AD118" s="5">
        <f t="shared" si="28"/>
        <v>3.7000000000000011</v>
      </c>
      <c r="AE118" s="5">
        <f t="shared" si="29"/>
        <v>13.5625</v>
      </c>
      <c r="AF118" s="5">
        <f t="shared" si="30"/>
        <v>3.6588553838729245</v>
      </c>
      <c r="AG118" s="5">
        <f t="shared" si="31"/>
        <v>2.4895751699974444</v>
      </c>
      <c r="AH118" s="5">
        <f t="shared" si="38"/>
        <v>0.58464010693774005</v>
      </c>
      <c r="AI118" s="5">
        <f t="shared" si="32"/>
        <v>4.1250239462661778E-2</v>
      </c>
      <c r="AJ118" s="5">
        <f t="shared" si="39"/>
        <v>7.9291814503430993E-2</v>
      </c>
      <c r="AK118" s="5">
        <f t="shared" si="40"/>
        <v>0.50534829243430901</v>
      </c>
      <c r="AL118" s="5">
        <f t="shared" si="33"/>
        <v>0.754</v>
      </c>
      <c r="AM118" s="5">
        <v>16.7</v>
      </c>
    </row>
    <row r="119" spans="1:39" x14ac:dyDescent="0.2">
      <c r="A119" s="23">
        <v>45405</v>
      </c>
      <c r="B119" s="20">
        <v>27.9</v>
      </c>
      <c r="C119" s="20">
        <v>81.8</v>
      </c>
      <c r="D119" s="20">
        <v>1.5</v>
      </c>
      <c r="E119" s="20">
        <v>32.5</v>
      </c>
      <c r="F119" s="20">
        <v>84.5416666666666</v>
      </c>
      <c r="G119" s="20">
        <v>3.8416666666666601</v>
      </c>
      <c r="H119" s="20">
        <v>25.1</v>
      </c>
      <c r="I119" s="20">
        <v>61</v>
      </c>
      <c r="J119" s="20">
        <v>0</v>
      </c>
      <c r="K119" s="20">
        <v>0.441</v>
      </c>
      <c r="L119" s="20">
        <f t="shared" si="34"/>
        <v>0.20286000000000001</v>
      </c>
      <c r="M119" s="20"/>
      <c r="N119" s="5">
        <f t="shared" si="41"/>
        <v>4.9357673962963018</v>
      </c>
      <c r="O119" s="6">
        <f t="shared" si="35"/>
        <v>5.0312804691293822</v>
      </c>
      <c r="P119" s="20">
        <f t="shared" si="36"/>
        <v>0</v>
      </c>
      <c r="Q119" s="5">
        <f t="shared" si="24"/>
        <v>4.775032887678428</v>
      </c>
      <c r="R119" s="5">
        <f t="shared" si="37"/>
        <v>2.3898992957743328</v>
      </c>
      <c r="S119" s="5">
        <f t="shared" si="25"/>
        <v>0.16418051999999997</v>
      </c>
      <c r="T119" s="5">
        <f t="shared" si="26"/>
        <v>2.2855659828931105</v>
      </c>
      <c r="U119" s="5">
        <f t="shared" si="27"/>
        <v>37.616194853541465</v>
      </c>
      <c r="AB119" s="14"/>
      <c r="AD119" s="5">
        <f t="shared" si="28"/>
        <v>3.6999999999999993</v>
      </c>
      <c r="AE119" s="5">
        <f t="shared" si="29"/>
        <v>11.7708333333333</v>
      </c>
      <c r="AF119" s="5">
        <f t="shared" si="30"/>
        <v>3.8294006907571303</v>
      </c>
      <c r="AG119" s="5">
        <f t="shared" si="31"/>
        <v>2.6115949581648166</v>
      </c>
      <c r="AH119" s="5">
        <f t="shared" si="38"/>
        <v>0.60890286629615686</v>
      </c>
      <c r="AI119" s="5">
        <f t="shared" si="32"/>
        <v>4.2962138153297136E-2</v>
      </c>
      <c r="AJ119" s="5">
        <f t="shared" si="39"/>
        <v>7.1672941553609926E-2</v>
      </c>
      <c r="AK119" s="5">
        <f t="shared" si="40"/>
        <v>0.53722992474254694</v>
      </c>
      <c r="AL119" s="5">
        <f t="shared" si="33"/>
        <v>0.76200000000000001</v>
      </c>
      <c r="AM119" s="5">
        <v>16.7</v>
      </c>
    </row>
    <row r="120" spans="1:39" x14ac:dyDescent="0.2">
      <c r="A120" s="23">
        <v>45406</v>
      </c>
      <c r="B120" s="20">
        <v>26.2</v>
      </c>
      <c r="C120" s="20">
        <v>91</v>
      </c>
      <c r="D120" s="20">
        <v>0.9</v>
      </c>
      <c r="E120" s="20">
        <v>30</v>
      </c>
      <c r="F120" s="20">
        <v>92.3333333333333</v>
      </c>
      <c r="G120" s="20">
        <v>2.8791666666666602</v>
      </c>
      <c r="H120" s="20">
        <v>25.4</v>
      </c>
      <c r="I120" s="20">
        <v>75</v>
      </c>
      <c r="J120" s="20">
        <v>1.4</v>
      </c>
      <c r="K120" s="20">
        <v>0.1801875</v>
      </c>
      <c r="L120" s="20">
        <f t="shared" si="34"/>
        <v>8.2886250000000009E-2</v>
      </c>
      <c r="M120" s="20"/>
      <c r="N120" s="5">
        <f t="shared" si="41"/>
        <v>4.9357673962963018</v>
      </c>
      <c r="O120" s="6">
        <f t="shared" si="35"/>
        <v>5.0312804691293822</v>
      </c>
      <c r="P120" s="20">
        <f t="shared" si="36"/>
        <v>0</v>
      </c>
      <c r="Q120" s="5">
        <f t="shared" si="24"/>
        <v>3.6247319800724584</v>
      </c>
      <c r="R120" s="5">
        <f t="shared" si="37"/>
        <v>1.8141748151932853</v>
      </c>
      <c r="S120" s="5">
        <f t="shared" si="25"/>
        <v>6.5585675892857132E-2</v>
      </c>
      <c r="T120" s="5">
        <f t="shared" si="26"/>
        <v>1.3063546436398235</v>
      </c>
      <c r="U120" s="5">
        <f t="shared" si="27"/>
        <v>37.608912135852741</v>
      </c>
      <c r="AB120" s="14"/>
      <c r="AD120" s="5">
        <f t="shared" si="28"/>
        <v>2.3000000000000007</v>
      </c>
      <c r="AE120" s="5">
        <f t="shared" si="29"/>
        <v>8.6666666666666501</v>
      </c>
      <c r="AF120" s="5">
        <f t="shared" si="30"/>
        <v>3.3719488094793313</v>
      </c>
      <c r="AG120" s="5">
        <f t="shared" si="31"/>
        <v>2.6534130007609296</v>
      </c>
      <c r="AH120" s="5">
        <f t="shared" si="38"/>
        <v>0.35926790435920086</v>
      </c>
      <c r="AI120" s="5">
        <f t="shared" si="32"/>
        <v>2.5645829304823647E-2</v>
      </c>
      <c r="AJ120" s="5">
        <f t="shared" si="39"/>
        <v>3.1136551711130681E-2</v>
      </c>
      <c r="AK120" s="5">
        <f t="shared" si="40"/>
        <v>0.3281313526480702</v>
      </c>
      <c r="AL120" s="5">
        <f t="shared" si="33"/>
        <v>0.745</v>
      </c>
      <c r="AM120" s="5">
        <v>16.7</v>
      </c>
    </row>
    <row r="121" spans="1:39" x14ac:dyDescent="0.2">
      <c r="A121" s="23">
        <v>45407</v>
      </c>
      <c r="B121" s="20">
        <v>26.2</v>
      </c>
      <c r="C121" s="20">
        <v>86.9</v>
      </c>
      <c r="D121" s="20">
        <v>1.2</v>
      </c>
      <c r="E121" s="20">
        <v>29.1</v>
      </c>
      <c r="F121" s="20">
        <v>88.9166666666666</v>
      </c>
      <c r="G121" s="20">
        <v>3.2124999999999999</v>
      </c>
      <c r="H121" s="20">
        <v>24.2</v>
      </c>
      <c r="I121" s="20">
        <v>72</v>
      </c>
      <c r="J121" s="20">
        <v>13.2</v>
      </c>
      <c r="K121" s="20">
        <v>0.33482499999999998</v>
      </c>
      <c r="L121" s="20">
        <f t="shared" si="34"/>
        <v>0.1540195</v>
      </c>
      <c r="M121" s="20"/>
      <c r="N121" s="5">
        <f t="shared" si="41"/>
        <v>4.9357673962963018</v>
      </c>
      <c r="O121" s="6">
        <f t="shared" si="35"/>
        <v>5.0312804691293822</v>
      </c>
      <c r="P121" s="20">
        <f t="shared" si="36"/>
        <v>0</v>
      </c>
      <c r="Q121" s="5">
        <f t="shared" si="24"/>
        <v>3.7410630157536775</v>
      </c>
      <c r="R121" s="5">
        <f t="shared" si="37"/>
        <v>1.8723983849133286</v>
      </c>
      <c r="S121" s="5">
        <f t="shared" si="25"/>
        <v>0.12187151678571426</v>
      </c>
      <c r="T121" s="5">
        <f t="shared" si="26"/>
        <v>1.420911615206244</v>
      </c>
      <c r="U121" s="5">
        <f t="shared" si="27"/>
        <v>37.61215769482272</v>
      </c>
      <c r="AB121" s="14"/>
      <c r="AD121" s="5">
        <f t="shared" si="28"/>
        <v>2.4500000000000011</v>
      </c>
      <c r="AE121" s="5">
        <f t="shared" si="29"/>
        <v>8.4583333333333002</v>
      </c>
      <c r="AF121" s="5">
        <f t="shared" si="30"/>
        <v>3.2193441143194796</v>
      </c>
      <c r="AG121" s="5">
        <f t="shared" si="31"/>
        <v>2.4895751699974444</v>
      </c>
      <c r="AH121" s="5">
        <f t="shared" si="38"/>
        <v>0.3648844721610176</v>
      </c>
      <c r="AI121" s="5">
        <f t="shared" si="32"/>
        <v>2.6014177818888946E-2</v>
      </c>
      <c r="AJ121" s="5">
        <f t="shared" si="39"/>
        <v>3.0863144936952618E-2</v>
      </c>
      <c r="AK121" s="5">
        <f t="shared" si="40"/>
        <v>0.33402132722406497</v>
      </c>
      <c r="AL121" s="5">
        <f t="shared" si="33"/>
        <v>0.745</v>
      </c>
      <c r="AM121" s="5">
        <v>16.7</v>
      </c>
    </row>
    <row r="122" spans="1:39" x14ac:dyDescent="0.2">
      <c r="A122" s="23">
        <v>45408</v>
      </c>
      <c r="B122" s="20">
        <v>27.3</v>
      </c>
      <c r="C122" s="20">
        <v>80</v>
      </c>
      <c r="D122" s="20">
        <v>1.2</v>
      </c>
      <c r="E122" s="20">
        <v>32.799999999999997</v>
      </c>
      <c r="F122" s="20">
        <v>83</v>
      </c>
      <c r="G122" s="20">
        <v>3.74166666666666</v>
      </c>
      <c r="H122" s="20">
        <v>23.8</v>
      </c>
      <c r="I122" s="20">
        <v>58</v>
      </c>
      <c r="J122" s="20">
        <v>0</v>
      </c>
      <c r="K122" s="20">
        <v>0.4952125</v>
      </c>
      <c r="L122" s="20">
        <f t="shared" si="34"/>
        <v>0.22779775000000002</v>
      </c>
      <c r="M122" s="20"/>
      <c r="N122" s="5">
        <f t="shared" si="41"/>
        <v>4.9357673962963018</v>
      </c>
      <c r="O122" s="6">
        <f t="shared" si="35"/>
        <v>5.0312804691293822</v>
      </c>
      <c r="P122" s="20">
        <f t="shared" si="36"/>
        <v>0</v>
      </c>
      <c r="Q122" s="5">
        <f t="shared" si="24"/>
        <v>5.1968729999999992</v>
      </c>
      <c r="R122" s="5">
        <f t="shared" si="37"/>
        <v>2.6010298599151889</v>
      </c>
      <c r="S122" s="5">
        <f t="shared" si="25"/>
        <v>0.18291168899999996</v>
      </c>
      <c r="T122" s="5">
        <f t="shared" si="26"/>
        <v>2.5517565655793475</v>
      </c>
      <c r="U122" s="5">
        <f t="shared" si="27"/>
        <v>37.617619733089263</v>
      </c>
      <c r="AB122" s="14"/>
      <c r="AD122" s="5">
        <f t="shared" si="28"/>
        <v>4.4999999999999982</v>
      </c>
      <c r="AE122" s="5">
        <f t="shared" si="29"/>
        <v>12.5</v>
      </c>
      <c r="AF122" s="5">
        <f t="shared" si="30"/>
        <v>3.8877662493760701</v>
      </c>
      <c r="AG122" s="5">
        <f t="shared" si="31"/>
        <v>2.4369634693671198</v>
      </c>
      <c r="AH122" s="5">
        <f t="shared" si="38"/>
        <v>0.72540139000447512</v>
      </c>
      <c r="AI122" s="5">
        <f t="shared" si="32"/>
        <v>5.0843769882729865E-2</v>
      </c>
      <c r="AJ122" s="5">
        <f t="shared" si="39"/>
        <v>9.067517375055939E-2</v>
      </c>
      <c r="AK122" s="5">
        <f t="shared" si="40"/>
        <v>0.63472621625391579</v>
      </c>
      <c r="AL122" s="5">
        <f t="shared" si="33"/>
        <v>0.75600000000000001</v>
      </c>
      <c r="AM122" s="5">
        <v>16.7</v>
      </c>
    </row>
    <row r="123" spans="1:39" x14ac:dyDescent="0.2">
      <c r="A123" s="23">
        <v>45409</v>
      </c>
      <c r="B123" s="20">
        <v>29.1</v>
      </c>
      <c r="C123" s="20">
        <v>73.099999999999994</v>
      </c>
      <c r="D123" s="20">
        <v>1.3</v>
      </c>
      <c r="E123" s="20">
        <v>34.700000000000003</v>
      </c>
      <c r="F123" s="20">
        <v>77.375</v>
      </c>
      <c r="G123" s="20">
        <v>3.1666666666666599</v>
      </c>
      <c r="H123" s="20">
        <v>25.5</v>
      </c>
      <c r="I123" s="20">
        <v>53</v>
      </c>
      <c r="J123" s="20">
        <v>0</v>
      </c>
      <c r="K123" s="20">
        <v>0.51881250000000001</v>
      </c>
      <c r="L123" s="20">
        <f t="shared" si="34"/>
        <v>0.23865375000000003</v>
      </c>
      <c r="M123" s="20"/>
      <c r="N123" s="5">
        <f t="shared" si="41"/>
        <v>4.9357673962963018</v>
      </c>
      <c r="O123" s="6">
        <f t="shared" si="35"/>
        <v>5.0312804691293822</v>
      </c>
      <c r="P123" s="20">
        <f t="shared" si="36"/>
        <v>0</v>
      </c>
      <c r="Q123" s="5">
        <f t="shared" si="24"/>
        <v>5.4640046913209375</v>
      </c>
      <c r="R123" s="5">
        <f t="shared" si="37"/>
        <v>2.7347290104727278</v>
      </c>
      <c r="S123" s="5">
        <f t="shared" si="25"/>
        <v>0.19619117035714281</v>
      </c>
      <c r="T123" s="5">
        <f t="shared" si="26"/>
        <v>2.5009311808749422</v>
      </c>
      <c r="U123" s="5">
        <f t="shared" si="27"/>
        <v>37.623081771355807</v>
      </c>
      <c r="AB123" s="14"/>
      <c r="AD123" s="5">
        <f t="shared" si="28"/>
        <v>4.6000000000000014</v>
      </c>
      <c r="AE123" s="5">
        <f t="shared" si="29"/>
        <v>12.1875</v>
      </c>
      <c r="AF123" s="5">
        <f t="shared" si="30"/>
        <v>4.2757149343567242</v>
      </c>
      <c r="AG123" s="5">
        <f t="shared" si="31"/>
        <v>2.667481715569846</v>
      </c>
      <c r="AH123" s="5">
        <f t="shared" si="38"/>
        <v>0.8041166093934391</v>
      </c>
      <c r="AI123" s="5">
        <f t="shared" si="32"/>
        <v>5.6314372614321435E-2</v>
      </c>
      <c r="AJ123" s="5">
        <f t="shared" si="39"/>
        <v>9.8001711769825389E-2</v>
      </c>
      <c r="AK123" s="5">
        <f t="shared" si="40"/>
        <v>0.70611489762361368</v>
      </c>
      <c r="AL123" s="5">
        <f t="shared" si="33"/>
        <v>0.77400000000000002</v>
      </c>
      <c r="AM123" s="5">
        <v>16.7</v>
      </c>
    </row>
    <row r="124" spans="1:39" x14ac:dyDescent="0.2">
      <c r="A124" s="23">
        <v>45410</v>
      </c>
      <c r="B124" s="20">
        <v>29.6</v>
      </c>
      <c r="C124" s="20">
        <v>71.3</v>
      </c>
      <c r="D124" s="20">
        <v>1.5</v>
      </c>
      <c r="E124" s="20">
        <v>34.1</v>
      </c>
      <c r="F124" s="20">
        <v>74.4583333333333</v>
      </c>
      <c r="G124" s="20">
        <v>3.5874999999999999</v>
      </c>
      <c r="H124" s="20">
        <v>25</v>
      </c>
      <c r="I124" s="20">
        <v>45</v>
      </c>
      <c r="J124" s="20">
        <v>0</v>
      </c>
      <c r="K124" s="20">
        <v>0.67660833333333303</v>
      </c>
      <c r="L124" s="20">
        <f t="shared" si="34"/>
        <v>0.31123983333333322</v>
      </c>
      <c r="M124" s="20"/>
      <c r="N124" s="5">
        <f t="shared" si="41"/>
        <v>4.9357673962963018</v>
      </c>
      <c r="O124" s="6">
        <f t="shared" si="35"/>
        <v>5.0312804691293822</v>
      </c>
      <c r="P124" s="20">
        <f t="shared" si="36"/>
        <v>0</v>
      </c>
      <c r="Q124" s="5">
        <f t="shared" si="24"/>
        <v>5.4921620764321588</v>
      </c>
      <c r="R124" s="5">
        <f t="shared" si="37"/>
        <v>2.7488217542152471</v>
      </c>
      <c r="S124" s="5">
        <f t="shared" si="25"/>
        <v>0.25751519849999988</v>
      </c>
      <c r="T124" s="5">
        <f t="shared" si="26"/>
        <v>2.5703497846653627</v>
      </c>
      <c r="U124" s="5">
        <f t="shared" si="27"/>
        <v>37.624506650903605</v>
      </c>
      <c r="AB124" s="14"/>
      <c r="AD124" s="5">
        <f t="shared" si="28"/>
        <v>4.5500000000000007</v>
      </c>
      <c r="AE124" s="5">
        <f t="shared" si="29"/>
        <v>14.72916666666665</v>
      </c>
      <c r="AF124" s="5">
        <f t="shared" si="30"/>
        <v>4.1497228216209656</v>
      </c>
      <c r="AG124" s="5">
        <f t="shared" si="31"/>
        <v>2.5977841382776066</v>
      </c>
      <c r="AH124" s="5">
        <f t="shared" si="38"/>
        <v>0.77596934167167952</v>
      </c>
      <c r="AI124" s="5">
        <f t="shared" si="32"/>
        <v>5.4365618517322647E-2</v>
      </c>
      <c r="AJ124" s="5">
        <f t="shared" si="39"/>
        <v>0.11429381761705766</v>
      </c>
      <c r="AK124" s="5">
        <f t="shared" si="40"/>
        <v>0.66167552405462182</v>
      </c>
      <c r="AL124" s="5">
        <f t="shared" si="33"/>
        <v>0.77900000000000003</v>
      </c>
      <c r="AM124" s="5">
        <v>16.7</v>
      </c>
    </row>
    <row r="125" spans="1:39" x14ac:dyDescent="0.2">
      <c r="A125" s="23">
        <v>45411</v>
      </c>
      <c r="B125" s="20">
        <v>29.1</v>
      </c>
      <c r="C125" s="20">
        <v>76.3</v>
      </c>
      <c r="D125" s="20">
        <v>1.4</v>
      </c>
      <c r="E125" s="20">
        <v>33.200000000000003</v>
      </c>
      <c r="F125" s="20">
        <v>79.0416666666666</v>
      </c>
      <c r="G125" s="20">
        <v>3.8916666666666599</v>
      </c>
      <c r="H125" s="20">
        <v>25.3</v>
      </c>
      <c r="I125" s="20">
        <v>60</v>
      </c>
      <c r="J125" s="20">
        <v>4</v>
      </c>
      <c r="K125" s="20">
        <v>0.55377916666666605</v>
      </c>
      <c r="L125" s="20">
        <f t="shared" si="34"/>
        <v>0.25473841666666641</v>
      </c>
      <c r="M125" s="20"/>
      <c r="N125" s="5">
        <f>IF(0&lt;$X$9&lt;26.5,16*(((10*$X$9)/$Z$6)^$Z$6)/30,((-415.85)+(32.24*$X$9)-(0.43*$X$9^2))/30)</f>
        <v>4.9357673962963018</v>
      </c>
      <c r="O125" s="6">
        <f t="shared" si="35"/>
        <v>5.0312804691293822</v>
      </c>
      <c r="P125" s="20">
        <f t="shared" si="36"/>
        <v>0</v>
      </c>
      <c r="Q125" s="5">
        <f t="shared" si="24"/>
        <v>5.0632654376522579</v>
      </c>
      <c r="R125" s="5">
        <f t="shared" si="37"/>
        <v>2.534159405475191</v>
      </c>
      <c r="S125" s="5">
        <f t="shared" si="25"/>
        <v>0.20941396521428546</v>
      </c>
      <c r="T125" s="5">
        <f t="shared" si="26"/>
        <v>2.5297755293255841</v>
      </c>
      <c r="U125" s="5">
        <f t="shared" si="27"/>
        <v>37.620548652159734</v>
      </c>
      <c r="AB125" s="14"/>
      <c r="AD125" s="5">
        <f t="shared" si="28"/>
        <v>3.9500000000000011</v>
      </c>
      <c r="AE125" s="5">
        <f t="shared" si="29"/>
        <v>9.5208333333333002</v>
      </c>
      <c r="AF125" s="5">
        <f t="shared" si="30"/>
        <v>3.9667903920272027</v>
      </c>
      <c r="AG125" s="5">
        <f t="shared" si="31"/>
        <v>2.6394091379090368</v>
      </c>
      <c r="AH125" s="5">
        <f t="shared" si="38"/>
        <v>0.66369062705908299</v>
      </c>
      <c r="AI125" s="5">
        <f t="shared" si="32"/>
        <v>4.6730776165813802E-2</v>
      </c>
      <c r="AJ125" s="5">
        <f t="shared" si="39"/>
        <v>6.3188878451249972E-2</v>
      </c>
      <c r="AK125" s="5">
        <f t="shared" si="40"/>
        <v>0.60050174860783301</v>
      </c>
      <c r="AL125" s="5">
        <f t="shared" si="33"/>
        <v>0.77400000000000002</v>
      </c>
      <c r="AM125" s="5">
        <v>16.7</v>
      </c>
    </row>
    <row r="126" spans="1:39" x14ac:dyDescent="0.2">
      <c r="A126" s="23">
        <v>45412</v>
      </c>
      <c r="B126" s="20">
        <v>28.1</v>
      </c>
      <c r="C126" s="20">
        <v>80.8</v>
      </c>
      <c r="D126" s="20">
        <v>1.3</v>
      </c>
      <c r="E126" s="20">
        <v>32.799999999999997</v>
      </c>
      <c r="F126" s="20">
        <v>84.2916666666666</v>
      </c>
      <c r="G126" s="20">
        <v>3.9249999999999998</v>
      </c>
      <c r="H126" s="20">
        <v>25</v>
      </c>
      <c r="I126" s="20">
        <v>60</v>
      </c>
      <c r="J126" s="20">
        <v>0</v>
      </c>
      <c r="K126" s="20">
        <v>0.52624583333333308</v>
      </c>
      <c r="L126" s="20">
        <f t="shared" si="34"/>
        <v>0.24207308333333322</v>
      </c>
      <c r="M126" s="20"/>
      <c r="N126" s="5">
        <f t="shared" si="41"/>
        <v>4.9357673962963018</v>
      </c>
      <c r="O126" s="6">
        <f t="shared" si="35"/>
        <v>5.0312804691293822</v>
      </c>
      <c r="P126" s="20">
        <f t="shared" si="36"/>
        <v>0</v>
      </c>
      <c r="Q126" s="5">
        <f t="shared" si="24"/>
        <v>4.9238441035450951</v>
      </c>
      <c r="R126" s="5">
        <f t="shared" si="37"/>
        <v>2.4643791639488075</v>
      </c>
      <c r="S126" s="5">
        <f t="shared" si="25"/>
        <v>0.19643103042857132</v>
      </c>
      <c r="T126" s="5">
        <f t="shared" si="26"/>
        <v>2.4138981744200185</v>
      </c>
      <c r="U126" s="5">
        <f t="shared" si="27"/>
        <v>37.616986453290245</v>
      </c>
      <c r="AB126" s="14"/>
      <c r="AD126" s="5">
        <f t="shared" si="28"/>
        <v>3.8999999999999986</v>
      </c>
      <c r="AE126" s="5">
        <f t="shared" si="29"/>
        <v>12.1458333333333</v>
      </c>
      <c r="AF126" s="5">
        <f t="shared" si="30"/>
        <v>3.8877662493760701</v>
      </c>
      <c r="AG126" s="5">
        <f t="shared" si="31"/>
        <v>2.5977841382776066</v>
      </c>
      <c r="AH126" s="5">
        <f t="shared" si="38"/>
        <v>0.64499105554923175</v>
      </c>
      <c r="AI126" s="5">
        <f t="shared" si="32"/>
        <v>4.543296070849373E-2</v>
      </c>
      <c r="AJ126" s="5">
        <f t="shared" si="39"/>
        <v>7.8339538621916893E-2</v>
      </c>
      <c r="AK126" s="5">
        <f t="shared" si="40"/>
        <v>0.56665151692731486</v>
      </c>
      <c r="AL126" s="5">
        <f t="shared" si="33"/>
        <v>0.76400000000000001</v>
      </c>
      <c r="AM126" s="5">
        <v>16.7</v>
      </c>
    </row>
    <row r="127" spans="1:39" x14ac:dyDescent="0.2">
      <c r="A127" s="23">
        <v>45413</v>
      </c>
      <c r="B127" s="20">
        <v>28.7</v>
      </c>
      <c r="C127" s="20">
        <v>78.5</v>
      </c>
      <c r="D127" s="20">
        <v>1.4</v>
      </c>
      <c r="E127" s="20">
        <v>33.299999999999997</v>
      </c>
      <c r="F127" s="20">
        <v>82.5416666666666</v>
      </c>
      <c r="G127" s="20">
        <v>3.80416666666666</v>
      </c>
      <c r="H127" s="20">
        <v>25.5</v>
      </c>
      <c r="I127" s="20">
        <v>59</v>
      </c>
      <c r="J127" s="20">
        <v>1</v>
      </c>
      <c r="K127" s="20">
        <v>0.47499166666666598</v>
      </c>
      <c r="L127" s="20">
        <f t="shared" si="34"/>
        <v>0.21849616666666635</v>
      </c>
      <c r="M127" s="20"/>
      <c r="N127" s="5">
        <f t="shared" si="41"/>
        <v>4.9357673962963018</v>
      </c>
      <c r="O127" s="6">
        <f t="shared" si="35"/>
        <v>5.0312804691293822</v>
      </c>
      <c r="P127" s="20">
        <f t="shared" si="36"/>
        <v>0</v>
      </c>
      <c r="Q127" s="5">
        <f t="shared" si="24"/>
        <v>4.988208078754834</v>
      </c>
      <c r="R127" s="5">
        <f t="shared" si="37"/>
        <v>2.4965932706670921</v>
      </c>
      <c r="S127" s="5">
        <f t="shared" si="25"/>
        <v>0.17869186499999973</v>
      </c>
      <c r="T127" s="5">
        <f t="shared" si="26"/>
        <v>2.4190110711204755</v>
      </c>
      <c r="U127" s="5">
        <f t="shared" si="27"/>
        <v>37.618807132712419</v>
      </c>
      <c r="AB127" s="14"/>
      <c r="AD127" s="5">
        <f t="shared" si="28"/>
        <v>3.8999999999999986</v>
      </c>
      <c r="AE127" s="5">
        <f t="shared" si="29"/>
        <v>11.7708333333333</v>
      </c>
      <c r="AF127" s="5">
        <f t="shared" si="30"/>
        <v>3.9867634365677822</v>
      </c>
      <c r="AG127" s="5">
        <f t="shared" si="31"/>
        <v>2.667481715569846</v>
      </c>
      <c r="AH127" s="5">
        <f t="shared" si="38"/>
        <v>0.65964086049896808</v>
      </c>
      <c r="AI127" s="5">
        <f t="shared" si="32"/>
        <v>4.6464888216545291E-2</v>
      </c>
      <c r="AJ127" s="5">
        <f t="shared" si="39"/>
        <v>7.7645226287899147E-2</v>
      </c>
      <c r="AK127" s="5">
        <f t="shared" si="40"/>
        <v>0.58199563421106892</v>
      </c>
      <c r="AL127" s="5">
        <f t="shared" si="33"/>
        <v>0.77</v>
      </c>
      <c r="AM127" s="5">
        <v>16.7</v>
      </c>
    </row>
    <row r="128" spans="1:39" x14ac:dyDescent="0.2">
      <c r="A128" s="23">
        <v>45414</v>
      </c>
      <c r="B128" s="20">
        <v>29.4</v>
      </c>
      <c r="C128" s="20">
        <v>74.2</v>
      </c>
      <c r="D128" s="20">
        <v>1.8</v>
      </c>
      <c r="E128" s="20">
        <v>33.200000000000003</v>
      </c>
      <c r="F128" s="20">
        <v>76.7083333333333</v>
      </c>
      <c r="G128" s="20">
        <v>4.55</v>
      </c>
      <c r="H128" s="20">
        <v>27</v>
      </c>
      <c r="I128" s="20">
        <v>55</v>
      </c>
      <c r="J128" s="20">
        <v>0</v>
      </c>
      <c r="K128" s="20">
        <v>0.58223749999999996</v>
      </c>
      <c r="L128" s="20">
        <f t="shared" si="34"/>
        <v>0.26782925000000002</v>
      </c>
      <c r="M128" s="20"/>
      <c r="N128" s="5">
        <f>IF(0&lt;B128&lt;26.5,16*(((10*B128)/#REF!)^#REF!)/30,((-415.85)+(32.24*B128)-(0.43*B128^2))/30)</f>
        <v>5.3443733333333343</v>
      </c>
      <c r="O128" s="6">
        <f t="shared" si="35"/>
        <v>5.0312804691293822</v>
      </c>
      <c r="P128" s="20">
        <f t="shared" si="36"/>
        <v>0</v>
      </c>
      <c r="Q128" s="5">
        <f t="shared" si="24"/>
        <v>4.514214075194575</v>
      </c>
      <c r="R128" s="5">
        <f t="shared" si="37"/>
        <v>2.2593597349079961</v>
      </c>
      <c r="S128" s="5">
        <f t="shared" si="25"/>
        <v>0.22102899974999995</v>
      </c>
      <c r="T128" s="5">
        <f t="shared" si="26"/>
        <v>2.3071718093385347</v>
      </c>
      <c r="U128" s="5">
        <f t="shared" si="27"/>
        <v>37.62221101163216</v>
      </c>
      <c r="AB128" s="14"/>
      <c r="AD128" s="5">
        <f t="shared" si="28"/>
        <v>3.1000000000000014</v>
      </c>
      <c r="AE128" s="5">
        <f t="shared" si="29"/>
        <v>10.85416666666665</v>
      </c>
      <c r="AF128" s="5">
        <f t="shared" si="30"/>
        <v>3.9667903920272027</v>
      </c>
      <c r="AG128" s="5">
        <f t="shared" si="31"/>
        <v>2.8864689131283341</v>
      </c>
      <c r="AH128" s="5">
        <f t="shared" si="38"/>
        <v>0.54016073944943432</v>
      </c>
      <c r="AI128" s="5">
        <f t="shared" si="32"/>
        <v>3.8302404863631706E-2</v>
      </c>
      <c r="AJ128" s="5">
        <f t="shared" si="39"/>
        <v>5.8629946927740588E-2</v>
      </c>
      <c r="AK128" s="5">
        <f t="shared" si="40"/>
        <v>0.48153079252169373</v>
      </c>
      <c r="AL128" s="5">
        <f t="shared" si="33"/>
        <v>0.77699999999999991</v>
      </c>
      <c r="AM128" s="5">
        <v>16.7</v>
      </c>
    </row>
    <row r="129" spans="1:39" x14ac:dyDescent="0.2">
      <c r="A129" s="23">
        <v>45415</v>
      </c>
      <c r="B129" s="20">
        <v>29.2</v>
      </c>
      <c r="C129" s="20">
        <v>76.599999999999994</v>
      </c>
      <c r="D129" s="20">
        <v>1.3</v>
      </c>
      <c r="E129" s="20">
        <v>33.4</v>
      </c>
      <c r="F129" s="20">
        <v>79.1666666666666</v>
      </c>
      <c r="G129" s="20">
        <v>3.7124999999999999</v>
      </c>
      <c r="H129" s="20">
        <v>25.5</v>
      </c>
      <c r="I129" s="20">
        <v>58</v>
      </c>
      <c r="J129" s="20">
        <v>0</v>
      </c>
      <c r="K129" s="20">
        <v>0.57466666666666599</v>
      </c>
      <c r="L129" s="20">
        <f t="shared" si="34"/>
        <v>0.26434666666666634</v>
      </c>
      <c r="M129" s="20"/>
      <c r="N129" s="5">
        <f>IF(0&lt;B129&lt;26.5,16*(((10*B129)/#REF!)^#REF!)/30,((-415.85)+(32.24*B129)-(0.43*B129^2))/30)</f>
        <v>5.2974266666666665</v>
      </c>
      <c r="O129" s="6">
        <f t="shared" si="35"/>
        <v>5.0312804691293822</v>
      </c>
      <c r="P129" s="20">
        <f t="shared" si="36"/>
        <v>0</v>
      </c>
      <c r="Q129" s="5">
        <f t="shared" si="24"/>
        <v>5.0740613127858429</v>
      </c>
      <c r="R129" s="5">
        <f t="shared" si="37"/>
        <v>2.5395627304335595</v>
      </c>
      <c r="S129" s="5">
        <f t="shared" si="25"/>
        <v>0.2175934285714283</v>
      </c>
      <c r="T129" s="5">
        <f t="shared" si="26"/>
        <v>2.4548750272221254</v>
      </c>
      <c r="U129" s="5">
        <f t="shared" si="27"/>
        <v>37.620311172235098</v>
      </c>
      <c r="AB129" s="14"/>
      <c r="AD129" s="5">
        <f t="shared" si="28"/>
        <v>3.9499999999999993</v>
      </c>
      <c r="AE129" s="5">
        <f t="shared" si="29"/>
        <v>10.5833333333333</v>
      </c>
      <c r="AF129" s="5">
        <f t="shared" si="30"/>
        <v>4.0068239237311412</v>
      </c>
      <c r="AG129" s="5">
        <f t="shared" si="31"/>
        <v>2.667481715569846</v>
      </c>
      <c r="AH129" s="5">
        <f t="shared" si="38"/>
        <v>0.66967110408064756</v>
      </c>
      <c r="AI129" s="5">
        <f t="shared" si="32"/>
        <v>4.7151864428424818E-2</v>
      </c>
      <c r="AJ129" s="5">
        <f t="shared" si="39"/>
        <v>7.0873525181868319E-2</v>
      </c>
      <c r="AK129" s="5">
        <f t="shared" si="40"/>
        <v>0.59879757889877927</v>
      </c>
      <c r="AL129" s="5">
        <f t="shared" si="33"/>
        <v>0.77499999999999991</v>
      </c>
      <c r="AM129" s="5">
        <v>16.7</v>
      </c>
    </row>
    <row r="130" spans="1:39" x14ac:dyDescent="0.2">
      <c r="A130" s="23">
        <v>45416</v>
      </c>
      <c r="B130" s="20">
        <v>28.8</v>
      </c>
      <c r="C130" s="20">
        <v>78.599999999999994</v>
      </c>
      <c r="D130" s="20">
        <v>1.5</v>
      </c>
      <c r="E130" s="20">
        <v>32.799999999999997</v>
      </c>
      <c r="F130" s="20">
        <v>80.7916666666666</v>
      </c>
      <c r="G130" s="20">
        <v>4.0791666666666604</v>
      </c>
      <c r="H130" s="20">
        <v>25.8</v>
      </c>
      <c r="I130" s="20">
        <v>62</v>
      </c>
      <c r="J130" s="20">
        <v>0</v>
      </c>
      <c r="K130" s="20">
        <v>0.48412500000000003</v>
      </c>
      <c r="L130" s="20">
        <f t="shared" si="34"/>
        <v>0.22269750000000002</v>
      </c>
      <c r="M130" s="20"/>
      <c r="N130" s="5">
        <f>IF(0&lt;B130&lt;26.5,16*(((10*B130)/#REF!)^#REF!)/30,((-415.85)+(32.24*B130)-(0.43*B130^2))/30)</f>
        <v>5.2000933333333341</v>
      </c>
      <c r="O130" s="6">
        <f t="shared" si="35"/>
        <v>5.0312804691293822</v>
      </c>
      <c r="P130" s="20">
        <f t="shared" si="36"/>
        <v>0</v>
      </c>
      <c r="Q130" s="5">
        <f t="shared" si="24"/>
        <v>4.7356461461823756</v>
      </c>
      <c r="R130" s="5">
        <f t="shared" si="37"/>
        <v>2.370186270130644</v>
      </c>
      <c r="S130" s="5">
        <f t="shared" si="25"/>
        <v>0.18236435464285713</v>
      </c>
      <c r="T130" s="5">
        <f t="shared" si="26"/>
        <v>2.3651502840100305</v>
      </c>
      <c r="U130" s="5">
        <f t="shared" si="27"/>
        <v>37.618727972737545</v>
      </c>
      <c r="AB130" s="14"/>
      <c r="AD130" s="5">
        <f t="shared" si="28"/>
        <v>3.4999999999999982</v>
      </c>
      <c r="AE130" s="5">
        <f t="shared" si="29"/>
        <v>9.3958333333333002</v>
      </c>
      <c r="AF130" s="5">
        <f t="shared" si="30"/>
        <v>3.8877662493760701</v>
      </c>
      <c r="AG130" s="5">
        <f t="shared" si="31"/>
        <v>2.7100795102915933</v>
      </c>
      <c r="AH130" s="5">
        <f t="shared" si="38"/>
        <v>0.58884336954223837</v>
      </c>
      <c r="AI130" s="5">
        <f t="shared" si="32"/>
        <v>4.1615850825047679E-2</v>
      </c>
      <c r="AJ130" s="5">
        <f t="shared" si="39"/>
        <v>5.5326741596572616E-2</v>
      </c>
      <c r="AK130" s="5">
        <f t="shared" si="40"/>
        <v>0.53351662794566579</v>
      </c>
      <c r="AL130" s="5">
        <f t="shared" si="33"/>
        <v>0.77100000000000002</v>
      </c>
      <c r="AM130" s="5">
        <v>16.7</v>
      </c>
    </row>
    <row r="131" spans="1:39" x14ac:dyDescent="0.2">
      <c r="A131" s="23">
        <v>45417</v>
      </c>
      <c r="B131" s="20">
        <v>28.6</v>
      </c>
      <c r="C131" s="20">
        <v>82.3</v>
      </c>
      <c r="D131" s="20">
        <v>1</v>
      </c>
      <c r="E131" s="20">
        <v>31.2</v>
      </c>
      <c r="F131" s="20">
        <v>84.9583333333333</v>
      </c>
      <c r="G131" s="20">
        <v>2.92916666666666</v>
      </c>
      <c r="H131" s="20">
        <v>26.2</v>
      </c>
      <c r="I131" s="20">
        <v>67</v>
      </c>
      <c r="J131" s="20">
        <v>0</v>
      </c>
      <c r="K131" s="20">
        <v>0.29344166666666599</v>
      </c>
      <c r="L131" s="20">
        <f t="shared" si="34"/>
        <v>0.13498316666666635</v>
      </c>
      <c r="M131" s="20"/>
      <c r="N131" s="5">
        <f>IF(0&lt;B131&lt;26.5,16*(((10*B131)/#REF!)^#REF!)/30,((-415.85)+(32.24*B131)-(0.43*B131^2))/30)</f>
        <v>5.1497066666666687</v>
      </c>
      <c r="O131" s="6">
        <f t="shared" si="35"/>
        <v>5.0312804691293822</v>
      </c>
      <c r="P131" s="20">
        <f t="shared" si="36"/>
        <v>0</v>
      </c>
      <c r="Q131" s="5">
        <f t="shared" si="24"/>
        <v>3.985174015131586</v>
      </c>
      <c r="R131" s="5">
        <f t="shared" si="37"/>
        <v>1.9945757016412298</v>
      </c>
      <c r="S131" s="5">
        <f t="shared" si="25"/>
        <v>0.11024938778571403</v>
      </c>
      <c r="T131" s="5">
        <f t="shared" si="26"/>
        <v>1.4694630634521655</v>
      </c>
      <c r="U131" s="5">
        <f t="shared" si="27"/>
        <v>37.615799053667082</v>
      </c>
      <c r="AB131" s="14"/>
      <c r="AD131" s="5">
        <f t="shared" si="28"/>
        <v>2.5</v>
      </c>
      <c r="AE131" s="5">
        <f t="shared" si="29"/>
        <v>8.9791666666666501</v>
      </c>
      <c r="AF131" s="5">
        <f t="shared" si="30"/>
        <v>3.5852060172036411</v>
      </c>
      <c r="AG131" s="5">
        <f t="shared" si="31"/>
        <v>2.7677999643057292</v>
      </c>
      <c r="AH131" s="5">
        <f t="shared" si="38"/>
        <v>0.40870302644895595</v>
      </c>
      <c r="AI131" s="5">
        <f t="shared" si="32"/>
        <v>2.9126040577111125E-2</v>
      </c>
      <c r="AJ131" s="5">
        <f t="shared" si="39"/>
        <v>3.6698125916562435E-2</v>
      </c>
      <c r="AK131" s="5">
        <f t="shared" si="40"/>
        <v>0.37200490053239355</v>
      </c>
      <c r="AL131" s="5">
        <f t="shared" si="33"/>
        <v>0.76900000000000002</v>
      </c>
      <c r="AM131" s="5">
        <v>16.7</v>
      </c>
    </row>
    <row r="132" spans="1:39" x14ac:dyDescent="0.2">
      <c r="A132" s="23">
        <v>45418</v>
      </c>
      <c r="B132" s="20">
        <v>27.2</v>
      </c>
      <c r="C132" s="20">
        <v>88</v>
      </c>
      <c r="D132" s="20">
        <v>1</v>
      </c>
      <c r="E132" s="20">
        <v>31.2</v>
      </c>
      <c r="F132" s="20">
        <v>91</v>
      </c>
      <c r="G132" s="20">
        <v>3.4416666666666602</v>
      </c>
      <c r="H132" s="20">
        <v>23.7</v>
      </c>
      <c r="I132" s="20">
        <v>69</v>
      </c>
      <c r="J132" s="20">
        <v>42</v>
      </c>
      <c r="K132" s="20">
        <v>0.32079166666666603</v>
      </c>
      <c r="L132" s="20">
        <f t="shared" si="34"/>
        <v>0.14756416666666639</v>
      </c>
      <c r="M132" s="20"/>
      <c r="N132" s="5">
        <f>IF(0&lt;B132&lt;26.5,16*(((10*B132)/#REF!)^#REF!)/30,((-415.85)+(32.24*B132)-(0.43*B132^2))/30)</f>
        <v>4.7648933333333332</v>
      </c>
      <c r="O132" s="6">
        <f t="shared" si="35"/>
        <v>5.0312804691293822</v>
      </c>
      <c r="P132" s="20">
        <f t="shared" si="36"/>
        <v>0</v>
      </c>
      <c r="Q132" s="5">
        <f t="shared" si="24"/>
        <v>4.7335552725990215</v>
      </c>
      <c r="R132" s="5">
        <f t="shared" si="37"/>
        <v>2.3691397899446534</v>
      </c>
      <c r="S132" s="5">
        <f t="shared" si="25"/>
        <v>0.11833088035714261</v>
      </c>
      <c r="T132" s="5">
        <f t="shared" si="26"/>
        <v>2.0795018501532989</v>
      </c>
      <c r="U132" s="5">
        <f t="shared" si="27"/>
        <v>37.611286935099066</v>
      </c>
      <c r="AB132" s="14"/>
      <c r="AD132" s="5">
        <f t="shared" si="28"/>
        <v>3.75</v>
      </c>
      <c r="AE132" s="5">
        <f t="shared" si="29"/>
        <v>11</v>
      </c>
      <c r="AF132" s="5">
        <f t="shared" si="30"/>
        <v>3.5852060172036411</v>
      </c>
      <c r="AG132" s="5">
        <f t="shared" si="31"/>
        <v>2.4239634039032953</v>
      </c>
      <c r="AH132" s="5">
        <f t="shared" si="38"/>
        <v>0.58062130665017286</v>
      </c>
      <c r="AI132" s="5">
        <f t="shared" si="32"/>
        <v>4.094969309541116E-2</v>
      </c>
      <c r="AJ132" s="5">
        <f t="shared" si="39"/>
        <v>6.386834373151902E-2</v>
      </c>
      <c r="AK132" s="5">
        <f t="shared" si="40"/>
        <v>0.5167529629186538</v>
      </c>
      <c r="AL132" s="5">
        <f t="shared" si="33"/>
        <v>0.755</v>
      </c>
      <c r="AM132" s="5">
        <v>16.7</v>
      </c>
    </row>
    <row r="133" spans="1:39" x14ac:dyDescent="0.2">
      <c r="A133" s="23">
        <v>45419</v>
      </c>
      <c r="B133" s="20">
        <v>26.4</v>
      </c>
      <c r="C133" s="20">
        <v>90.8</v>
      </c>
      <c r="D133" s="20">
        <v>0.9</v>
      </c>
      <c r="E133" s="20">
        <v>30.3</v>
      </c>
      <c r="F133" s="20">
        <v>92.6666666666666</v>
      </c>
      <c r="G133" s="20">
        <v>2.99166666666666</v>
      </c>
      <c r="H133" s="20">
        <v>24.8</v>
      </c>
      <c r="I133" s="20">
        <v>75</v>
      </c>
      <c r="J133" s="20">
        <v>10.199999999999999</v>
      </c>
      <c r="K133" s="20">
        <v>0.21990833333333298</v>
      </c>
      <c r="L133" s="20">
        <f t="shared" si="34"/>
        <v>0.10115783333333318</v>
      </c>
      <c r="M133" s="20"/>
      <c r="N133" s="5">
        <f>IF(0&lt;B133&lt;26.5,16*(((10*B133)/#REF!)^#REF!)/30,((-415.85)+(32.24*B133)-(0.43*B133^2))/30)</f>
        <v>4.5197733333333323</v>
      </c>
      <c r="O133" s="6">
        <f t="shared" si="35"/>
        <v>5.0312804691293822</v>
      </c>
      <c r="P133" s="20">
        <f t="shared" si="36"/>
        <v>0</v>
      </c>
      <c r="Q133" s="5">
        <f t="shared" si="24"/>
        <v>3.9815110122994759</v>
      </c>
      <c r="R133" s="5">
        <f t="shared" si="37"/>
        <v>1.9927423723019766</v>
      </c>
      <c r="S133" s="5">
        <f t="shared" si="25"/>
        <v>8.0258373642857012E-2</v>
      </c>
      <c r="T133" s="5">
        <f t="shared" si="26"/>
        <v>1.5371374135269982</v>
      </c>
      <c r="U133" s="5">
        <f t="shared" si="27"/>
        <v>37.609070455802495</v>
      </c>
      <c r="AB133" s="14"/>
      <c r="AD133" s="5">
        <f t="shared" si="28"/>
        <v>2.75</v>
      </c>
      <c r="AE133" s="5">
        <f t="shared" si="29"/>
        <v>8.8333333333333002</v>
      </c>
      <c r="AF133" s="5">
        <f t="shared" si="30"/>
        <v>3.4241990055362592</v>
      </c>
      <c r="AG133" s="5">
        <f t="shared" si="31"/>
        <v>2.57035378685043</v>
      </c>
      <c r="AH133" s="5">
        <f t="shared" si="38"/>
        <v>0.42692260934291459</v>
      </c>
      <c r="AI133" s="5">
        <f t="shared" si="32"/>
        <v>3.0361113029024042E-2</v>
      </c>
      <c r="AJ133" s="5">
        <f t="shared" si="39"/>
        <v>3.7711497158623979E-2</v>
      </c>
      <c r="AK133" s="5">
        <f t="shared" si="40"/>
        <v>0.38921111218429061</v>
      </c>
      <c r="AL133" s="5">
        <f t="shared" si="33"/>
        <v>0.747</v>
      </c>
      <c r="AM133" s="5">
        <v>16.7</v>
      </c>
    </row>
    <row r="134" spans="1:39" x14ac:dyDescent="0.2">
      <c r="A134" s="23">
        <v>45420</v>
      </c>
      <c r="B134" s="20">
        <v>28.4</v>
      </c>
      <c r="C134" s="20">
        <v>79.599999999999994</v>
      </c>
      <c r="D134" s="20">
        <v>1.7</v>
      </c>
      <c r="E134" s="20">
        <v>33.299999999999997</v>
      </c>
      <c r="F134" s="20">
        <v>82.6666666666666</v>
      </c>
      <c r="G134" s="20">
        <v>4.2583333333333302</v>
      </c>
      <c r="H134" s="20">
        <v>24.5</v>
      </c>
      <c r="I134" s="20">
        <v>55</v>
      </c>
      <c r="J134" s="20">
        <v>55.4</v>
      </c>
      <c r="K134" s="20">
        <v>0.56298749999999997</v>
      </c>
      <c r="L134" s="20">
        <f t="shared" si="34"/>
        <v>0.25897425000000002</v>
      </c>
      <c r="M134" s="20"/>
      <c r="N134" s="5">
        <f>IF(0&lt;B134&lt;26.5,16*(((10*B134)/#REF!)^#REF!)/30,((-415.85)+(32.24*B134)-(0.43*B134^2))/30)</f>
        <v>5.0981733333333334</v>
      </c>
      <c r="O134" s="6">
        <f t="shared" si="35"/>
        <v>5.0312804691293822</v>
      </c>
      <c r="P134" s="20">
        <f t="shared" si="36"/>
        <v>0</v>
      </c>
      <c r="Q134" s="5">
        <f t="shared" ref="Q134:Q197" si="42">0.0023*(SQRT(E134-H134))*(17.8+B134)*AM134</f>
        <v>5.2641422782750844</v>
      </c>
      <c r="R134" s="5">
        <f t="shared" si="37"/>
        <v>2.6346980679796235</v>
      </c>
      <c r="S134" s="5">
        <f t="shared" ref="S134:S197" si="43">1.26*AL134*((K134*0.95)/2.45)</f>
        <v>0.21097071867857134</v>
      </c>
      <c r="T134" s="5">
        <f t="shared" ref="T134:T197" si="44">((0.408*AI134)*(K134*0.95) + ((0.063*900*G134*AK134)/((AD134+273))))/(AI134+0.063*(1+0.34*G134))</f>
        <v>2.715523865130939</v>
      </c>
      <c r="U134" s="5">
        <f t="shared" ref="U134:U197" si="45">1.21*(10^((7.45*$X$19)/(234.7+$X$19)))*((1-0.01*(C134/100))+(0.21*$X$19)-2.3)</f>
        <v>37.617936372988773</v>
      </c>
      <c r="AB134" s="14"/>
      <c r="AD134" s="5">
        <f t="shared" ref="AD134:AD197" si="46">(E134-H134)/2</f>
        <v>4.3999999999999986</v>
      </c>
      <c r="AE134" s="5">
        <f t="shared" ref="AE134:AE197" si="47">(F134-I134)/2</f>
        <v>13.8333333333333</v>
      </c>
      <c r="AF134" s="5">
        <f t="shared" ref="AF134:AF197" si="48">0.611*10^((7.5*E134)/(273.3+E134))</f>
        <v>3.9867634365677822</v>
      </c>
      <c r="AG134" s="5">
        <f t="shared" ref="AG134:AG197" si="49">0.611*10^((7.5*H134)/(273.3+H134))</f>
        <v>2.529682749076466</v>
      </c>
      <c r="AH134" s="5">
        <f t="shared" si="38"/>
        <v>0.72854034374565813</v>
      </c>
      <c r="AI134" s="5">
        <f t="shared" ref="AI134:AI197" si="50">(4098*AH134)/((237.3+AD134)^2)</f>
        <v>5.1106043416259822E-2</v>
      </c>
      <c r="AJ134" s="5">
        <f t="shared" si="39"/>
        <v>0.10078141421814914</v>
      </c>
      <c r="AK134" s="5">
        <f t="shared" si="40"/>
        <v>0.627758929527509</v>
      </c>
      <c r="AL134" s="5">
        <f t="shared" ref="AL134:AL197" si="51">IF(0&lt;B134&lt;16,0.407+0.0145*B134,0.483+0.01*B134)</f>
        <v>0.7669999999999999</v>
      </c>
      <c r="AM134" s="5">
        <v>16.7</v>
      </c>
    </row>
    <row r="135" spans="1:39" x14ac:dyDescent="0.2">
      <c r="A135" s="23">
        <v>45421</v>
      </c>
      <c r="B135" s="20">
        <v>30.2</v>
      </c>
      <c r="C135" s="20">
        <v>72.099999999999994</v>
      </c>
      <c r="D135" s="20">
        <v>1.8</v>
      </c>
      <c r="E135" s="20">
        <v>34.1</v>
      </c>
      <c r="F135" s="20">
        <v>75.0833333333333</v>
      </c>
      <c r="G135" s="20">
        <v>4.3958333333333304</v>
      </c>
      <c r="H135" s="20">
        <v>26.8</v>
      </c>
      <c r="I135" s="20">
        <v>49</v>
      </c>
      <c r="J135" s="20">
        <v>0</v>
      </c>
      <c r="K135" s="20">
        <v>0.65915416666666604</v>
      </c>
      <c r="L135" s="20">
        <f t="shared" ref="L135:L198" si="52">K135*0.46</f>
        <v>0.30321091666666639</v>
      </c>
      <c r="M135" s="20"/>
      <c r="N135" s="5">
        <f>IF(0&lt;B135&lt;26.5,16*(((10*B135)/#REF!)^#REF!)/30,((-415.85)+(32.24*B135)-(0.43*B135^2))/30)</f>
        <v>5.5206933333333348</v>
      </c>
      <c r="O135" s="6">
        <f t="shared" ref="O135:O198" si="53">$AC$6</f>
        <v>5.0312804691293822</v>
      </c>
      <c r="P135" s="20">
        <f t="shared" ref="P135:P198" si="54">(0.01*B135*Y135)</f>
        <v>0</v>
      </c>
      <c r="Q135" s="5">
        <f t="shared" si="42"/>
        <v>4.9813490521664905</v>
      </c>
      <c r="R135" s="5">
        <f t="shared" ref="R135:R198" si="55">Q135*$W$1</f>
        <v>2.4931603345598918</v>
      </c>
      <c r="S135" s="5">
        <f t="shared" si="43"/>
        <v>0.25280445589285683</v>
      </c>
      <c r="T135" s="5">
        <f t="shared" si="44"/>
        <v>2.55558802806397</v>
      </c>
      <c r="U135" s="5">
        <f t="shared" si="45"/>
        <v>37.623873371104587</v>
      </c>
      <c r="AB135" s="14"/>
      <c r="AD135" s="5">
        <f t="shared" si="46"/>
        <v>3.6500000000000004</v>
      </c>
      <c r="AE135" s="5">
        <f t="shared" si="47"/>
        <v>13.04166666666665</v>
      </c>
      <c r="AF135" s="5">
        <f t="shared" si="48"/>
        <v>4.1497228216209656</v>
      </c>
      <c r="AG135" s="5">
        <f t="shared" si="49"/>
        <v>2.8563929422901966</v>
      </c>
      <c r="AH135" s="5">
        <f t="shared" ref="AH135:AH198" si="56">(AF135-AG135)/2</f>
        <v>0.64666493966538452</v>
      </c>
      <c r="AI135" s="5">
        <f t="shared" si="50"/>
        <v>4.5645441086850015E-2</v>
      </c>
      <c r="AJ135" s="5">
        <f t="shared" ref="AJ135:AJ198" si="57">(AE135*AH135)/100</f>
        <v>8.4335885881360456E-2</v>
      </c>
      <c r="AK135" s="5">
        <f t="shared" ref="AK135:AK198" si="58">AH135-AJ135</f>
        <v>0.56232905378402409</v>
      </c>
      <c r="AL135" s="5">
        <f t="shared" si="51"/>
        <v>0.78499999999999992</v>
      </c>
      <c r="AM135" s="5">
        <v>16.7</v>
      </c>
    </row>
    <row r="136" spans="1:39" x14ac:dyDescent="0.2">
      <c r="A136" s="23">
        <v>45422</v>
      </c>
      <c r="B136" s="20">
        <v>28.1</v>
      </c>
      <c r="C136" s="20">
        <v>81.5</v>
      </c>
      <c r="D136" s="20">
        <v>0.9</v>
      </c>
      <c r="E136" s="20">
        <v>31.6</v>
      </c>
      <c r="F136" s="20">
        <v>83.4583333333333</v>
      </c>
      <c r="G136" s="20">
        <v>3.1583333333333301</v>
      </c>
      <c r="H136" s="20">
        <v>25.3</v>
      </c>
      <c r="I136" s="20">
        <v>65</v>
      </c>
      <c r="J136" s="20">
        <v>5.4</v>
      </c>
      <c r="K136" s="20">
        <v>0.30355833333333299</v>
      </c>
      <c r="L136" s="20">
        <f t="shared" si="52"/>
        <v>0.13963683333333318</v>
      </c>
      <c r="M136" s="20"/>
      <c r="N136" s="5">
        <f>IF(0&lt;B136&lt;26.5,16*(((10*B136)/#REF!)^#REF!)/30,((-415.85)+(32.24*B136)-(0.43*B136^2))/30)</f>
        <v>5.0187233333333321</v>
      </c>
      <c r="O136" s="6">
        <f t="shared" si="53"/>
        <v>5.0312804691293822</v>
      </c>
      <c r="P136" s="20">
        <f t="shared" si="54"/>
        <v>0</v>
      </c>
      <c r="Q136" s="5">
        <f t="shared" si="42"/>
        <v>4.4251425699602382</v>
      </c>
      <c r="R136" s="5">
        <f t="shared" si="55"/>
        <v>2.2147795335480431</v>
      </c>
      <c r="S136" s="5">
        <f t="shared" si="43"/>
        <v>0.11330878542857128</v>
      </c>
      <c r="T136" s="5">
        <f t="shared" si="44"/>
        <v>1.8244882017932145</v>
      </c>
      <c r="U136" s="5">
        <f t="shared" si="45"/>
        <v>37.616432333466101</v>
      </c>
      <c r="AB136" s="14"/>
      <c r="AD136" s="5">
        <f t="shared" si="46"/>
        <v>3.1500000000000004</v>
      </c>
      <c r="AE136" s="5">
        <f t="shared" si="47"/>
        <v>9.2291666666666501</v>
      </c>
      <c r="AF136" s="5">
        <f t="shared" si="48"/>
        <v>3.6588553838729245</v>
      </c>
      <c r="AG136" s="5">
        <f t="shared" si="49"/>
        <v>2.6394091379090368</v>
      </c>
      <c r="AH136" s="5">
        <f t="shared" si="56"/>
        <v>0.50972312298194389</v>
      </c>
      <c r="AI136" s="5">
        <f t="shared" si="50"/>
        <v>3.6129065342539679E-2</v>
      </c>
      <c r="AJ136" s="5">
        <f t="shared" si="57"/>
        <v>4.7043196558541826E-2</v>
      </c>
      <c r="AK136" s="5">
        <f t="shared" si="58"/>
        <v>0.46267992642340205</v>
      </c>
      <c r="AL136" s="5">
        <f t="shared" si="51"/>
        <v>0.76400000000000001</v>
      </c>
      <c r="AM136" s="5">
        <v>16.7</v>
      </c>
    </row>
    <row r="137" spans="1:39" x14ac:dyDescent="0.2">
      <c r="A137" s="23">
        <v>45423</v>
      </c>
      <c r="B137" s="20">
        <v>27.6</v>
      </c>
      <c r="C137" s="20">
        <v>86.3</v>
      </c>
      <c r="D137" s="20">
        <v>0.6</v>
      </c>
      <c r="E137" s="20">
        <v>33.700000000000003</v>
      </c>
      <c r="F137" s="20">
        <v>89.875</v>
      </c>
      <c r="G137" s="20">
        <v>2.43333333333333</v>
      </c>
      <c r="H137" s="20">
        <v>23.3</v>
      </c>
      <c r="I137" s="20">
        <v>61</v>
      </c>
      <c r="J137" s="20">
        <v>20</v>
      </c>
      <c r="K137" s="20">
        <v>0.41980833333333301</v>
      </c>
      <c r="L137" s="20">
        <f t="shared" si="52"/>
        <v>0.1931118333333332</v>
      </c>
      <c r="M137" s="20"/>
      <c r="N137" s="5">
        <f>IF(0&lt;B137&lt;26.5,16*(((10*B137)/#REF!)^#REF!)/30,((-415.85)+(32.24*B137)-(0.43*B137^2))/30)</f>
        <v>4.8805733333333325</v>
      </c>
      <c r="O137" s="6">
        <f t="shared" si="53"/>
        <v>5.0312804691293822</v>
      </c>
      <c r="P137" s="20">
        <f t="shared" si="54"/>
        <v>0</v>
      </c>
      <c r="Q137" s="5">
        <f t="shared" si="42"/>
        <v>5.6236311732365962</v>
      </c>
      <c r="R137" s="5">
        <f t="shared" si="55"/>
        <v>2.8146219087397895</v>
      </c>
      <c r="S137" s="5">
        <f t="shared" si="43"/>
        <v>0.15567572507142841</v>
      </c>
      <c r="T137" s="5">
        <f t="shared" si="44"/>
        <v>2.1198073886933932</v>
      </c>
      <c r="U137" s="5">
        <f t="shared" si="45"/>
        <v>37.612632654671977</v>
      </c>
      <c r="AB137" s="14"/>
      <c r="AD137" s="5">
        <f t="shared" si="46"/>
        <v>5.2000000000000011</v>
      </c>
      <c r="AE137" s="5">
        <f t="shared" si="47"/>
        <v>14.4375</v>
      </c>
      <c r="AF137" s="5">
        <f t="shared" si="48"/>
        <v>4.0675332571595595</v>
      </c>
      <c r="AG137" s="5">
        <f t="shared" si="49"/>
        <v>2.3725673712330511</v>
      </c>
      <c r="AH137" s="5">
        <f t="shared" si="56"/>
        <v>0.84748294296325422</v>
      </c>
      <c r="AI137" s="5">
        <f t="shared" si="50"/>
        <v>5.9058095019890164E-2</v>
      </c>
      <c r="AJ137" s="5">
        <f t="shared" si="57"/>
        <v>0.12235534989031983</v>
      </c>
      <c r="AK137" s="5">
        <f t="shared" si="58"/>
        <v>0.7251275930729344</v>
      </c>
      <c r="AL137" s="5">
        <f t="shared" si="51"/>
        <v>0.75900000000000001</v>
      </c>
      <c r="AM137" s="5">
        <v>16.7</v>
      </c>
    </row>
    <row r="138" spans="1:39" x14ac:dyDescent="0.2">
      <c r="A138" s="23">
        <v>45424</v>
      </c>
      <c r="B138" s="20">
        <v>27.2</v>
      </c>
      <c r="C138" s="20">
        <v>88.5</v>
      </c>
      <c r="D138" s="20">
        <v>0.7</v>
      </c>
      <c r="E138" s="20">
        <v>29.6</v>
      </c>
      <c r="F138" s="20">
        <v>90.7083333333333</v>
      </c>
      <c r="G138" s="20">
        <v>2.5291666666666601</v>
      </c>
      <c r="H138" s="20">
        <v>25.6</v>
      </c>
      <c r="I138" s="20">
        <v>76</v>
      </c>
      <c r="J138" s="20">
        <v>10</v>
      </c>
      <c r="K138" s="20">
        <v>0.24367499999999898</v>
      </c>
      <c r="L138" s="20">
        <f t="shared" si="52"/>
        <v>0.11209049999999954</v>
      </c>
      <c r="M138" s="20"/>
      <c r="N138" s="5">
        <f>IF(0&lt;B138&lt;26.5,16*(((10*B138)/#REF!)^#REF!)/30,((-415.85)+(32.24*B138)-(0.43*B138^2))/30)</f>
        <v>4.7648933333333332</v>
      </c>
      <c r="O138" s="6">
        <f t="shared" si="53"/>
        <v>5.0312804691293822</v>
      </c>
      <c r="P138" s="20">
        <f t="shared" si="54"/>
        <v>0</v>
      </c>
      <c r="Q138" s="5">
        <f t="shared" si="42"/>
        <v>3.4568999999999996</v>
      </c>
      <c r="R138" s="5">
        <f t="shared" si="55"/>
        <v>1.7301750731143166</v>
      </c>
      <c r="S138" s="5">
        <f t="shared" si="43"/>
        <v>8.988474535714247E-2</v>
      </c>
      <c r="T138" s="5">
        <f t="shared" si="44"/>
        <v>1.0922987471564503</v>
      </c>
      <c r="U138" s="5">
        <f t="shared" si="45"/>
        <v>37.610891135224676</v>
      </c>
      <c r="AB138" s="14"/>
      <c r="AD138" s="5">
        <f t="shared" si="46"/>
        <v>2</v>
      </c>
      <c r="AE138" s="5">
        <f t="shared" si="47"/>
        <v>7.3541666666666501</v>
      </c>
      <c r="AF138" s="5">
        <f t="shared" si="48"/>
        <v>3.303363484418278</v>
      </c>
      <c r="AG138" s="5">
        <f t="shared" si="49"/>
        <v>2.6816155357966691</v>
      </c>
      <c r="AH138" s="5">
        <f t="shared" si="56"/>
        <v>0.31087397431080444</v>
      </c>
      <c r="AI138" s="5">
        <f t="shared" si="50"/>
        <v>2.2246972717746658E-2</v>
      </c>
      <c r="AJ138" s="5">
        <f t="shared" si="57"/>
        <v>2.2862190194107023E-2</v>
      </c>
      <c r="AK138" s="5">
        <f t="shared" si="58"/>
        <v>0.28801178411669742</v>
      </c>
      <c r="AL138" s="5">
        <f t="shared" si="51"/>
        <v>0.755</v>
      </c>
      <c r="AM138" s="5">
        <v>16.7</v>
      </c>
    </row>
    <row r="139" spans="1:39" x14ac:dyDescent="0.2">
      <c r="A139" s="23">
        <v>45425</v>
      </c>
      <c r="B139" s="20">
        <v>27.4</v>
      </c>
      <c r="C139" s="20">
        <v>85.7</v>
      </c>
      <c r="D139" s="20">
        <v>1.2</v>
      </c>
      <c r="E139" s="20">
        <v>30.5</v>
      </c>
      <c r="F139" s="20">
        <v>87.6666666666666</v>
      </c>
      <c r="G139" s="20">
        <v>3.55416666666666</v>
      </c>
      <c r="H139" s="20">
        <v>25.4</v>
      </c>
      <c r="I139" s="20">
        <v>69</v>
      </c>
      <c r="J139" s="20">
        <v>0.4</v>
      </c>
      <c r="K139" s="20">
        <v>0.33810416666666598</v>
      </c>
      <c r="L139" s="20">
        <f t="shared" si="52"/>
        <v>0.15552791666666635</v>
      </c>
      <c r="M139" s="20"/>
      <c r="N139" s="5">
        <f>IF(0&lt;B139&lt;26.5,16*(((10*B139)/#REF!)^#REF!)/30,((-415.85)+(32.24*B139)-(0.43*B139^2))/30)</f>
        <v>4.8233066666666673</v>
      </c>
      <c r="O139" s="6">
        <f t="shared" si="53"/>
        <v>5.0312804691293822</v>
      </c>
      <c r="P139" s="20">
        <f t="shared" si="54"/>
        <v>0</v>
      </c>
      <c r="Q139" s="5">
        <f t="shared" si="42"/>
        <v>3.9207380732793666</v>
      </c>
      <c r="R139" s="5">
        <f t="shared" si="55"/>
        <v>1.9623255756886846</v>
      </c>
      <c r="S139" s="5">
        <f t="shared" si="43"/>
        <v>0.12504734303571399</v>
      </c>
      <c r="T139" s="5">
        <f t="shared" si="44"/>
        <v>1.6145787823546291</v>
      </c>
      <c r="U139" s="5">
        <f t="shared" si="45"/>
        <v>37.613107614521248</v>
      </c>
      <c r="AB139" s="14"/>
      <c r="AD139" s="5">
        <f t="shared" si="46"/>
        <v>2.5500000000000007</v>
      </c>
      <c r="AE139" s="5">
        <f t="shared" si="47"/>
        <v>9.3333333333333002</v>
      </c>
      <c r="AF139" s="5">
        <f t="shared" si="48"/>
        <v>3.4594231358551255</v>
      </c>
      <c r="AG139" s="5">
        <f t="shared" si="49"/>
        <v>2.6534130007609296</v>
      </c>
      <c r="AH139" s="5">
        <f t="shared" si="56"/>
        <v>0.40300506754709797</v>
      </c>
      <c r="AI139" s="5">
        <f t="shared" si="50"/>
        <v>2.8708005160580776E-2</v>
      </c>
      <c r="AJ139" s="5">
        <f t="shared" si="57"/>
        <v>3.7613806304395675E-2</v>
      </c>
      <c r="AK139" s="5">
        <f t="shared" si="58"/>
        <v>0.36539126124270227</v>
      </c>
      <c r="AL139" s="5">
        <f t="shared" si="51"/>
        <v>0.7569999999999999</v>
      </c>
      <c r="AM139" s="5">
        <v>16.7</v>
      </c>
    </row>
    <row r="140" spans="1:39" x14ac:dyDescent="0.2">
      <c r="A140" s="23">
        <v>45426</v>
      </c>
      <c r="B140" s="20">
        <v>28.3</v>
      </c>
      <c r="C140" s="20">
        <v>80.400000000000006</v>
      </c>
      <c r="D140" s="20">
        <v>1.5</v>
      </c>
      <c r="E140" s="20">
        <v>32.700000000000003</v>
      </c>
      <c r="F140" s="20">
        <v>83.25</v>
      </c>
      <c r="G140" s="20">
        <v>3.9708333333333301</v>
      </c>
      <c r="H140" s="20">
        <v>24.9</v>
      </c>
      <c r="I140" s="20">
        <v>59</v>
      </c>
      <c r="J140" s="20">
        <v>0.2</v>
      </c>
      <c r="K140" s="20">
        <v>0.47225</v>
      </c>
      <c r="L140" s="20">
        <f t="shared" si="52"/>
        <v>0.21723500000000001</v>
      </c>
      <c r="M140" s="20"/>
      <c r="N140" s="5">
        <f>IF(0&lt;B140&lt;26.5,16*(((10*B140)/#REF!)^#REF!)/30,((-415.85)+(32.24*B140)-(0.43*B140^2))/30)</f>
        <v>5.0719766666666679</v>
      </c>
      <c r="O140" s="6">
        <f t="shared" si="53"/>
        <v>5.0312804691293822</v>
      </c>
      <c r="P140" s="20">
        <f t="shared" si="54"/>
        <v>0</v>
      </c>
      <c r="Q140" s="5">
        <f t="shared" si="42"/>
        <v>4.9452987619483419</v>
      </c>
      <c r="R140" s="5">
        <f t="shared" si="55"/>
        <v>2.4751171995215691</v>
      </c>
      <c r="S140" s="5">
        <f t="shared" si="43"/>
        <v>0.17673753857142854</v>
      </c>
      <c r="T140" s="5">
        <f t="shared" si="44"/>
        <v>2.4164440473941622</v>
      </c>
      <c r="U140" s="5">
        <f t="shared" si="45"/>
        <v>37.617303093189747</v>
      </c>
      <c r="AB140" s="14"/>
      <c r="AD140" s="5">
        <f t="shared" si="46"/>
        <v>3.9000000000000021</v>
      </c>
      <c r="AE140" s="5">
        <f t="shared" si="47"/>
        <v>12.125</v>
      </c>
      <c r="AF140" s="5">
        <f t="shared" si="48"/>
        <v>3.8682256329858009</v>
      </c>
      <c r="AG140" s="5">
        <f t="shared" si="49"/>
        <v>2.5840371643542337</v>
      </c>
      <c r="AH140" s="5">
        <f t="shared" si="56"/>
        <v>0.64209423431578361</v>
      </c>
      <c r="AI140" s="5">
        <f t="shared" si="50"/>
        <v>4.5228909560580198E-2</v>
      </c>
      <c r="AJ140" s="5">
        <f t="shared" si="57"/>
        <v>7.7853925910788768E-2</v>
      </c>
      <c r="AK140" s="5">
        <f t="shared" si="58"/>
        <v>0.56424030840499484</v>
      </c>
      <c r="AL140" s="5">
        <f t="shared" si="51"/>
        <v>0.76600000000000001</v>
      </c>
      <c r="AM140" s="5">
        <v>16.7</v>
      </c>
    </row>
    <row r="141" spans="1:39" x14ac:dyDescent="0.2">
      <c r="A141" s="23">
        <v>45427</v>
      </c>
      <c r="B141" s="20">
        <v>28.9</v>
      </c>
      <c r="C141" s="20">
        <v>76.900000000000006</v>
      </c>
      <c r="D141" s="20">
        <v>1.3</v>
      </c>
      <c r="E141" s="20">
        <v>33.6</v>
      </c>
      <c r="F141" s="20">
        <v>79.8333333333333</v>
      </c>
      <c r="G141" s="20">
        <v>3.9166666666666599</v>
      </c>
      <c r="H141" s="20">
        <v>25.5</v>
      </c>
      <c r="I141" s="20">
        <v>58</v>
      </c>
      <c r="J141" s="20">
        <v>0</v>
      </c>
      <c r="K141" s="20">
        <v>0.51302499999999995</v>
      </c>
      <c r="L141" s="20">
        <f t="shared" si="52"/>
        <v>0.23599149999999999</v>
      </c>
      <c r="M141" s="20"/>
      <c r="N141" s="5">
        <f>IF(0&lt;B141&lt;26.5,16*(((10*B141)/#REF!)^#REF!)/30,((-415.85)+(32.24*B141)-(0.43*B141^2))/30)</f>
        <v>5.2248566666666667</v>
      </c>
      <c r="O141" s="6">
        <f t="shared" si="53"/>
        <v>5.0312804691293822</v>
      </c>
      <c r="P141" s="20">
        <f t="shared" si="54"/>
        <v>0</v>
      </c>
      <c r="Q141" s="5">
        <f t="shared" si="42"/>
        <v>5.1050934594846451</v>
      </c>
      <c r="R141" s="5">
        <f t="shared" si="55"/>
        <v>2.5550942895424416</v>
      </c>
      <c r="S141" s="5">
        <f t="shared" si="43"/>
        <v>0.19350130371428567</v>
      </c>
      <c r="T141" s="5">
        <f t="shared" si="44"/>
        <v>2.5700380834847221</v>
      </c>
      <c r="U141" s="5">
        <f t="shared" si="45"/>
        <v>37.620073692310463</v>
      </c>
      <c r="AB141" s="14"/>
      <c r="AD141" s="5">
        <f t="shared" si="46"/>
        <v>4.0500000000000007</v>
      </c>
      <c r="AE141" s="5">
        <f t="shared" si="47"/>
        <v>10.91666666666665</v>
      </c>
      <c r="AF141" s="5">
        <f t="shared" si="48"/>
        <v>4.0472085114775638</v>
      </c>
      <c r="AG141" s="5">
        <f t="shared" si="49"/>
        <v>2.667481715569846</v>
      </c>
      <c r="AH141" s="5">
        <f t="shared" si="56"/>
        <v>0.68986339795385887</v>
      </c>
      <c r="AI141" s="5">
        <f t="shared" si="50"/>
        <v>4.8533370291641884E-2</v>
      </c>
      <c r="AJ141" s="5">
        <f t="shared" si="57"/>
        <v>7.5310087609962814E-2</v>
      </c>
      <c r="AK141" s="5">
        <f t="shared" si="58"/>
        <v>0.61455331034389604</v>
      </c>
      <c r="AL141" s="5">
        <f t="shared" si="51"/>
        <v>0.77200000000000002</v>
      </c>
      <c r="AM141" s="5">
        <v>16.7</v>
      </c>
    </row>
    <row r="142" spans="1:39" x14ac:dyDescent="0.2">
      <c r="A142" s="23">
        <v>45428</v>
      </c>
      <c r="B142" s="20">
        <v>28.3</v>
      </c>
      <c r="C142" s="20">
        <v>82.3</v>
      </c>
      <c r="D142" s="20">
        <v>1</v>
      </c>
      <c r="E142" s="20">
        <v>32.4</v>
      </c>
      <c r="F142" s="20">
        <v>85.3333333333333</v>
      </c>
      <c r="G142" s="20">
        <v>3.55833333333333</v>
      </c>
      <c r="H142" s="20">
        <v>25.9</v>
      </c>
      <c r="I142" s="20">
        <v>63</v>
      </c>
      <c r="J142" s="20">
        <v>2.6</v>
      </c>
      <c r="K142" s="20">
        <v>0.33628333333333305</v>
      </c>
      <c r="L142" s="20">
        <f t="shared" si="52"/>
        <v>0.15469033333333321</v>
      </c>
      <c r="M142" s="20"/>
      <c r="N142" s="5">
        <f>IF(0&lt;B142&lt;26.5,16*(((10*B142)/#REF!)^#REF!)/30,((-415.85)+(32.24*B142)-(0.43*B142^2))/30)</f>
        <v>5.0719766666666679</v>
      </c>
      <c r="O142" s="6">
        <f t="shared" si="53"/>
        <v>5.0312804691293822</v>
      </c>
      <c r="P142" s="20">
        <f t="shared" si="54"/>
        <v>0</v>
      </c>
      <c r="Q142" s="5">
        <f t="shared" si="42"/>
        <v>4.5144194758691283</v>
      </c>
      <c r="R142" s="5">
        <f t="shared" si="55"/>
        <v>2.2594625377449633</v>
      </c>
      <c r="S142" s="5">
        <f t="shared" si="43"/>
        <v>0.12585259628571416</v>
      </c>
      <c r="T142" s="5">
        <f t="shared" si="44"/>
        <v>2.0105721637718075</v>
      </c>
      <c r="U142" s="5">
        <f t="shared" si="45"/>
        <v>37.615799053667082</v>
      </c>
      <c r="AB142" s="14"/>
      <c r="AD142" s="5">
        <f t="shared" si="46"/>
        <v>3.25</v>
      </c>
      <c r="AE142" s="5">
        <f t="shared" si="47"/>
        <v>11.16666666666665</v>
      </c>
      <c r="AF142" s="5">
        <f t="shared" si="48"/>
        <v>3.8101157364190938</v>
      </c>
      <c r="AG142" s="5">
        <f t="shared" si="49"/>
        <v>2.7244101754306382</v>
      </c>
      <c r="AH142" s="5">
        <f t="shared" si="56"/>
        <v>0.5428527804942278</v>
      </c>
      <c r="AI142" s="5">
        <f t="shared" si="50"/>
        <v>3.8445303898121737E-2</v>
      </c>
      <c r="AJ142" s="5">
        <f t="shared" si="57"/>
        <v>6.0618560488522009E-2</v>
      </c>
      <c r="AK142" s="5">
        <f t="shared" si="58"/>
        <v>0.48223422000570582</v>
      </c>
      <c r="AL142" s="5">
        <f t="shared" si="51"/>
        <v>0.76600000000000001</v>
      </c>
      <c r="AM142" s="5">
        <v>16.7</v>
      </c>
    </row>
    <row r="143" spans="1:39" x14ac:dyDescent="0.2">
      <c r="A143" s="23">
        <v>45429</v>
      </c>
      <c r="B143" s="20">
        <v>25.9</v>
      </c>
      <c r="C143" s="20">
        <v>92.9</v>
      </c>
      <c r="D143" s="20">
        <v>1</v>
      </c>
      <c r="E143" s="20">
        <v>28.2</v>
      </c>
      <c r="F143" s="20">
        <v>94.1666666666666</v>
      </c>
      <c r="G143" s="20">
        <v>3.43333333333333</v>
      </c>
      <c r="H143" s="20">
        <v>24.4</v>
      </c>
      <c r="I143" s="20">
        <v>81</v>
      </c>
      <c r="J143" s="20">
        <v>11.4</v>
      </c>
      <c r="K143" s="20">
        <v>0.125504166666666</v>
      </c>
      <c r="L143" s="20">
        <f t="shared" si="52"/>
        <v>5.7731916666666362E-2</v>
      </c>
      <c r="M143" s="20"/>
      <c r="N143" s="5">
        <f>IF(0&lt;B143&lt;26.5,16*(((10*B143)/#REF!)^#REF!)/30,((-415.85)+(32.24*B143)-(0.43*B143^2))/30)</f>
        <v>4.3572566666666663</v>
      </c>
      <c r="O143" s="6">
        <f t="shared" si="53"/>
        <v>5.0312804691293822</v>
      </c>
      <c r="P143" s="20">
        <f t="shared" si="54"/>
        <v>0</v>
      </c>
      <c r="Q143" s="5">
        <f t="shared" si="42"/>
        <v>3.2720320006531418</v>
      </c>
      <c r="R143" s="5">
        <f t="shared" si="55"/>
        <v>1.6376488200302102</v>
      </c>
      <c r="S143" s="5">
        <f t="shared" si="43"/>
        <v>4.549777049999975E-2</v>
      </c>
      <c r="T143" s="5">
        <f t="shared" si="44"/>
        <v>1.1826654995462669</v>
      </c>
      <c r="U143" s="5">
        <f t="shared" si="45"/>
        <v>37.607408096330069</v>
      </c>
      <c r="AB143" s="14"/>
      <c r="AD143" s="5">
        <f t="shared" si="46"/>
        <v>1.9000000000000004</v>
      </c>
      <c r="AE143" s="5">
        <f t="shared" si="47"/>
        <v>6.5833333333333002</v>
      </c>
      <c r="AF143" s="5">
        <f t="shared" si="48"/>
        <v>3.0727961325898137</v>
      </c>
      <c r="AG143" s="5">
        <f t="shared" si="49"/>
        <v>2.5162512773466017</v>
      </c>
      <c r="AH143" s="5">
        <f t="shared" si="56"/>
        <v>0.27827242762160598</v>
      </c>
      <c r="AI143" s="5">
        <f t="shared" si="50"/>
        <v>1.9930572791295349E-2</v>
      </c>
      <c r="AJ143" s="5">
        <f t="shared" si="57"/>
        <v>1.8319601485088967E-2</v>
      </c>
      <c r="AK143" s="5">
        <f t="shared" si="58"/>
        <v>0.25995282613651699</v>
      </c>
      <c r="AL143" s="5">
        <f t="shared" si="51"/>
        <v>0.74199999999999999</v>
      </c>
      <c r="AM143" s="5">
        <v>16.7</v>
      </c>
    </row>
    <row r="144" spans="1:39" x14ac:dyDescent="0.2">
      <c r="A144" s="23">
        <v>45430</v>
      </c>
      <c r="B144" s="20">
        <v>26</v>
      </c>
      <c r="C144" s="20">
        <v>90.1</v>
      </c>
      <c r="D144" s="20">
        <v>0.9</v>
      </c>
      <c r="E144" s="20">
        <v>29.1</v>
      </c>
      <c r="F144" s="20">
        <v>92.2083333333333</v>
      </c>
      <c r="G144" s="20">
        <v>2.8</v>
      </c>
      <c r="H144" s="20">
        <v>24.9</v>
      </c>
      <c r="I144" s="20">
        <v>73</v>
      </c>
      <c r="J144" s="20">
        <v>36.6</v>
      </c>
      <c r="K144" s="20">
        <v>0.18584166666666599</v>
      </c>
      <c r="L144" s="20">
        <f t="shared" si="52"/>
        <v>8.5487166666666364E-2</v>
      </c>
      <c r="M144" s="20"/>
      <c r="N144" s="5">
        <f>IF(0&lt;B144&lt;26.5,16*(((10*B144)/#REF!)^#REF!)/30,((-415.85)+(32.24*B144)-(0.43*B144^2))/30)</f>
        <v>4.3903333333333325</v>
      </c>
      <c r="O144" s="6">
        <f t="shared" si="53"/>
        <v>5.0312804691293822</v>
      </c>
      <c r="P144" s="20">
        <f t="shared" si="54"/>
        <v>0</v>
      </c>
      <c r="Q144" s="5">
        <f t="shared" si="42"/>
        <v>3.4478079193436519</v>
      </c>
      <c r="R144" s="5">
        <f t="shared" si="55"/>
        <v>1.7256244956274476</v>
      </c>
      <c r="S144" s="5">
        <f t="shared" si="43"/>
        <v>6.746211792857118E-2</v>
      </c>
      <c r="T144" s="5">
        <f t="shared" si="44"/>
        <v>1.1486616298476968</v>
      </c>
      <c r="U144" s="5">
        <f t="shared" si="45"/>
        <v>37.60962457562664</v>
      </c>
      <c r="AB144" s="14"/>
      <c r="AD144" s="5">
        <f t="shared" si="46"/>
        <v>2.1000000000000014</v>
      </c>
      <c r="AE144" s="5">
        <f t="shared" si="47"/>
        <v>9.6041666666666501</v>
      </c>
      <c r="AF144" s="5">
        <f t="shared" si="48"/>
        <v>3.2193441143194796</v>
      </c>
      <c r="AG144" s="5">
        <f t="shared" si="49"/>
        <v>2.5840371643542337</v>
      </c>
      <c r="AH144" s="5">
        <f t="shared" si="56"/>
        <v>0.31765347498262297</v>
      </c>
      <c r="AI144" s="5">
        <f t="shared" si="50"/>
        <v>2.2713144956494357E-2</v>
      </c>
      <c r="AJ144" s="5">
        <f t="shared" si="57"/>
        <v>3.0507969159789362E-2</v>
      </c>
      <c r="AK144" s="5">
        <f t="shared" si="58"/>
        <v>0.2871455058228336</v>
      </c>
      <c r="AL144" s="5">
        <f t="shared" si="51"/>
        <v>0.74299999999999999</v>
      </c>
      <c r="AM144" s="5">
        <v>16.7</v>
      </c>
    </row>
    <row r="145" spans="1:39" x14ac:dyDescent="0.2">
      <c r="A145" s="23">
        <v>45431</v>
      </c>
      <c r="B145" s="20">
        <v>26.2</v>
      </c>
      <c r="C145" s="20">
        <v>89.2</v>
      </c>
      <c r="D145" s="20">
        <v>0.8</v>
      </c>
      <c r="E145" s="20">
        <v>31.1</v>
      </c>
      <c r="F145" s="20">
        <v>91</v>
      </c>
      <c r="G145" s="20">
        <v>2.9</v>
      </c>
      <c r="H145" s="20">
        <v>23</v>
      </c>
      <c r="I145" s="20">
        <v>69</v>
      </c>
      <c r="J145" s="20">
        <v>54.8</v>
      </c>
      <c r="K145" s="20">
        <v>0.26989583333333295</v>
      </c>
      <c r="L145" s="20">
        <f t="shared" si="52"/>
        <v>0.12415208333333316</v>
      </c>
      <c r="M145" s="20"/>
      <c r="N145" s="5">
        <f>IF(0&lt;B145&lt;26.5,16*(((10*B145)/#REF!)^#REF!)/30,((-415.85)+(32.24*B145)-(0.43*B145^2))/30)</f>
        <v>4.4556266666666655</v>
      </c>
      <c r="O145" s="6">
        <f t="shared" si="53"/>
        <v>5.0312804691293822</v>
      </c>
      <c r="P145" s="20">
        <f t="shared" si="54"/>
        <v>0</v>
      </c>
      <c r="Q145" s="5">
        <f t="shared" si="42"/>
        <v>4.8099381631118705</v>
      </c>
      <c r="R145" s="5">
        <f t="shared" si="55"/>
        <v>2.4073693520314219</v>
      </c>
      <c r="S145" s="5">
        <f t="shared" si="43"/>
        <v>9.8238227678571266E-2</v>
      </c>
      <c r="T145" s="5">
        <f t="shared" si="44"/>
        <v>1.9588916855654019</v>
      </c>
      <c r="U145" s="5">
        <f t="shared" si="45"/>
        <v>37.610337015400532</v>
      </c>
      <c r="AB145" s="14"/>
      <c r="AD145" s="5">
        <f t="shared" si="46"/>
        <v>4.0500000000000007</v>
      </c>
      <c r="AE145" s="5">
        <f t="shared" si="47"/>
        <v>11</v>
      </c>
      <c r="AF145" s="5">
        <f t="shared" si="48"/>
        <v>3.566996705910396</v>
      </c>
      <c r="AG145" s="5">
        <f t="shared" si="49"/>
        <v>2.3346481219405364</v>
      </c>
      <c r="AH145" s="5">
        <f t="shared" si="56"/>
        <v>0.61617429198492979</v>
      </c>
      <c r="AI145" s="5">
        <f t="shared" si="50"/>
        <v>4.3349183571404735E-2</v>
      </c>
      <c r="AJ145" s="5">
        <f t="shared" si="57"/>
        <v>6.7779172118342279E-2</v>
      </c>
      <c r="AK145" s="5">
        <f t="shared" si="58"/>
        <v>0.54839511986658751</v>
      </c>
      <c r="AL145" s="5">
        <f t="shared" si="51"/>
        <v>0.745</v>
      </c>
      <c r="AM145" s="5">
        <v>16.7</v>
      </c>
    </row>
    <row r="146" spans="1:39" x14ac:dyDescent="0.2">
      <c r="A146" s="23">
        <v>45432</v>
      </c>
      <c r="B146" s="20">
        <v>25.7</v>
      </c>
      <c r="C146" s="20">
        <v>90</v>
      </c>
      <c r="D146" s="20">
        <v>0.8</v>
      </c>
      <c r="E146" s="20">
        <v>28.9</v>
      </c>
      <c r="F146" s="20">
        <v>91.75</v>
      </c>
      <c r="G146" s="20">
        <v>2.61666666666666</v>
      </c>
      <c r="H146" s="20">
        <v>23.3</v>
      </c>
      <c r="I146" s="20">
        <v>77</v>
      </c>
      <c r="J146" s="20">
        <v>17.600000000000001</v>
      </c>
      <c r="K146" s="20">
        <v>0.27973750000000003</v>
      </c>
      <c r="L146" s="20">
        <f t="shared" si="52"/>
        <v>0.12867925000000002</v>
      </c>
      <c r="M146" s="20"/>
      <c r="N146" s="5">
        <f>IF(0&lt;B146&lt;26.5,16*(((10*B146)/#REF!)^#REF!)/30,((-415.85)+(32.24*B146)-(0.43*B146^2))/30)</f>
        <v>4.2902433333333327</v>
      </c>
      <c r="O146" s="6">
        <f t="shared" si="53"/>
        <v>5.0312804691293822</v>
      </c>
      <c r="P146" s="20">
        <f t="shared" si="54"/>
        <v>0</v>
      </c>
      <c r="Q146" s="5">
        <f t="shared" si="42"/>
        <v>3.9539172657580979</v>
      </c>
      <c r="R146" s="5">
        <f t="shared" si="55"/>
        <v>1.9789317291130712</v>
      </c>
      <c r="S146" s="5">
        <f t="shared" si="43"/>
        <v>0.10113709500000001</v>
      </c>
      <c r="T146" s="5">
        <f t="shared" si="44"/>
        <v>1.3911967120441926</v>
      </c>
      <c r="U146" s="5">
        <f t="shared" si="45"/>
        <v>37.609703735601514</v>
      </c>
      <c r="AB146" s="14"/>
      <c r="AD146" s="5">
        <f t="shared" si="46"/>
        <v>2.7999999999999989</v>
      </c>
      <c r="AE146" s="5">
        <f t="shared" si="47"/>
        <v>7.375</v>
      </c>
      <c r="AF146" s="5">
        <f t="shared" si="48"/>
        <v>3.1862617387328025</v>
      </c>
      <c r="AG146" s="5">
        <f t="shared" si="49"/>
        <v>2.3725673712330511</v>
      </c>
      <c r="AH146" s="5">
        <f t="shared" si="56"/>
        <v>0.40684718374987572</v>
      </c>
      <c r="AI146" s="5">
        <f t="shared" si="50"/>
        <v>2.8921375759666124E-2</v>
      </c>
      <c r="AJ146" s="5">
        <f t="shared" si="57"/>
        <v>3.0004979801553335E-2</v>
      </c>
      <c r="AK146" s="5">
        <f t="shared" si="58"/>
        <v>0.37684220394832241</v>
      </c>
      <c r="AL146" s="5">
        <f t="shared" si="51"/>
        <v>0.74</v>
      </c>
      <c r="AM146" s="5">
        <v>16.7</v>
      </c>
    </row>
    <row r="147" spans="1:39" x14ac:dyDescent="0.2">
      <c r="A147" s="23">
        <v>45433</v>
      </c>
      <c r="B147" s="20">
        <v>27.9</v>
      </c>
      <c r="C147" s="20">
        <v>81.599999999999994</v>
      </c>
      <c r="D147" s="20">
        <v>1.4</v>
      </c>
      <c r="E147" s="20">
        <v>32.700000000000003</v>
      </c>
      <c r="F147" s="20">
        <v>84.4166666666666</v>
      </c>
      <c r="G147" s="20">
        <v>3.4833333333333298</v>
      </c>
      <c r="H147" s="20">
        <v>23.5</v>
      </c>
      <c r="I147" s="20">
        <v>57</v>
      </c>
      <c r="J147" s="20">
        <v>0.6</v>
      </c>
      <c r="K147" s="20">
        <v>0.55439166666666595</v>
      </c>
      <c r="L147" s="20">
        <f t="shared" si="52"/>
        <v>0.25502016666666633</v>
      </c>
      <c r="M147" s="20"/>
      <c r="N147" s="5">
        <f>IF(0&lt;B147&lt;26.5,16*(((10*B147)/#REF!)^#REF!)/30,((-415.85)+(32.24*B147)-(0.43*B147^2))/30)</f>
        <v>4.9643233333333319</v>
      </c>
      <c r="O147" s="6">
        <f t="shared" si="53"/>
        <v>5.0312804691293822</v>
      </c>
      <c r="P147" s="20">
        <f t="shared" si="54"/>
        <v>0</v>
      </c>
      <c r="Q147" s="5">
        <f t="shared" si="42"/>
        <v>5.324200733334048</v>
      </c>
      <c r="R147" s="5">
        <f t="shared" si="55"/>
        <v>2.6647572660683085</v>
      </c>
      <c r="S147" s="5">
        <f t="shared" si="43"/>
        <v>0.20639526557142826</v>
      </c>
      <c r="T147" s="5">
        <f t="shared" si="44"/>
        <v>2.4450486508129847</v>
      </c>
      <c r="U147" s="5">
        <f t="shared" si="45"/>
        <v>37.61635317349122</v>
      </c>
      <c r="AB147" s="14"/>
      <c r="AD147" s="5">
        <f t="shared" si="46"/>
        <v>4.6000000000000014</v>
      </c>
      <c r="AE147" s="5">
        <f t="shared" si="47"/>
        <v>13.7083333333333</v>
      </c>
      <c r="AF147" s="5">
        <f t="shared" si="48"/>
        <v>3.8682256329858009</v>
      </c>
      <c r="AG147" s="5">
        <f t="shared" si="49"/>
        <v>2.3981450197180743</v>
      </c>
      <c r="AH147" s="5">
        <f t="shared" si="56"/>
        <v>0.73504030663386333</v>
      </c>
      <c r="AI147" s="5">
        <f t="shared" si="50"/>
        <v>5.1476779898313833E-2</v>
      </c>
      <c r="AJ147" s="5">
        <f t="shared" si="57"/>
        <v>0.1007617753677252</v>
      </c>
      <c r="AK147" s="5">
        <f t="shared" si="58"/>
        <v>0.63427853126613809</v>
      </c>
      <c r="AL147" s="5">
        <f t="shared" si="51"/>
        <v>0.76200000000000001</v>
      </c>
      <c r="AM147" s="5">
        <v>16.7</v>
      </c>
    </row>
    <row r="148" spans="1:39" x14ac:dyDescent="0.2">
      <c r="A148" s="23">
        <v>45434</v>
      </c>
      <c r="B148" s="20">
        <v>29.4</v>
      </c>
      <c r="C148" s="20">
        <v>76.3</v>
      </c>
      <c r="D148" s="20">
        <v>1.5</v>
      </c>
      <c r="E148" s="20">
        <v>33.4</v>
      </c>
      <c r="F148" s="20">
        <v>79.25</v>
      </c>
      <c r="G148" s="20">
        <v>3.7791666666666601</v>
      </c>
      <c r="H148" s="20">
        <v>25.9</v>
      </c>
      <c r="I148" s="20">
        <v>58</v>
      </c>
      <c r="J148" s="20">
        <v>0</v>
      </c>
      <c r="K148" s="20">
        <v>0.59147499999999997</v>
      </c>
      <c r="L148" s="20">
        <f t="shared" si="52"/>
        <v>0.2720785</v>
      </c>
      <c r="M148" s="20"/>
      <c r="N148" s="5">
        <f>IF(0&lt;B148&lt;26.5,16*(((10*B148)/#REF!)^#REF!)/30,((-415.85)+(32.24*B148)-(0.43*B148^2))/30)</f>
        <v>5.3443733333333343</v>
      </c>
      <c r="O148" s="6">
        <f t="shared" si="53"/>
        <v>5.0312804691293822</v>
      </c>
      <c r="P148" s="20">
        <f t="shared" si="54"/>
        <v>0</v>
      </c>
      <c r="Q148" s="5">
        <f t="shared" si="42"/>
        <v>4.9649735303705294</v>
      </c>
      <c r="R148" s="5">
        <f t="shared" si="55"/>
        <v>2.484964401897503</v>
      </c>
      <c r="S148" s="5">
        <f t="shared" si="43"/>
        <v>0.22453573949999991</v>
      </c>
      <c r="T148" s="5">
        <f t="shared" si="44"/>
        <v>2.400372406687906</v>
      </c>
      <c r="U148" s="5">
        <f t="shared" si="45"/>
        <v>37.620548652159734</v>
      </c>
      <c r="AB148" s="14"/>
      <c r="AD148" s="5">
        <f t="shared" si="46"/>
        <v>3.75</v>
      </c>
      <c r="AE148" s="5">
        <f t="shared" si="47"/>
        <v>10.625</v>
      </c>
      <c r="AF148" s="5">
        <f t="shared" si="48"/>
        <v>4.0068239237311412</v>
      </c>
      <c r="AG148" s="5">
        <f t="shared" si="49"/>
        <v>2.7244101754306382</v>
      </c>
      <c r="AH148" s="5">
        <f t="shared" si="56"/>
        <v>0.64120687415025146</v>
      </c>
      <c r="AI148" s="5">
        <f t="shared" si="50"/>
        <v>4.5222633765558365E-2</v>
      </c>
      <c r="AJ148" s="5">
        <f t="shared" si="57"/>
        <v>6.8128230378464216E-2</v>
      </c>
      <c r="AK148" s="5">
        <f t="shared" si="58"/>
        <v>0.57307864377178719</v>
      </c>
      <c r="AL148" s="5">
        <f t="shared" si="51"/>
        <v>0.77699999999999991</v>
      </c>
      <c r="AM148" s="5">
        <v>16.7</v>
      </c>
    </row>
    <row r="149" spans="1:39" x14ac:dyDescent="0.2">
      <c r="A149" s="23">
        <v>45435</v>
      </c>
      <c r="B149" s="20">
        <v>29.3</v>
      </c>
      <c r="C149" s="20">
        <v>77</v>
      </c>
      <c r="D149" s="20">
        <v>1.9</v>
      </c>
      <c r="E149" s="20">
        <v>32.9</v>
      </c>
      <c r="F149" s="20">
        <v>79.2916666666666</v>
      </c>
      <c r="G149" s="20">
        <v>5.0166666666666604</v>
      </c>
      <c r="H149" s="20">
        <v>26.7</v>
      </c>
      <c r="I149" s="20">
        <v>60</v>
      </c>
      <c r="J149" s="20">
        <v>0</v>
      </c>
      <c r="K149" s="20">
        <v>0.55672916666666594</v>
      </c>
      <c r="L149" s="20">
        <f t="shared" si="52"/>
        <v>0.25609541666666635</v>
      </c>
      <c r="M149" s="20"/>
      <c r="N149" s="5">
        <f>IF(0&lt;B149&lt;26.5,16*(((10*B149)/#REF!)^#REF!)/30,((-415.85)+(32.24*B149)-(0.43*B149^2))/30)</f>
        <v>5.3210433333333356</v>
      </c>
      <c r="O149" s="6">
        <f t="shared" si="53"/>
        <v>5.0312804691293822</v>
      </c>
      <c r="P149" s="20">
        <f t="shared" si="54"/>
        <v>0</v>
      </c>
      <c r="Q149" s="5">
        <f t="shared" si="42"/>
        <v>4.5046500623233987</v>
      </c>
      <c r="R149" s="5">
        <f t="shared" si="55"/>
        <v>2.2545729558086141</v>
      </c>
      <c r="S149" s="5">
        <f t="shared" si="43"/>
        <v>0.21107352428571396</v>
      </c>
      <c r="T149" s="5">
        <f t="shared" si="44"/>
        <v>2.4214643190903935</v>
      </c>
      <c r="U149" s="5">
        <f t="shared" si="45"/>
        <v>37.619994532335589</v>
      </c>
      <c r="AB149" s="14"/>
      <c r="AD149" s="5">
        <f t="shared" si="46"/>
        <v>3.0999999999999996</v>
      </c>
      <c r="AE149" s="5">
        <f t="shared" si="47"/>
        <v>9.6458333333333002</v>
      </c>
      <c r="AF149" s="5">
        <f t="shared" si="48"/>
        <v>3.9073927164751923</v>
      </c>
      <c r="AG149" s="5">
        <f t="shared" si="49"/>
        <v>2.8414577983779647</v>
      </c>
      <c r="AH149" s="5">
        <f t="shared" si="56"/>
        <v>0.53296745904861376</v>
      </c>
      <c r="AI149" s="5">
        <f t="shared" si="50"/>
        <v>3.7792334586234863E-2</v>
      </c>
      <c r="AJ149" s="5">
        <f t="shared" si="57"/>
        <v>5.1409152820730691E-2</v>
      </c>
      <c r="AK149" s="5">
        <f t="shared" si="58"/>
        <v>0.48155830622788309</v>
      </c>
      <c r="AL149" s="5">
        <f t="shared" si="51"/>
        <v>0.77600000000000002</v>
      </c>
      <c r="AM149" s="5">
        <v>16.7</v>
      </c>
    </row>
    <row r="150" spans="1:39" x14ac:dyDescent="0.2">
      <c r="A150" s="23">
        <v>45436</v>
      </c>
      <c r="B150" s="20">
        <v>28.4</v>
      </c>
      <c r="C150" s="20">
        <v>79.7</v>
      </c>
      <c r="D150" s="20">
        <v>1.2</v>
      </c>
      <c r="E150" s="20">
        <v>32.4</v>
      </c>
      <c r="F150" s="20">
        <v>82.5416666666666</v>
      </c>
      <c r="G150" s="20">
        <v>3.32499999999999</v>
      </c>
      <c r="H150" s="20">
        <v>24.8</v>
      </c>
      <c r="I150" s="20">
        <v>59</v>
      </c>
      <c r="J150" s="20">
        <v>2.2000000000000002</v>
      </c>
      <c r="K150" s="20">
        <v>0.424154166666666</v>
      </c>
      <c r="L150" s="20">
        <f t="shared" si="52"/>
        <v>0.19511091666666636</v>
      </c>
      <c r="M150" s="20"/>
      <c r="N150" s="5">
        <f>IF(0&lt;B150&lt;26.5,16*(((10*B150)/#REF!)^#REF!)/30,((-415.85)+(32.24*B150)-(0.43*B150^2))/30)</f>
        <v>5.0981733333333334</v>
      </c>
      <c r="O150" s="6">
        <f t="shared" si="53"/>
        <v>5.0312804691293822</v>
      </c>
      <c r="P150" s="20">
        <f t="shared" si="54"/>
        <v>0</v>
      </c>
      <c r="Q150" s="5">
        <f t="shared" si="42"/>
        <v>4.8920746881263364</v>
      </c>
      <c r="R150" s="5">
        <f t="shared" si="55"/>
        <v>2.4484786025657908</v>
      </c>
      <c r="S150" s="5">
        <f t="shared" si="43"/>
        <v>0.15894510867857112</v>
      </c>
      <c r="T150" s="5">
        <f t="shared" si="44"/>
        <v>2.1340081383209362</v>
      </c>
      <c r="U150" s="5">
        <f t="shared" si="45"/>
        <v>37.617857213013892</v>
      </c>
      <c r="AB150" s="14"/>
      <c r="AD150" s="5">
        <f t="shared" si="46"/>
        <v>3.7999999999999989</v>
      </c>
      <c r="AE150" s="5">
        <f t="shared" si="47"/>
        <v>11.7708333333333</v>
      </c>
      <c r="AF150" s="5">
        <f t="shared" si="48"/>
        <v>3.8101157364190938</v>
      </c>
      <c r="AG150" s="5">
        <f t="shared" si="49"/>
        <v>2.57035378685043</v>
      </c>
      <c r="AH150" s="5">
        <f t="shared" si="56"/>
        <v>0.61988097478433191</v>
      </c>
      <c r="AI150" s="5">
        <f t="shared" si="50"/>
        <v>4.370044311054961E-2</v>
      </c>
      <c r="AJ150" s="5">
        <f t="shared" si="57"/>
        <v>7.296515640690554E-2</v>
      </c>
      <c r="AK150" s="5">
        <f t="shared" si="58"/>
        <v>0.54691581837742631</v>
      </c>
      <c r="AL150" s="5">
        <f t="shared" si="51"/>
        <v>0.7669999999999999</v>
      </c>
      <c r="AM150" s="5">
        <v>16.7</v>
      </c>
    </row>
    <row r="151" spans="1:39" x14ac:dyDescent="0.2">
      <c r="A151" s="23">
        <v>45437</v>
      </c>
      <c r="B151" s="20">
        <v>26.4</v>
      </c>
      <c r="C151" s="20">
        <v>89.1</v>
      </c>
      <c r="D151" s="20">
        <v>0.5</v>
      </c>
      <c r="E151" s="20">
        <v>31.9</v>
      </c>
      <c r="F151" s="20">
        <v>90.7083333333333</v>
      </c>
      <c r="G151" s="20">
        <v>2.1124999999999998</v>
      </c>
      <c r="H151" s="20">
        <v>25.7</v>
      </c>
      <c r="I151" s="20">
        <v>68</v>
      </c>
      <c r="J151" s="20">
        <v>0</v>
      </c>
      <c r="K151" s="20">
        <v>0.23222916666666601</v>
      </c>
      <c r="L151" s="20">
        <f t="shared" si="52"/>
        <v>0.10682541666666637</v>
      </c>
      <c r="M151" s="20"/>
      <c r="N151" s="5">
        <f>IF(0&lt;B151&lt;26.5,16*(((10*B151)/#REF!)^#REF!)/30,((-415.85)+(32.24*B151)-(0.43*B151^2))/30)</f>
        <v>4.5197733333333323</v>
      </c>
      <c r="O151" s="6">
        <f t="shared" si="53"/>
        <v>5.0312804691293822</v>
      </c>
      <c r="P151" s="20">
        <f t="shared" si="54"/>
        <v>0</v>
      </c>
      <c r="Q151" s="5">
        <f t="shared" si="42"/>
        <v>4.2272936890593256</v>
      </c>
      <c r="R151" s="5">
        <f t="shared" si="55"/>
        <v>2.1157563619265551</v>
      </c>
      <c r="S151" s="5">
        <f t="shared" si="43"/>
        <v>8.4755020178571186E-2</v>
      </c>
      <c r="T151" s="5">
        <f t="shared" si="44"/>
        <v>1.3797742720315136</v>
      </c>
      <c r="U151" s="5">
        <f t="shared" si="45"/>
        <v>37.610416175375413</v>
      </c>
      <c r="AB151" s="14"/>
      <c r="AD151" s="5">
        <f t="shared" si="46"/>
        <v>3.0999999999999996</v>
      </c>
      <c r="AE151" s="5">
        <f t="shared" si="47"/>
        <v>11.35416666666665</v>
      </c>
      <c r="AF151" s="5">
        <f t="shared" si="48"/>
        <v>3.7149536445295444</v>
      </c>
      <c r="AG151" s="5">
        <f t="shared" si="49"/>
        <v>2.6958147156907444</v>
      </c>
      <c r="AH151" s="5">
        <f t="shared" si="56"/>
        <v>0.50956946441939999</v>
      </c>
      <c r="AI151" s="5">
        <f t="shared" si="50"/>
        <v>3.613319981794591E-2</v>
      </c>
      <c r="AJ151" s="5">
        <f t="shared" si="57"/>
        <v>5.7857366272619289E-2</v>
      </c>
      <c r="AK151" s="5">
        <f t="shared" si="58"/>
        <v>0.45171209814678071</v>
      </c>
      <c r="AL151" s="5">
        <f t="shared" si="51"/>
        <v>0.747</v>
      </c>
      <c r="AM151" s="5">
        <v>16.7</v>
      </c>
    </row>
    <row r="152" spans="1:39" x14ac:dyDescent="0.2">
      <c r="A152" s="23">
        <v>45438</v>
      </c>
      <c r="B152" s="20">
        <v>28</v>
      </c>
      <c r="C152" s="20">
        <v>81.8</v>
      </c>
      <c r="D152" s="20">
        <v>1.1000000000000001</v>
      </c>
      <c r="E152" s="20">
        <v>33.4</v>
      </c>
      <c r="F152" s="20">
        <v>85.3333333333333</v>
      </c>
      <c r="G152" s="20">
        <v>3.35</v>
      </c>
      <c r="H152" s="20">
        <v>23.8</v>
      </c>
      <c r="I152" s="20">
        <v>54</v>
      </c>
      <c r="J152" s="20">
        <v>3.2</v>
      </c>
      <c r="K152" s="20">
        <v>0.48319583333333299</v>
      </c>
      <c r="L152" s="20">
        <f t="shared" si="52"/>
        <v>0.22227008333333317</v>
      </c>
      <c r="M152" s="20"/>
      <c r="N152" s="5">
        <f>IF(0&lt;B152&lt;26.5,16*(((10*B152)/#REF!)^#REF!)/30,((-415.85)+(32.24*B152)-(0.43*B152^2))/30)</f>
        <v>4.9916666666666663</v>
      </c>
      <c r="O152" s="6">
        <f t="shared" si="53"/>
        <v>5.0312804691293822</v>
      </c>
      <c r="P152" s="20">
        <f t="shared" si="54"/>
        <v>0</v>
      </c>
      <c r="Q152" s="5">
        <f t="shared" si="42"/>
        <v>5.4506136776115754</v>
      </c>
      <c r="R152" s="5">
        <f t="shared" si="55"/>
        <v>2.728026821192254</v>
      </c>
      <c r="S152" s="5">
        <f t="shared" si="43"/>
        <v>0.18012574274999985</v>
      </c>
      <c r="T152" s="5">
        <f t="shared" si="44"/>
        <v>2.4409285206808335</v>
      </c>
      <c r="U152" s="5">
        <f t="shared" si="45"/>
        <v>37.616194853541465</v>
      </c>
      <c r="AB152" s="14"/>
      <c r="AD152" s="5">
        <f t="shared" si="46"/>
        <v>4.7999999999999989</v>
      </c>
      <c r="AE152" s="5">
        <f t="shared" si="47"/>
        <v>15.66666666666665</v>
      </c>
      <c r="AF152" s="5">
        <f t="shared" si="48"/>
        <v>4.0068239237311412</v>
      </c>
      <c r="AG152" s="5">
        <f t="shared" si="49"/>
        <v>2.4369634693671198</v>
      </c>
      <c r="AH152" s="5">
        <f t="shared" si="56"/>
        <v>0.78493022718201066</v>
      </c>
      <c r="AI152" s="5">
        <f t="shared" si="50"/>
        <v>5.4879914867719634E-2</v>
      </c>
      <c r="AJ152" s="5">
        <f t="shared" si="57"/>
        <v>0.12297240225851487</v>
      </c>
      <c r="AK152" s="5">
        <f t="shared" si="58"/>
        <v>0.66195782492349575</v>
      </c>
      <c r="AL152" s="5">
        <f t="shared" si="51"/>
        <v>0.76300000000000001</v>
      </c>
      <c r="AM152" s="5">
        <v>16.7</v>
      </c>
    </row>
    <row r="153" spans="1:39" x14ac:dyDescent="0.2">
      <c r="A153" s="23">
        <v>45439</v>
      </c>
      <c r="B153" s="20">
        <v>26.1</v>
      </c>
      <c r="C153" s="20">
        <v>90.4</v>
      </c>
      <c r="D153" s="20">
        <v>0.9</v>
      </c>
      <c r="E153" s="20">
        <v>28.7</v>
      </c>
      <c r="F153" s="20">
        <v>92.5</v>
      </c>
      <c r="G153" s="20">
        <v>3.2333333333333298</v>
      </c>
      <c r="H153" s="20">
        <v>25.7</v>
      </c>
      <c r="I153" s="20">
        <v>83</v>
      </c>
      <c r="J153" s="20">
        <v>6.6</v>
      </c>
      <c r="K153" s="20">
        <v>0.13312499999999999</v>
      </c>
      <c r="L153" s="20">
        <f t="shared" si="52"/>
        <v>6.12375E-2</v>
      </c>
      <c r="M153" s="20"/>
      <c r="N153" s="5">
        <f>IF(0&lt;B153&lt;26.5,16*(((10*B153)/#REF!)^#REF!)/30,((-415.85)+(32.24*B153)-(0.43*B153^2))/30)</f>
        <v>4.4231233333333346</v>
      </c>
      <c r="O153" s="6">
        <f t="shared" si="53"/>
        <v>5.0312804691293822</v>
      </c>
      <c r="P153" s="20">
        <f t="shared" si="54"/>
        <v>0</v>
      </c>
      <c r="Q153" s="5">
        <f t="shared" si="42"/>
        <v>2.9205823396718333</v>
      </c>
      <c r="R153" s="5">
        <f t="shared" si="55"/>
        <v>1.4617486080239801</v>
      </c>
      <c r="S153" s="5">
        <f t="shared" si="43"/>
        <v>4.8390557142857143E-2</v>
      </c>
      <c r="T153" s="5">
        <f t="shared" si="44"/>
        <v>0.98463828571025802</v>
      </c>
      <c r="U153" s="5">
        <f t="shared" si="45"/>
        <v>37.609387095702004</v>
      </c>
      <c r="AB153" s="14"/>
      <c r="AD153" s="5">
        <f t="shared" si="46"/>
        <v>1.5</v>
      </c>
      <c r="AE153" s="5">
        <f t="shared" si="47"/>
        <v>4.75</v>
      </c>
      <c r="AF153" s="5">
        <f t="shared" si="48"/>
        <v>3.1534761781486544</v>
      </c>
      <c r="AG153" s="5">
        <f t="shared" si="49"/>
        <v>2.6958147156907444</v>
      </c>
      <c r="AH153" s="5">
        <f t="shared" si="56"/>
        <v>0.22883073122895503</v>
      </c>
      <c r="AI153" s="5">
        <f t="shared" si="50"/>
        <v>1.6444385814055232E-2</v>
      </c>
      <c r="AJ153" s="5">
        <f t="shared" si="57"/>
        <v>1.0869459733375364E-2</v>
      </c>
      <c r="AK153" s="5">
        <f t="shared" si="58"/>
        <v>0.21796127149557967</v>
      </c>
      <c r="AL153" s="5">
        <f t="shared" si="51"/>
        <v>0.74399999999999999</v>
      </c>
      <c r="AM153" s="5">
        <v>16.7</v>
      </c>
    </row>
    <row r="154" spans="1:39" x14ac:dyDescent="0.2">
      <c r="A154" s="23">
        <v>45440</v>
      </c>
      <c r="B154" s="20">
        <v>25.1</v>
      </c>
      <c r="C154" s="20">
        <v>88.3</v>
      </c>
      <c r="D154" s="20">
        <v>1.5</v>
      </c>
      <c r="E154" s="20">
        <v>26.8</v>
      </c>
      <c r="F154" s="20">
        <v>89.9583333333333</v>
      </c>
      <c r="G154" s="20">
        <v>4.8208333333333302</v>
      </c>
      <c r="H154" s="20">
        <v>23.5</v>
      </c>
      <c r="I154" s="20">
        <v>79</v>
      </c>
      <c r="J154" s="20">
        <v>65.400000000000006</v>
      </c>
      <c r="K154" s="20">
        <v>0.175391666666666</v>
      </c>
      <c r="L154" s="20">
        <f t="shared" si="52"/>
        <v>8.0680166666666359E-2</v>
      </c>
      <c r="M154" s="20"/>
      <c r="N154" s="5">
        <f>IF(0&lt;B154&lt;26.5,16*(((10*B154)/#REF!)^#REF!)/30,((-415.85)+(32.24*B154)-(0.43*B154^2))/30)</f>
        <v>4.0823233333333331</v>
      </c>
      <c r="O154" s="6">
        <f t="shared" si="53"/>
        <v>5.0312804691293822</v>
      </c>
      <c r="P154" s="20">
        <f t="shared" si="54"/>
        <v>0</v>
      </c>
      <c r="Q154" s="5">
        <f t="shared" si="42"/>
        <v>2.9933573695967715</v>
      </c>
      <c r="R154" s="5">
        <f t="shared" si="55"/>
        <v>1.4981724394108515</v>
      </c>
      <c r="S154" s="5">
        <f t="shared" si="43"/>
        <v>6.2897456142856897E-2</v>
      </c>
      <c r="T154" s="5">
        <f t="shared" si="44"/>
        <v>1.1858099851025043</v>
      </c>
      <c r="U154" s="5">
        <f t="shared" si="45"/>
        <v>37.611049455174431</v>
      </c>
      <c r="AB154" s="14"/>
      <c r="AD154" s="5">
        <f t="shared" si="46"/>
        <v>1.6500000000000004</v>
      </c>
      <c r="AE154" s="5">
        <f t="shared" si="47"/>
        <v>5.4791666666666501</v>
      </c>
      <c r="AF154" s="5">
        <f t="shared" si="48"/>
        <v>2.8563929422901966</v>
      </c>
      <c r="AG154" s="5">
        <f t="shared" si="49"/>
        <v>2.3981450197180743</v>
      </c>
      <c r="AH154" s="5">
        <f t="shared" si="56"/>
        <v>0.22912396128606116</v>
      </c>
      <c r="AI154" s="5">
        <f t="shared" si="50"/>
        <v>1.6444792331629762E-2</v>
      </c>
      <c r="AJ154" s="5">
        <f t="shared" si="57"/>
        <v>1.2554083712132062E-2</v>
      </c>
      <c r="AK154" s="5">
        <f t="shared" si="58"/>
        <v>0.21656987757392909</v>
      </c>
      <c r="AL154" s="5">
        <f t="shared" si="51"/>
        <v>0.73399999999999999</v>
      </c>
      <c r="AM154" s="5">
        <v>16.7</v>
      </c>
    </row>
    <row r="155" spans="1:39" x14ac:dyDescent="0.2">
      <c r="A155" s="23">
        <v>45441</v>
      </c>
      <c r="B155" s="20">
        <v>25.2</v>
      </c>
      <c r="C155" s="20">
        <v>86.5</v>
      </c>
      <c r="D155" s="20">
        <v>1.3</v>
      </c>
      <c r="E155" s="20">
        <v>26.5</v>
      </c>
      <c r="F155" s="20">
        <v>88.2083333333333</v>
      </c>
      <c r="G155" s="20">
        <v>4.0041666666666602</v>
      </c>
      <c r="H155" s="20">
        <v>24.5</v>
      </c>
      <c r="I155" s="20">
        <v>80</v>
      </c>
      <c r="J155" s="20">
        <v>5.4</v>
      </c>
      <c r="K155" s="20">
        <v>0.17048750000000001</v>
      </c>
      <c r="L155" s="20">
        <f t="shared" si="52"/>
        <v>7.8424250000000015E-2</v>
      </c>
      <c r="M155" s="20"/>
      <c r="N155" s="5">
        <f>IF(0&lt;B155&lt;26.5,16*(((10*B155)/#REF!)^#REF!)/30,((-415.85)+(32.24*B155)-(0.43*B155^2))/30)</f>
        <v>4.1176933333333334</v>
      </c>
      <c r="O155" s="6">
        <f t="shared" si="53"/>
        <v>5.0312804691293822</v>
      </c>
      <c r="P155" s="20">
        <f t="shared" si="54"/>
        <v>0</v>
      </c>
      <c r="Q155" s="5">
        <f t="shared" si="42"/>
        <v>2.3357575460222746</v>
      </c>
      <c r="R155" s="5">
        <f t="shared" si="55"/>
        <v>1.169044370090661</v>
      </c>
      <c r="S155" s="5">
        <f t="shared" si="43"/>
        <v>6.1222061250000001E-2</v>
      </c>
      <c r="T155" s="5">
        <f t="shared" si="44"/>
        <v>0.70937192187760889</v>
      </c>
      <c r="U155" s="5">
        <f t="shared" si="45"/>
        <v>37.612474334722222</v>
      </c>
      <c r="AB155" s="14"/>
      <c r="AD155" s="5">
        <f t="shared" si="46"/>
        <v>1</v>
      </c>
      <c r="AE155" s="5">
        <f t="shared" si="47"/>
        <v>4.1041666666666501</v>
      </c>
      <c r="AF155" s="5">
        <f t="shared" si="48"/>
        <v>2.8117918743392765</v>
      </c>
      <c r="AG155" s="5">
        <f t="shared" si="49"/>
        <v>2.529682749076466</v>
      </c>
      <c r="AH155" s="5">
        <f t="shared" si="56"/>
        <v>0.14105456263140526</v>
      </c>
      <c r="AI155" s="5">
        <f t="shared" si="50"/>
        <v>1.0179138136698429E-2</v>
      </c>
      <c r="AJ155" s="5">
        <f t="shared" si="57"/>
        <v>5.7891143413305668E-3</v>
      </c>
      <c r="AK155" s="5">
        <f t="shared" si="58"/>
        <v>0.1352654482900747</v>
      </c>
      <c r="AL155" s="5">
        <f t="shared" si="51"/>
        <v>0.73499999999999999</v>
      </c>
      <c r="AM155" s="5">
        <v>16.7</v>
      </c>
    </row>
    <row r="156" spans="1:39" x14ac:dyDescent="0.2">
      <c r="A156" s="23">
        <v>45442</v>
      </c>
      <c r="B156" s="20">
        <v>25</v>
      </c>
      <c r="C156" s="20">
        <v>87.5</v>
      </c>
      <c r="D156" s="20">
        <v>1.1000000000000001</v>
      </c>
      <c r="E156" s="20">
        <v>28.2</v>
      </c>
      <c r="F156" s="20">
        <v>89.25</v>
      </c>
      <c r="G156" s="20">
        <v>3.5208333333333299</v>
      </c>
      <c r="H156" s="20">
        <v>23.2</v>
      </c>
      <c r="I156" s="20">
        <v>73</v>
      </c>
      <c r="J156" s="20">
        <v>2.6</v>
      </c>
      <c r="K156" s="20">
        <v>0.25645000000000001</v>
      </c>
      <c r="L156" s="20">
        <f t="shared" si="52"/>
        <v>0.11796700000000002</v>
      </c>
      <c r="M156" s="20"/>
      <c r="N156" s="5">
        <f>IF(0&lt;B156&lt;26.5,16*(((10*B156)/#REF!)^#REF!)/30,((-415.85)+(32.24*B156)-(0.43*B156^2))/30)</f>
        <v>4.046666666666666</v>
      </c>
      <c r="O156" s="6">
        <f t="shared" si="53"/>
        <v>5.0312804691293822</v>
      </c>
      <c r="P156" s="20">
        <f t="shared" si="54"/>
        <v>0</v>
      </c>
      <c r="Q156" s="5">
        <f t="shared" si="42"/>
        <v>3.6759794794748242</v>
      </c>
      <c r="R156" s="5">
        <f t="shared" si="55"/>
        <v>1.839824138582858</v>
      </c>
      <c r="S156" s="5">
        <f t="shared" si="43"/>
        <v>9.1840606714285705E-2</v>
      </c>
      <c r="T156" s="5">
        <f t="shared" si="44"/>
        <v>1.4640332481132765</v>
      </c>
      <c r="U156" s="5">
        <f t="shared" si="45"/>
        <v>37.611682734973449</v>
      </c>
      <c r="AB156" s="14"/>
      <c r="AD156" s="5">
        <f t="shared" si="46"/>
        <v>2.5</v>
      </c>
      <c r="AE156" s="5">
        <f t="shared" si="47"/>
        <v>8.125</v>
      </c>
      <c r="AF156" s="5">
        <f t="shared" si="48"/>
        <v>3.0727961325898137</v>
      </c>
      <c r="AG156" s="5">
        <f t="shared" si="49"/>
        <v>2.3598682282237085</v>
      </c>
      <c r="AH156" s="5">
        <f t="shared" si="56"/>
        <v>0.3564639521830526</v>
      </c>
      <c r="AI156" s="5">
        <f t="shared" si="50"/>
        <v>2.5403246033603021E-2</v>
      </c>
      <c r="AJ156" s="5">
        <f t="shared" si="57"/>
        <v>2.8962696114873024E-2</v>
      </c>
      <c r="AK156" s="5">
        <f t="shared" si="58"/>
        <v>0.32750125606817959</v>
      </c>
      <c r="AL156" s="5">
        <f t="shared" si="51"/>
        <v>0.73299999999999998</v>
      </c>
      <c r="AM156" s="5">
        <v>16.7</v>
      </c>
    </row>
    <row r="157" spans="1:39" x14ac:dyDescent="0.2">
      <c r="A157" s="23">
        <v>45443</v>
      </c>
      <c r="B157" s="20">
        <v>26.6</v>
      </c>
      <c r="C157" s="20">
        <v>87</v>
      </c>
      <c r="D157" s="20">
        <v>1</v>
      </c>
      <c r="E157" s="20">
        <v>31.4</v>
      </c>
      <c r="F157" s="20">
        <v>89.125</v>
      </c>
      <c r="G157" s="20">
        <v>3.37083333333333</v>
      </c>
      <c r="H157" s="20">
        <v>22.8</v>
      </c>
      <c r="I157" s="20">
        <v>66</v>
      </c>
      <c r="J157" s="20">
        <v>23.4</v>
      </c>
      <c r="K157" s="20">
        <v>0.34969583333333298</v>
      </c>
      <c r="L157" s="20">
        <f t="shared" si="52"/>
        <v>0.16086008333333318</v>
      </c>
      <c r="M157" s="20"/>
      <c r="N157" s="5">
        <f>IF(0&lt;B157&lt;26.5,16*(((10*B157)/#REF!)^#REF!)/30,((-415.85)+(32.24*B157)-(0.43*B157^2))/30)</f>
        <v>4.5827733333333338</v>
      </c>
      <c r="O157" s="6">
        <f t="shared" si="53"/>
        <v>5.0312804691293822</v>
      </c>
      <c r="P157" s="20">
        <f t="shared" si="54"/>
        <v>0</v>
      </c>
      <c r="Q157" s="5">
        <f t="shared" si="42"/>
        <v>5.0012262603943043</v>
      </c>
      <c r="R157" s="5">
        <f t="shared" si="55"/>
        <v>2.5031088578607874</v>
      </c>
      <c r="S157" s="5">
        <f t="shared" si="43"/>
        <v>0.12796769324999985</v>
      </c>
      <c r="T157" s="5">
        <f t="shared" si="44"/>
        <v>2.2407302401344249</v>
      </c>
      <c r="U157" s="5">
        <f t="shared" si="45"/>
        <v>37.612078534847839</v>
      </c>
      <c r="AB157" s="14"/>
      <c r="AD157" s="5">
        <f t="shared" si="46"/>
        <v>4.2999999999999989</v>
      </c>
      <c r="AE157" s="5">
        <f t="shared" si="47"/>
        <v>11.5625</v>
      </c>
      <c r="AF157" s="5">
        <f t="shared" si="48"/>
        <v>3.6218676707512811</v>
      </c>
      <c r="AG157" s="5">
        <f t="shared" si="49"/>
        <v>2.3096640203990018</v>
      </c>
      <c r="AH157" s="5">
        <f t="shared" si="56"/>
        <v>0.65610182517613969</v>
      </c>
      <c r="AI157" s="5">
        <f t="shared" si="50"/>
        <v>4.6062694611321529E-2</v>
      </c>
      <c r="AJ157" s="5">
        <f t="shared" si="57"/>
        <v>7.5861773535991162E-2</v>
      </c>
      <c r="AK157" s="5">
        <f t="shared" si="58"/>
        <v>0.58024005164014847</v>
      </c>
      <c r="AL157" s="5">
        <f t="shared" si="51"/>
        <v>0.749</v>
      </c>
      <c r="AM157" s="5">
        <v>16.7</v>
      </c>
    </row>
    <row r="158" spans="1:39" x14ac:dyDescent="0.2">
      <c r="A158" s="23">
        <v>45444</v>
      </c>
      <c r="B158" s="20">
        <v>25.3</v>
      </c>
      <c r="C158" s="20">
        <v>93.5</v>
      </c>
      <c r="D158" s="20">
        <v>0.6</v>
      </c>
      <c r="E158" s="20">
        <v>29.4</v>
      </c>
      <c r="F158" s="20">
        <v>95.2083333333333</v>
      </c>
      <c r="G158" s="20">
        <v>2.38749999999999</v>
      </c>
      <c r="H158" s="20">
        <v>24.1</v>
      </c>
      <c r="I158" s="20">
        <v>80</v>
      </c>
      <c r="J158" s="20">
        <v>10.6</v>
      </c>
      <c r="K158" s="20">
        <v>0.18717083333333301</v>
      </c>
      <c r="L158" s="20">
        <f t="shared" si="52"/>
        <v>8.6098583333333187E-2</v>
      </c>
      <c r="M158" s="20"/>
      <c r="N158" s="5">
        <f>IF(0&lt;B158&lt;26.5,16*(((10*B158)/#REF!)^#REF!)/30,((-415.85)+(32.24*B158)-(0.43*B158^2))/30)</f>
        <v>4.152776666666667</v>
      </c>
      <c r="O158" s="6">
        <f t="shared" si="53"/>
        <v>5.0312804691293822</v>
      </c>
      <c r="P158" s="20">
        <f t="shared" si="54"/>
        <v>0</v>
      </c>
      <c r="Q158" s="5">
        <f t="shared" si="42"/>
        <v>3.8111804508258715</v>
      </c>
      <c r="R158" s="5">
        <f t="shared" si="55"/>
        <v>1.9074920926724832</v>
      </c>
      <c r="S158" s="5">
        <f t="shared" si="43"/>
        <v>6.730449257142844E-2</v>
      </c>
      <c r="T158" s="5">
        <f t="shared" si="44"/>
        <v>1.2784202392992463</v>
      </c>
      <c r="U158" s="5">
        <f t="shared" si="45"/>
        <v>37.606933136480805</v>
      </c>
      <c r="AB158" s="14"/>
      <c r="AD158" s="5">
        <f t="shared" si="46"/>
        <v>2.6499999999999986</v>
      </c>
      <c r="AE158" s="5">
        <f t="shared" si="47"/>
        <v>7.6041666666666501</v>
      </c>
      <c r="AF158" s="5">
        <f t="shared" si="48"/>
        <v>3.2695291535402466</v>
      </c>
      <c r="AG158" s="5">
        <f t="shared" si="49"/>
        <v>2.476330045344838</v>
      </c>
      <c r="AH158" s="5">
        <f t="shared" si="56"/>
        <v>0.39659955409770431</v>
      </c>
      <c r="AI158" s="5">
        <f t="shared" si="50"/>
        <v>2.8228166286681539E-2</v>
      </c>
      <c r="AJ158" s="5">
        <f t="shared" si="57"/>
        <v>3.0158091092846201E-2</v>
      </c>
      <c r="AK158" s="5">
        <f t="shared" si="58"/>
        <v>0.36644146300485814</v>
      </c>
      <c r="AL158" s="5">
        <f t="shared" si="51"/>
        <v>0.73599999999999999</v>
      </c>
      <c r="AM158" s="5">
        <v>16.7</v>
      </c>
    </row>
    <row r="159" spans="1:39" x14ac:dyDescent="0.2">
      <c r="A159" s="23">
        <v>45445</v>
      </c>
      <c r="B159" s="20">
        <v>27.8</v>
      </c>
      <c r="C159" s="20">
        <v>81.5</v>
      </c>
      <c r="D159" s="20">
        <v>1</v>
      </c>
      <c r="E159" s="20">
        <v>32.4</v>
      </c>
      <c r="F159" s="20">
        <v>84.9583333333333</v>
      </c>
      <c r="G159" s="20">
        <v>2.8416666666666601</v>
      </c>
      <c r="H159" s="20">
        <v>23.9</v>
      </c>
      <c r="I159" s="20">
        <v>59</v>
      </c>
      <c r="J159" s="20">
        <v>24.8</v>
      </c>
      <c r="K159" s="20">
        <v>0.49073749999999999</v>
      </c>
      <c r="L159" s="20">
        <f t="shared" si="52"/>
        <v>0.22573925</v>
      </c>
      <c r="M159" s="20"/>
      <c r="N159" s="5">
        <f>IF(0&lt;B159&lt;26.5,16*(((10*B159)/#REF!)^#REF!)/30,((-415.85)+(32.24*B159)-(0.43*B159^2))/30)</f>
        <v>4.9366933333333334</v>
      </c>
      <c r="O159" s="6">
        <f t="shared" si="53"/>
        <v>5.0312804691293822</v>
      </c>
      <c r="P159" s="20">
        <f t="shared" si="54"/>
        <v>0</v>
      </c>
      <c r="Q159" s="5">
        <f t="shared" si="42"/>
        <v>5.1064444600069825</v>
      </c>
      <c r="R159" s="5">
        <f t="shared" si="55"/>
        <v>2.5557704639841412</v>
      </c>
      <c r="S159" s="5">
        <f t="shared" si="43"/>
        <v>0.18245760460714283</v>
      </c>
      <c r="T159" s="5">
        <f t="shared" si="44"/>
        <v>2.0567028961338214</v>
      </c>
      <c r="U159" s="5">
        <f t="shared" si="45"/>
        <v>37.616432333466101</v>
      </c>
      <c r="AB159" s="14"/>
      <c r="AD159" s="5">
        <f t="shared" si="46"/>
        <v>4.25</v>
      </c>
      <c r="AE159" s="5">
        <f t="shared" si="47"/>
        <v>12.97916666666665</v>
      </c>
      <c r="AF159" s="5">
        <f t="shared" si="48"/>
        <v>3.8101157364190938</v>
      </c>
      <c r="AG159" s="5">
        <f t="shared" si="49"/>
        <v>2.4500244372500051</v>
      </c>
      <c r="AH159" s="5">
        <f t="shared" si="56"/>
        <v>0.68004564958454439</v>
      </c>
      <c r="AI159" s="5">
        <f t="shared" si="50"/>
        <v>4.7763477311175487E-2</v>
      </c>
      <c r="AJ159" s="5">
        <f t="shared" si="57"/>
        <v>8.8264258268993881E-2</v>
      </c>
      <c r="AK159" s="5">
        <f t="shared" si="58"/>
        <v>0.59178139131555052</v>
      </c>
      <c r="AL159" s="5">
        <f t="shared" si="51"/>
        <v>0.76100000000000001</v>
      </c>
      <c r="AM159" s="5">
        <v>16.7</v>
      </c>
    </row>
    <row r="160" spans="1:39" x14ac:dyDescent="0.2">
      <c r="A160" s="23">
        <v>45446</v>
      </c>
      <c r="B160" s="20">
        <v>26.6</v>
      </c>
      <c r="C160" s="20">
        <v>87.7</v>
      </c>
      <c r="D160" s="20">
        <v>1</v>
      </c>
      <c r="E160" s="20">
        <v>30.2</v>
      </c>
      <c r="F160" s="20">
        <v>89.8333333333333</v>
      </c>
      <c r="G160" s="20">
        <v>3.4708333333333301</v>
      </c>
      <c r="H160" s="20">
        <v>24.7</v>
      </c>
      <c r="I160" s="20">
        <v>72</v>
      </c>
      <c r="J160" s="20">
        <v>8.6</v>
      </c>
      <c r="K160" s="20">
        <v>0.30617500000000003</v>
      </c>
      <c r="L160" s="20">
        <f t="shared" si="52"/>
        <v>0.14084050000000001</v>
      </c>
      <c r="M160" s="20"/>
      <c r="N160" s="5">
        <f>IF(0&lt;B160&lt;26.5,16*(((10*B160)/#REF!)^#REF!)/30,((-415.85)+(32.24*B160)-(0.43*B160^2))/30)</f>
        <v>4.5827733333333338</v>
      </c>
      <c r="O160" s="6">
        <f t="shared" si="53"/>
        <v>5.0312804691293822</v>
      </c>
      <c r="P160" s="20">
        <f t="shared" si="54"/>
        <v>0</v>
      </c>
      <c r="Q160" s="5">
        <f t="shared" si="42"/>
        <v>3.9995268992329582</v>
      </c>
      <c r="R160" s="5">
        <f t="shared" si="55"/>
        <v>2.0017593061132981</v>
      </c>
      <c r="S160" s="5">
        <f t="shared" si="43"/>
        <v>0.11204167949999999</v>
      </c>
      <c r="T160" s="5">
        <f t="shared" si="44"/>
        <v>1.6700281234973111</v>
      </c>
      <c r="U160" s="5">
        <f t="shared" si="45"/>
        <v>37.611524415023695</v>
      </c>
      <c r="AB160" s="14"/>
      <c r="AD160" s="5">
        <f t="shared" si="46"/>
        <v>2.75</v>
      </c>
      <c r="AE160" s="5">
        <f t="shared" si="47"/>
        <v>8.9166666666666501</v>
      </c>
      <c r="AF160" s="5">
        <f t="shared" si="48"/>
        <v>3.406704433531103</v>
      </c>
      <c r="AG160" s="5">
        <f t="shared" si="49"/>
        <v>2.5567337570001247</v>
      </c>
      <c r="AH160" s="5">
        <f t="shared" si="56"/>
        <v>0.42498533826548912</v>
      </c>
      <c r="AI160" s="5">
        <f t="shared" si="50"/>
        <v>3.0223341674538738E-2</v>
      </c>
      <c r="AJ160" s="5">
        <f t="shared" si="57"/>
        <v>3.7894525995339372E-2</v>
      </c>
      <c r="AK160" s="5">
        <f t="shared" si="58"/>
        <v>0.38709081227014974</v>
      </c>
      <c r="AL160" s="5">
        <f t="shared" si="51"/>
        <v>0.749</v>
      </c>
      <c r="AM160" s="5">
        <v>16.7</v>
      </c>
    </row>
    <row r="161" spans="1:39" x14ac:dyDescent="0.2">
      <c r="A161" s="23">
        <v>45447</v>
      </c>
      <c r="B161" s="20">
        <v>27.9</v>
      </c>
      <c r="C161" s="20">
        <v>81.900000000000006</v>
      </c>
      <c r="D161" s="20">
        <v>1.1000000000000001</v>
      </c>
      <c r="E161" s="20">
        <v>33</v>
      </c>
      <c r="F161" s="20">
        <v>85</v>
      </c>
      <c r="G161" s="20">
        <v>2.99583333333333</v>
      </c>
      <c r="H161" s="20">
        <v>24.2</v>
      </c>
      <c r="I161" s="20">
        <v>56</v>
      </c>
      <c r="J161" s="20">
        <v>0</v>
      </c>
      <c r="K161" s="20">
        <v>0.46462500000000001</v>
      </c>
      <c r="L161" s="20">
        <f t="shared" si="52"/>
        <v>0.21372750000000001</v>
      </c>
      <c r="M161" s="20"/>
      <c r="N161" s="5">
        <f>IF(0&lt;B161&lt;26.5,16*(((10*B161)/#REF!)^#REF!)/30,((-415.85)+(32.24*B161)-(0.43*B161^2))/30)</f>
        <v>4.9643233333333319</v>
      </c>
      <c r="O161" s="6">
        <f t="shared" si="53"/>
        <v>5.0312804691293822</v>
      </c>
      <c r="P161" s="20">
        <f t="shared" si="54"/>
        <v>0</v>
      </c>
      <c r="Q161" s="5">
        <f t="shared" si="42"/>
        <v>5.2071710414972161</v>
      </c>
      <c r="R161" s="5">
        <f t="shared" si="55"/>
        <v>2.606184019624866</v>
      </c>
      <c r="S161" s="5">
        <f t="shared" si="43"/>
        <v>0.17297590499999996</v>
      </c>
      <c r="T161" s="5">
        <f t="shared" si="44"/>
        <v>2.1701062496214587</v>
      </c>
      <c r="U161" s="5">
        <f t="shared" si="45"/>
        <v>37.616115693566591</v>
      </c>
      <c r="AB161" s="14"/>
      <c r="AD161" s="5">
        <f t="shared" si="46"/>
        <v>4.4000000000000004</v>
      </c>
      <c r="AE161" s="5">
        <f t="shared" si="47"/>
        <v>14.5</v>
      </c>
      <c r="AF161" s="5">
        <f t="shared" si="48"/>
        <v>3.9271053508234131</v>
      </c>
      <c r="AG161" s="5">
        <f t="shared" si="49"/>
        <v>2.4895751699974444</v>
      </c>
      <c r="AH161" s="5">
        <f t="shared" si="56"/>
        <v>0.71876509041298431</v>
      </c>
      <c r="AI161" s="5">
        <f t="shared" si="50"/>
        <v>5.0420323640391132E-2</v>
      </c>
      <c r="AJ161" s="5">
        <f t="shared" si="57"/>
        <v>0.10422093810988273</v>
      </c>
      <c r="AK161" s="5">
        <f t="shared" si="58"/>
        <v>0.61454415230310155</v>
      </c>
      <c r="AL161" s="5">
        <f t="shared" si="51"/>
        <v>0.76200000000000001</v>
      </c>
      <c r="AM161" s="5">
        <v>16.7</v>
      </c>
    </row>
    <row r="162" spans="1:39" x14ac:dyDescent="0.2">
      <c r="A162" s="23">
        <v>45448</v>
      </c>
      <c r="B162" s="20">
        <v>28.4</v>
      </c>
      <c r="C162" s="20">
        <v>79.5</v>
      </c>
      <c r="D162" s="20">
        <v>1.4</v>
      </c>
      <c r="E162" s="20">
        <v>33.1</v>
      </c>
      <c r="F162" s="20">
        <v>81.7916666666666</v>
      </c>
      <c r="G162" s="20">
        <v>3.82499999999999</v>
      </c>
      <c r="H162" s="20">
        <v>26.3</v>
      </c>
      <c r="I162" s="20">
        <v>62</v>
      </c>
      <c r="J162" s="20">
        <v>0</v>
      </c>
      <c r="K162" s="20">
        <v>0.38893333333333302</v>
      </c>
      <c r="L162" s="20">
        <f t="shared" si="52"/>
        <v>0.1789093333333332</v>
      </c>
      <c r="M162" s="20"/>
      <c r="N162" s="5">
        <f>IF(0&lt;B162&lt;26.5,16*(((10*B162)/#REF!)^#REF!)/30,((-415.85)+(32.24*B162)-(0.43*B162^2))/30)</f>
        <v>5.0981733333333334</v>
      </c>
      <c r="O162" s="6">
        <f t="shared" si="53"/>
        <v>5.0312804691293822</v>
      </c>
      <c r="P162" s="20">
        <f t="shared" si="54"/>
        <v>0</v>
      </c>
      <c r="Q162" s="5">
        <f t="shared" si="42"/>
        <v>4.6274393898132473</v>
      </c>
      <c r="R162" s="5">
        <f t="shared" si="55"/>
        <v>2.3160288942700697</v>
      </c>
      <c r="S162" s="5">
        <f t="shared" si="43"/>
        <v>0.14574665485714269</v>
      </c>
      <c r="T162" s="5">
        <f t="shared" si="44"/>
        <v>2.2451816655953474</v>
      </c>
      <c r="U162" s="5">
        <f t="shared" si="45"/>
        <v>37.618015532963646</v>
      </c>
      <c r="AB162" s="14"/>
      <c r="AD162" s="5">
        <f t="shared" si="46"/>
        <v>3.4000000000000004</v>
      </c>
      <c r="AE162" s="5">
        <f t="shared" si="47"/>
        <v>9.8958333333333002</v>
      </c>
      <c r="AF162" s="5">
        <f t="shared" si="48"/>
        <v>3.9469044698804279</v>
      </c>
      <c r="AG162" s="5">
        <f t="shared" si="49"/>
        <v>2.7823966858099221</v>
      </c>
      <c r="AH162" s="5">
        <f t="shared" si="56"/>
        <v>0.58225389203525291</v>
      </c>
      <c r="AI162" s="5">
        <f t="shared" si="50"/>
        <v>4.1184345989211051E-2</v>
      </c>
      <c r="AJ162" s="5">
        <f t="shared" si="57"/>
        <v>5.7618874732655041E-2</v>
      </c>
      <c r="AK162" s="5">
        <f t="shared" si="58"/>
        <v>0.52463501730259787</v>
      </c>
      <c r="AL162" s="5">
        <f t="shared" si="51"/>
        <v>0.7669999999999999</v>
      </c>
      <c r="AM162" s="5">
        <v>16.7</v>
      </c>
    </row>
    <row r="163" spans="1:39" x14ac:dyDescent="0.2">
      <c r="A163" s="23">
        <v>45449</v>
      </c>
      <c r="B163" s="20">
        <v>28.3</v>
      </c>
      <c r="C163" s="20">
        <v>80.8</v>
      </c>
      <c r="D163" s="20">
        <v>1.1000000000000001</v>
      </c>
      <c r="E163" s="20">
        <v>32.700000000000003</v>
      </c>
      <c r="F163" s="20">
        <v>84.5833333333333</v>
      </c>
      <c r="G163" s="20">
        <v>3.55416666666666</v>
      </c>
      <c r="H163" s="20">
        <v>25.1</v>
      </c>
      <c r="I163" s="20">
        <v>61</v>
      </c>
      <c r="J163" s="20">
        <v>8</v>
      </c>
      <c r="K163" s="20">
        <v>0.42570833333333297</v>
      </c>
      <c r="L163" s="20">
        <f t="shared" si="52"/>
        <v>0.19582583333333317</v>
      </c>
      <c r="M163" s="20"/>
      <c r="N163" s="5">
        <f>IF(0&lt;B163&lt;26.5,16*(((10*B163)/#REF!)^#REF!)/30,((-415.85)+(32.24*B163)-(0.43*B163^2))/30)</f>
        <v>5.0719766666666679</v>
      </c>
      <c r="O163" s="6">
        <f t="shared" si="53"/>
        <v>5.0312804691293822</v>
      </c>
      <c r="P163" s="20">
        <f t="shared" si="54"/>
        <v>0</v>
      </c>
      <c r="Q163" s="5">
        <f t="shared" si="42"/>
        <v>4.8814857818749813</v>
      </c>
      <c r="R163" s="5">
        <f t="shared" si="55"/>
        <v>2.4431788653308004</v>
      </c>
      <c r="S163" s="5">
        <f t="shared" si="43"/>
        <v>0.15931951928571411</v>
      </c>
      <c r="T163" s="5">
        <f t="shared" si="44"/>
        <v>2.2396446532650542</v>
      </c>
      <c r="U163" s="5">
        <f t="shared" si="45"/>
        <v>37.616986453290245</v>
      </c>
      <c r="AB163" s="14"/>
      <c r="AD163" s="5">
        <f t="shared" si="46"/>
        <v>3.8000000000000007</v>
      </c>
      <c r="AE163" s="5">
        <f t="shared" si="47"/>
        <v>11.79166666666665</v>
      </c>
      <c r="AF163" s="5">
        <f t="shared" si="48"/>
        <v>3.8682256329858009</v>
      </c>
      <c r="AG163" s="5">
        <f t="shared" si="49"/>
        <v>2.6115949581648166</v>
      </c>
      <c r="AH163" s="5">
        <f t="shared" si="56"/>
        <v>0.62831533741049217</v>
      </c>
      <c r="AI163" s="5">
        <f t="shared" si="50"/>
        <v>4.429504981588768E-2</v>
      </c>
      <c r="AJ163" s="5">
        <f t="shared" si="57"/>
        <v>7.4088850202987097E-2</v>
      </c>
      <c r="AK163" s="5">
        <f t="shared" si="58"/>
        <v>0.55422648720750511</v>
      </c>
      <c r="AL163" s="5">
        <f t="shared" si="51"/>
        <v>0.76600000000000001</v>
      </c>
      <c r="AM163" s="5">
        <v>16.7</v>
      </c>
    </row>
    <row r="164" spans="1:39" x14ac:dyDescent="0.2">
      <c r="A164" s="23">
        <v>45450</v>
      </c>
      <c r="B164" s="20">
        <v>28.9</v>
      </c>
      <c r="C164" s="20">
        <v>78.599999999999994</v>
      </c>
      <c r="D164" s="20">
        <v>1.1000000000000001</v>
      </c>
      <c r="E164" s="20">
        <v>32.700000000000003</v>
      </c>
      <c r="F164" s="20">
        <v>83.125</v>
      </c>
      <c r="G164" s="20">
        <v>3.2166666666666601</v>
      </c>
      <c r="H164" s="20">
        <v>25.3</v>
      </c>
      <c r="I164" s="20">
        <v>56</v>
      </c>
      <c r="J164" s="20">
        <v>0</v>
      </c>
      <c r="K164" s="20">
        <v>0.51927499999999993</v>
      </c>
      <c r="L164" s="20">
        <f t="shared" si="52"/>
        <v>0.23886649999999998</v>
      </c>
      <c r="M164" s="20"/>
      <c r="N164" s="5">
        <f>IF(0&lt;B164&lt;26.5,16*(((10*B164)/#REF!)^#REF!)/30,((-415.85)+(32.24*B164)-(0.43*B164^2))/30)</f>
        <v>5.2248566666666667</v>
      </c>
      <c r="O164" s="6">
        <f t="shared" si="53"/>
        <v>5.0312804691293822</v>
      </c>
      <c r="P164" s="20">
        <f t="shared" si="54"/>
        <v>0</v>
      </c>
      <c r="Q164" s="5">
        <f t="shared" si="42"/>
        <v>4.8795193841265352</v>
      </c>
      <c r="R164" s="5">
        <f t="shared" si="55"/>
        <v>2.4421946851785861</v>
      </c>
      <c r="S164" s="5">
        <f t="shared" si="43"/>
        <v>0.19585866085714282</v>
      </c>
      <c r="T164" s="5">
        <f t="shared" si="44"/>
        <v>2.0472429340914542</v>
      </c>
      <c r="U164" s="5">
        <f t="shared" si="45"/>
        <v>37.618727972737545</v>
      </c>
      <c r="AB164" s="14"/>
      <c r="AD164" s="5">
        <f t="shared" si="46"/>
        <v>3.7000000000000011</v>
      </c>
      <c r="AE164" s="5">
        <f t="shared" si="47"/>
        <v>13.5625</v>
      </c>
      <c r="AF164" s="5">
        <f t="shared" si="48"/>
        <v>3.8682256329858009</v>
      </c>
      <c r="AG164" s="5">
        <f t="shared" si="49"/>
        <v>2.6394091379090368</v>
      </c>
      <c r="AH164" s="5">
        <f t="shared" si="56"/>
        <v>0.61440824753838208</v>
      </c>
      <c r="AI164" s="5">
        <f t="shared" si="50"/>
        <v>4.3350579335966838E-2</v>
      </c>
      <c r="AJ164" s="5">
        <f t="shared" si="57"/>
        <v>8.3329118572393057E-2</v>
      </c>
      <c r="AK164" s="5">
        <f t="shared" si="58"/>
        <v>0.53107912896598908</v>
      </c>
      <c r="AL164" s="5">
        <f t="shared" si="51"/>
        <v>0.77200000000000002</v>
      </c>
      <c r="AM164" s="5">
        <v>16.7</v>
      </c>
    </row>
    <row r="165" spans="1:39" x14ac:dyDescent="0.2">
      <c r="A165" s="23">
        <v>45451</v>
      </c>
      <c r="B165" s="20">
        <v>28.8</v>
      </c>
      <c r="C165" s="20">
        <v>77</v>
      </c>
      <c r="D165" s="20">
        <v>1.3</v>
      </c>
      <c r="E165" s="20">
        <v>32.5</v>
      </c>
      <c r="F165" s="20">
        <v>79.0833333333333</v>
      </c>
      <c r="G165" s="20">
        <v>3.3125</v>
      </c>
      <c r="H165" s="20">
        <v>25.4</v>
      </c>
      <c r="I165" s="20">
        <v>57</v>
      </c>
      <c r="J165" s="20">
        <v>1.2</v>
      </c>
      <c r="K165" s="20">
        <v>0.4291875</v>
      </c>
      <c r="L165" s="20">
        <f t="shared" si="52"/>
        <v>0.19742625</v>
      </c>
      <c r="M165" s="20"/>
      <c r="N165" s="5">
        <f>IF(0&lt;B165&lt;26.5,16*(((10*B165)/#REF!)^#REF!)/30,((-415.85)+(32.24*B165)-(0.43*B165^2))/30)</f>
        <v>5.2000933333333341</v>
      </c>
      <c r="O165" s="6">
        <f t="shared" si="53"/>
        <v>5.0312804691293822</v>
      </c>
      <c r="P165" s="20">
        <f t="shared" si="54"/>
        <v>0</v>
      </c>
      <c r="Q165" s="5">
        <f t="shared" si="42"/>
        <v>4.7693522380649984</v>
      </c>
      <c r="R165" s="5">
        <f t="shared" si="55"/>
        <v>2.3870561361919749</v>
      </c>
      <c r="S165" s="5">
        <f t="shared" si="43"/>
        <v>0.16167002624999999</v>
      </c>
      <c r="T165" s="5">
        <f t="shared" si="44"/>
        <v>2.0636368078304534</v>
      </c>
      <c r="U165" s="5">
        <f t="shared" si="45"/>
        <v>37.619994532335589</v>
      </c>
      <c r="AB165" s="14"/>
      <c r="AD165" s="5">
        <f t="shared" si="46"/>
        <v>3.5500000000000007</v>
      </c>
      <c r="AE165" s="5">
        <f t="shared" si="47"/>
        <v>11.04166666666665</v>
      </c>
      <c r="AF165" s="5">
        <f t="shared" si="48"/>
        <v>3.8294006907571303</v>
      </c>
      <c r="AG165" s="5">
        <f t="shared" si="49"/>
        <v>2.6534130007609296</v>
      </c>
      <c r="AH165" s="5">
        <f t="shared" si="56"/>
        <v>0.58799384499810037</v>
      </c>
      <c r="AI165" s="5">
        <f t="shared" si="50"/>
        <v>4.1538559598553737E-2</v>
      </c>
      <c r="AJ165" s="5">
        <f t="shared" si="57"/>
        <v>6.4924320385206818E-2</v>
      </c>
      <c r="AK165" s="5">
        <f t="shared" si="58"/>
        <v>0.52306952461289358</v>
      </c>
      <c r="AL165" s="5">
        <f t="shared" si="51"/>
        <v>0.77100000000000002</v>
      </c>
      <c r="AM165" s="5">
        <v>16.7</v>
      </c>
    </row>
    <row r="166" spans="1:39" x14ac:dyDescent="0.2">
      <c r="A166" s="23">
        <v>45452</v>
      </c>
      <c r="B166" s="20">
        <v>28</v>
      </c>
      <c r="C166" s="20">
        <v>80.599999999999994</v>
      </c>
      <c r="D166" s="20">
        <v>1.4</v>
      </c>
      <c r="E166" s="20">
        <v>32.9</v>
      </c>
      <c r="F166" s="20">
        <v>83</v>
      </c>
      <c r="G166" s="20">
        <v>4.0750000000000002</v>
      </c>
      <c r="H166" s="20">
        <v>25.2</v>
      </c>
      <c r="I166" s="20">
        <v>58</v>
      </c>
      <c r="J166" s="20">
        <v>0.4</v>
      </c>
      <c r="K166" s="20">
        <v>0.46579583333333302</v>
      </c>
      <c r="L166" s="20">
        <f t="shared" si="52"/>
        <v>0.21426608333333319</v>
      </c>
      <c r="M166" s="20"/>
      <c r="N166" s="5">
        <f>IF(0&lt;B166&lt;26.5,16*(((10*B166)/#REF!)^#REF!)/30,((-415.85)+(32.24*B166)-(0.43*B166^2))/30)</f>
        <v>4.9916666666666663</v>
      </c>
      <c r="O166" s="6">
        <f t="shared" si="53"/>
        <v>5.0312804691293822</v>
      </c>
      <c r="P166" s="20">
        <f t="shared" si="54"/>
        <v>0</v>
      </c>
      <c r="Q166" s="5">
        <f t="shared" si="42"/>
        <v>4.8815208403495305</v>
      </c>
      <c r="R166" s="5">
        <f t="shared" si="55"/>
        <v>2.4431964120630649</v>
      </c>
      <c r="S166" s="5">
        <f t="shared" si="43"/>
        <v>0.17363937074999986</v>
      </c>
      <c r="T166" s="5">
        <f t="shared" si="44"/>
        <v>2.4364750838910094</v>
      </c>
      <c r="U166" s="5">
        <f t="shared" si="45"/>
        <v>37.617144773239993</v>
      </c>
      <c r="AB166" s="14"/>
      <c r="AD166" s="5">
        <f t="shared" si="46"/>
        <v>3.8499999999999996</v>
      </c>
      <c r="AE166" s="5">
        <f t="shared" si="47"/>
        <v>12.5</v>
      </c>
      <c r="AF166" s="5">
        <f t="shared" si="48"/>
        <v>3.9073927164751923</v>
      </c>
      <c r="AG166" s="5">
        <f t="shared" si="49"/>
        <v>2.625469874340034</v>
      </c>
      <c r="AH166" s="5">
        <f t="shared" si="56"/>
        <v>0.64096142106757914</v>
      </c>
      <c r="AI166" s="5">
        <f t="shared" si="50"/>
        <v>4.516783892330381E-2</v>
      </c>
      <c r="AJ166" s="5">
        <f t="shared" si="57"/>
        <v>8.0120177633447393E-2</v>
      </c>
      <c r="AK166" s="5">
        <f t="shared" si="58"/>
        <v>0.56084124343413178</v>
      </c>
      <c r="AL166" s="5">
        <f t="shared" si="51"/>
        <v>0.76300000000000001</v>
      </c>
      <c r="AM166" s="5">
        <v>16.7</v>
      </c>
    </row>
    <row r="167" spans="1:39" x14ac:dyDescent="0.2">
      <c r="A167" s="23">
        <v>45453</v>
      </c>
      <c r="B167" s="20">
        <v>27.6</v>
      </c>
      <c r="C167" s="20">
        <v>80.8</v>
      </c>
      <c r="D167" s="20">
        <v>1.4</v>
      </c>
      <c r="E167" s="20">
        <v>32.1</v>
      </c>
      <c r="F167" s="20">
        <v>83.875</v>
      </c>
      <c r="G167" s="20">
        <v>3.9708333333333301</v>
      </c>
      <c r="H167" s="20">
        <v>24.1</v>
      </c>
      <c r="I167" s="20">
        <v>60</v>
      </c>
      <c r="J167" s="20">
        <v>21.2</v>
      </c>
      <c r="K167" s="20">
        <v>0.447879166666666</v>
      </c>
      <c r="L167" s="20">
        <f t="shared" si="52"/>
        <v>0.20602441666666638</v>
      </c>
      <c r="M167" s="20"/>
      <c r="N167" s="5">
        <f>IF(0&lt;B167&lt;26.5,16*(((10*B167)/#REF!)^#REF!)/30,((-415.85)+(32.24*B167)-(0.43*B167^2))/30)</f>
        <v>4.8805733333333325</v>
      </c>
      <c r="O167" s="6">
        <f t="shared" si="53"/>
        <v>5.0312804691293822</v>
      </c>
      <c r="P167" s="20">
        <f t="shared" si="54"/>
        <v>0</v>
      </c>
      <c r="Q167" s="5">
        <f t="shared" si="42"/>
        <v>4.9322508181121529</v>
      </c>
      <c r="R167" s="5">
        <f t="shared" si="55"/>
        <v>2.4685867163774891</v>
      </c>
      <c r="S167" s="5">
        <f t="shared" si="43"/>
        <v>0.16608511189285688</v>
      </c>
      <c r="T167" s="5">
        <f t="shared" si="44"/>
        <v>2.4076731433937053</v>
      </c>
      <c r="U167" s="5">
        <f t="shared" si="45"/>
        <v>37.616986453290245</v>
      </c>
      <c r="AB167" s="14"/>
      <c r="AD167" s="5">
        <f t="shared" si="46"/>
        <v>4</v>
      </c>
      <c r="AE167" s="5">
        <f t="shared" si="47"/>
        <v>11.9375</v>
      </c>
      <c r="AF167" s="5">
        <f t="shared" si="48"/>
        <v>3.752767188668011</v>
      </c>
      <c r="AG167" s="5">
        <f t="shared" si="49"/>
        <v>2.476330045344838</v>
      </c>
      <c r="AH167" s="5">
        <f t="shared" si="56"/>
        <v>0.63821857166158646</v>
      </c>
      <c r="AI167" s="5">
        <f t="shared" si="50"/>
        <v>4.4918655436615371E-2</v>
      </c>
      <c r="AJ167" s="5">
        <f t="shared" si="57"/>
        <v>7.6187341992101892E-2</v>
      </c>
      <c r="AK167" s="5">
        <f t="shared" si="58"/>
        <v>0.5620312296694846</v>
      </c>
      <c r="AL167" s="5">
        <f t="shared" si="51"/>
        <v>0.75900000000000001</v>
      </c>
      <c r="AM167" s="5">
        <v>16.7</v>
      </c>
    </row>
    <row r="168" spans="1:39" x14ac:dyDescent="0.2">
      <c r="A168" s="23">
        <v>45454</v>
      </c>
      <c r="B168" s="20">
        <v>28.2</v>
      </c>
      <c r="C168" s="20">
        <v>78.5</v>
      </c>
      <c r="D168" s="20">
        <v>1.4</v>
      </c>
      <c r="E168" s="20">
        <v>32.5</v>
      </c>
      <c r="F168" s="20">
        <v>81.25</v>
      </c>
      <c r="G168" s="20">
        <v>3.8958333333333299</v>
      </c>
      <c r="H168" s="20">
        <v>25.5</v>
      </c>
      <c r="I168" s="20">
        <v>59</v>
      </c>
      <c r="J168" s="20">
        <v>0</v>
      </c>
      <c r="K168" s="20">
        <v>0.36325000000000002</v>
      </c>
      <c r="L168" s="20">
        <f t="shared" si="52"/>
        <v>0.16709500000000002</v>
      </c>
      <c r="M168" s="20"/>
      <c r="N168" s="5">
        <f>IF(0&lt;B168&lt;26.5,16*(((10*B168)/#REF!)^#REF!)/30,((-415.85)+(32.24*B168)-(0.43*B168^2))/30)</f>
        <v>5.0454933333333338</v>
      </c>
      <c r="O168" s="6">
        <f t="shared" si="53"/>
        <v>5.0312804691293822</v>
      </c>
      <c r="P168" s="20">
        <f t="shared" si="54"/>
        <v>0</v>
      </c>
      <c r="Q168" s="5">
        <f t="shared" si="42"/>
        <v>4.6746721614675826</v>
      </c>
      <c r="R168" s="5">
        <f t="shared" si="55"/>
        <v>2.3396688503435552</v>
      </c>
      <c r="S168" s="5">
        <f t="shared" si="43"/>
        <v>0.1357672821428571</v>
      </c>
      <c r="T168" s="5">
        <f t="shared" si="44"/>
        <v>2.2306914880944713</v>
      </c>
      <c r="U168" s="5">
        <f t="shared" si="45"/>
        <v>37.618807132712419</v>
      </c>
      <c r="AB168" s="14"/>
      <c r="AD168" s="5">
        <f t="shared" si="46"/>
        <v>3.5</v>
      </c>
      <c r="AE168" s="5">
        <f t="shared" si="47"/>
        <v>11.125</v>
      </c>
      <c r="AF168" s="5">
        <f t="shared" si="48"/>
        <v>3.8294006907571303</v>
      </c>
      <c r="AG168" s="5">
        <f t="shared" si="49"/>
        <v>2.667481715569846</v>
      </c>
      <c r="AH168" s="5">
        <f t="shared" si="56"/>
        <v>0.58095948759364213</v>
      </c>
      <c r="AI168" s="5">
        <f t="shared" si="50"/>
        <v>4.1058666228827929E-2</v>
      </c>
      <c r="AJ168" s="5">
        <f t="shared" si="57"/>
        <v>6.4631742994792685E-2</v>
      </c>
      <c r="AK168" s="5">
        <f t="shared" si="58"/>
        <v>0.51632774459884945</v>
      </c>
      <c r="AL168" s="5">
        <f t="shared" si="51"/>
        <v>0.7649999999999999</v>
      </c>
      <c r="AM168" s="5">
        <v>16.7</v>
      </c>
    </row>
    <row r="169" spans="1:39" x14ac:dyDescent="0.2">
      <c r="A169" s="23">
        <v>45455</v>
      </c>
      <c r="B169" s="20">
        <v>28.6</v>
      </c>
      <c r="C169" s="20">
        <v>75.3</v>
      </c>
      <c r="D169" s="20">
        <v>1.8</v>
      </c>
      <c r="E169" s="20">
        <v>32.6</v>
      </c>
      <c r="F169" s="20">
        <v>78.5833333333333</v>
      </c>
      <c r="G169" s="20">
        <v>5.0249999999999897</v>
      </c>
      <c r="H169" s="20">
        <v>24.5</v>
      </c>
      <c r="I169" s="20">
        <v>57</v>
      </c>
      <c r="J169" s="20">
        <v>6</v>
      </c>
      <c r="K169" s="20">
        <v>0.35482083333333297</v>
      </c>
      <c r="L169" s="20">
        <f t="shared" si="52"/>
        <v>0.16321758333333317</v>
      </c>
      <c r="M169" s="20"/>
      <c r="N169" s="5">
        <f>IF(0&lt;B169&lt;26.5,16*(((10*B169)/#REF!)^#REF!)/30,((-415.85)+(32.24*B169)-(0.43*B169^2))/30)</f>
        <v>5.1497066666666687</v>
      </c>
      <c r="O169" s="6">
        <f t="shared" si="53"/>
        <v>5.0312804691293822</v>
      </c>
      <c r="P169" s="20">
        <f t="shared" si="54"/>
        <v>0</v>
      </c>
      <c r="Q169" s="5">
        <f t="shared" si="42"/>
        <v>5.0722984265543367</v>
      </c>
      <c r="R169" s="5">
        <f t="shared" si="55"/>
        <v>2.5386804075967726</v>
      </c>
      <c r="S169" s="5">
        <f t="shared" si="43"/>
        <v>0.13331024217857129</v>
      </c>
      <c r="T169" s="5">
        <f t="shared" si="44"/>
        <v>2.8173118766946721</v>
      </c>
      <c r="U169" s="5">
        <f t="shared" si="45"/>
        <v>37.621340251908507</v>
      </c>
      <c r="AB169" s="14"/>
      <c r="AD169" s="5">
        <f t="shared" si="46"/>
        <v>4.0500000000000007</v>
      </c>
      <c r="AE169" s="5">
        <f t="shared" si="47"/>
        <v>10.79166666666665</v>
      </c>
      <c r="AF169" s="5">
        <f t="shared" si="48"/>
        <v>3.8487705516817581</v>
      </c>
      <c r="AG169" s="5">
        <f t="shared" si="49"/>
        <v>2.529682749076466</v>
      </c>
      <c r="AH169" s="5">
        <f t="shared" si="56"/>
        <v>0.65954390130264606</v>
      </c>
      <c r="AI169" s="5">
        <f t="shared" si="50"/>
        <v>4.6400328645434807E-2</v>
      </c>
      <c r="AJ169" s="5">
        <f t="shared" si="57"/>
        <v>7.1175779348910451E-2</v>
      </c>
      <c r="AK169" s="5">
        <f t="shared" si="58"/>
        <v>0.58836812195373556</v>
      </c>
      <c r="AL169" s="5">
        <f t="shared" si="51"/>
        <v>0.76900000000000002</v>
      </c>
      <c r="AM169" s="5">
        <v>16.7</v>
      </c>
    </row>
    <row r="170" spans="1:39" x14ac:dyDescent="0.2">
      <c r="A170" s="23">
        <v>45456</v>
      </c>
      <c r="B170" s="20">
        <v>28.1</v>
      </c>
      <c r="C170" s="20">
        <v>78.3</v>
      </c>
      <c r="D170" s="20">
        <v>1.4</v>
      </c>
      <c r="E170" s="20">
        <v>32.5</v>
      </c>
      <c r="F170" s="20">
        <v>81.0416666666666</v>
      </c>
      <c r="G170" s="20">
        <v>4.2916666666666599</v>
      </c>
      <c r="H170" s="20">
        <v>23.6</v>
      </c>
      <c r="I170" s="20">
        <v>59</v>
      </c>
      <c r="J170" s="20">
        <v>29</v>
      </c>
      <c r="K170" s="20">
        <v>0.36904583333333302</v>
      </c>
      <c r="L170" s="20">
        <f t="shared" si="52"/>
        <v>0.1697610833333332</v>
      </c>
      <c r="M170" s="20"/>
      <c r="N170" s="5">
        <f>IF(0&lt;B170&lt;26.5,16*(((10*B170)/#REF!)^#REF!)/30,((-415.85)+(32.24*B170)-(0.43*B170^2))/30)</f>
        <v>5.0187233333333321</v>
      </c>
      <c r="O170" s="6">
        <f t="shared" si="53"/>
        <v>5.0312804691293822</v>
      </c>
      <c r="P170" s="20">
        <f t="shared" si="54"/>
        <v>0</v>
      </c>
      <c r="Q170" s="5">
        <f t="shared" si="42"/>
        <v>5.2595912721249451</v>
      </c>
      <c r="R170" s="5">
        <f t="shared" si="55"/>
        <v>2.6324202938471459</v>
      </c>
      <c r="S170" s="5">
        <f t="shared" si="43"/>
        <v>0.13775321099999985</v>
      </c>
      <c r="T170" s="5">
        <f t="shared" si="44"/>
        <v>2.7390323186797527</v>
      </c>
      <c r="U170" s="5">
        <f t="shared" si="45"/>
        <v>37.618965452662181</v>
      </c>
      <c r="AB170" s="14"/>
      <c r="AD170" s="5">
        <f t="shared" si="46"/>
        <v>4.4499999999999993</v>
      </c>
      <c r="AE170" s="5">
        <f t="shared" si="47"/>
        <v>11.0208333333333</v>
      </c>
      <c r="AF170" s="5">
        <f t="shared" si="48"/>
        <v>3.8294006907571303</v>
      </c>
      <c r="AG170" s="5">
        <f t="shared" si="49"/>
        <v>2.4110240005403845</v>
      </c>
      <c r="AH170" s="5">
        <f t="shared" si="56"/>
        <v>0.70918834510837292</v>
      </c>
      <c r="AI170" s="5">
        <f t="shared" si="50"/>
        <v>4.9727952539347371E-2</v>
      </c>
      <c r="AJ170" s="5">
        <f t="shared" si="57"/>
        <v>7.8158465533818361E-2</v>
      </c>
      <c r="AK170" s="5">
        <f t="shared" si="58"/>
        <v>0.63102987957455459</v>
      </c>
      <c r="AL170" s="5">
        <f t="shared" si="51"/>
        <v>0.76400000000000001</v>
      </c>
      <c r="AM170" s="5">
        <v>16.7</v>
      </c>
    </row>
    <row r="171" spans="1:39" x14ac:dyDescent="0.2">
      <c r="A171" s="23">
        <v>45457</v>
      </c>
      <c r="B171" s="20">
        <v>28.9</v>
      </c>
      <c r="C171" s="20">
        <v>74</v>
      </c>
      <c r="D171" s="20">
        <v>1.5</v>
      </c>
      <c r="E171" s="20">
        <v>33</v>
      </c>
      <c r="F171" s="20">
        <v>77</v>
      </c>
      <c r="G171" s="20">
        <v>4.05416666666666</v>
      </c>
      <c r="H171" s="20">
        <v>24.5</v>
      </c>
      <c r="I171" s="20">
        <v>56</v>
      </c>
      <c r="J171" s="20">
        <v>0</v>
      </c>
      <c r="K171" s="20">
        <v>0.44885833333333303</v>
      </c>
      <c r="L171" s="20">
        <f t="shared" si="52"/>
        <v>0.20647483333333319</v>
      </c>
      <c r="M171" s="20"/>
      <c r="N171" s="5">
        <f>IF(0&lt;B171&lt;26.5,16*(((10*B171)/#REF!)^#REF!)/30,((-415.85)+(32.24*B171)-(0.43*B171^2))/30)</f>
        <v>5.2248566666666667</v>
      </c>
      <c r="O171" s="6">
        <f t="shared" si="53"/>
        <v>5.0312804691293822</v>
      </c>
      <c r="P171" s="20">
        <f t="shared" si="54"/>
        <v>0</v>
      </c>
      <c r="Q171" s="5">
        <f t="shared" si="42"/>
        <v>5.2296262342615369</v>
      </c>
      <c r="R171" s="5">
        <f t="shared" si="55"/>
        <v>2.6174228216679696</v>
      </c>
      <c r="S171" s="5">
        <f t="shared" si="43"/>
        <v>0.16929910371428558</v>
      </c>
      <c r="T171" s="5">
        <f t="shared" si="44"/>
        <v>2.6494776871753967</v>
      </c>
      <c r="U171" s="5">
        <f t="shared" si="45"/>
        <v>37.622369331581915</v>
      </c>
      <c r="AB171" s="14"/>
      <c r="AD171" s="5">
        <f t="shared" si="46"/>
        <v>4.25</v>
      </c>
      <c r="AE171" s="5">
        <f t="shared" si="47"/>
        <v>10.5</v>
      </c>
      <c r="AF171" s="5">
        <f t="shared" si="48"/>
        <v>3.9271053508234131</v>
      </c>
      <c r="AG171" s="5">
        <f t="shared" si="49"/>
        <v>2.529682749076466</v>
      </c>
      <c r="AH171" s="5">
        <f t="shared" si="56"/>
        <v>0.69871130087347355</v>
      </c>
      <c r="AI171" s="5">
        <f t="shared" si="50"/>
        <v>4.907447226038477E-2</v>
      </c>
      <c r="AJ171" s="5">
        <f t="shared" si="57"/>
        <v>7.3364686591714717E-2</v>
      </c>
      <c r="AK171" s="5">
        <f t="shared" si="58"/>
        <v>0.62534661428175886</v>
      </c>
      <c r="AL171" s="5">
        <f t="shared" si="51"/>
        <v>0.77200000000000002</v>
      </c>
      <c r="AM171" s="5">
        <v>16.7</v>
      </c>
    </row>
    <row r="172" spans="1:39" x14ac:dyDescent="0.2">
      <c r="A172" s="23">
        <v>45458</v>
      </c>
      <c r="B172" s="20">
        <v>29.7</v>
      </c>
      <c r="C172" s="20">
        <v>70.099999999999994</v>
      </c>
      <c r="D172" s="20">
        <v>1.8</v>
      </c>
      <c r="E172" s="20">
        <v>33.200000000000003</v>
      </c>
      <c r="F172" s="20">
        <v>72.1666666666666</v>
      </c>
      <c r="G172" s="20">
        <v>4.5083333333333302</v>
      </c>
      <c r="H172" s="20">
        <v>26.7</v>
      </c>
      <c r="I172" s="20">
        <v>55</v>
      </c>
      <c r="J172" s="20">
        <v>0</v>
      </c>
      <c r="K172" s="20">
        <v>0.45228749999999901</v>
      </c>
      <c r="L172" s="20">
        <f t="shared" si="52"/>
        <v>0.20805224999999955</v>
      </c>
      <c r="M172" s="20"/>
      <c r="N172" s="5">
        <f>IF(0&lt;B172&lt;26.5,16*(((10*B172)/#REF!)^#REF!)/30,((-415.85)+(32.24*B172)-(0.43*B172^2))/30)</f>
        <v>5.4126433333333352</v>
      </c>
      <c r="O172" s="6">
        <f t="shared" si="53"/>
        <v>5.0312804691293822</v>
      </c>
      <c r="P172" s="20">
        <f t="shared" si="54"/>
        <v>0</v>
      </c>
      <c r="Q172" s="5">
        <f t="shared" si="42"/>
        <v>4.6515168135310994</v>
      </c>
      <c r="R172" s="5">
        <f t="shared" si="55"/>
        <v>2.3280796213207333</v>
      </c>
      <c r="S172" s="5">
        <f t="shared" si="43"/>
        <v>0.1723603049999996</v>
      </c>
      <c r="T172" s="5">
        <f t="shared" si="44"/>
        <v>2.4218022770573793</v>
      </c>
      <c r="U172" s="5">
        <f t="shared" si="45"/>
        <v>37.625456570602132</v>
      </c>
      <c r="AB172" s="14"/>
      <c r="AD172" s="5">
        <f t="shared" si="46"/>
        <v>3.2500000000000018</v>
      </c>
      <c r="AE172" s="5">
        <f t="shared" si="47"/>
        <v>8.5833333333333002</v>
      </c>
      <c r="AF172" s="5">
        <f t="shared" si="48"/>
        <v>3.9667903920272027</v>
      </c>
      <c r="AG172" s="5">
        <f t="shared" si="49"/>
        <v>2.8414577983779647</v>
      </c>
      <c r="AH172" s="5">
        <f t="shared" si="56"/>
        <v>0.56266629682461899</v>
      </c>
      <c r="AI172" s="5">
        <f t="shared" si="50"/>
        <v>3.9848514278510286E-2</v>
      </c>
      <c r="AJ172" s="5">
        <f t="shared" si="57"/>
        <v>4.829552381077961E-2</v>
      </c>
      <c r="AK172" s="5">
        <f t="shared" si="58"/>
        <v>0.51437077301383938</v>
      </c>
      <c r="AL172" s="5">
        <f t="shared" si="51"/>
        <v>0.78</v>
      </c>
      <c r="AM172" s="5">
        <v>16.7</v>
      </c>
    </row>
    <row r="173" spans="1:39" x14ac:dyDescent="0.2">
      <c r="A173" s="23">
        <v>45459</v>
      </c>
      <c r="B173" s="20">
        <v>29.5</v>
      </c>
      <c r="C173" s="20">
        <v>69.5</v>
      </c>
      <c r="D173" s="20">
        <v>1.8</v>
      </c>
      <c r="E173" s="20">
        <v>33.4</v>
      </c>
      <c r="F173" s="20">
        <v>72.5416666666666</v>
      </c>
      <c r="G173" s="20">
        <v>4.4791666666666599</v>
      </c>
      <c r="H173" s="20">
        <v>25.7</v>
      </c>
      <c r="I173" s="20">
        <v>53</v>
      </c>
      <c r="J173" s="20">
        <v>0</v>
      </c>
      <c r="K173" s="20">
        <v>0.49912499999999999</v>
      </c>
      <c r="L173" s="20">
        <f t="shared" si="52"/>
        <v>0.22959750000000001</v>
      </c>
      <c r="M173" s="20"/>
      <c r="N173" s="5">
        <f>IF(0&lt;B173&lt;26.5,16*(((10*B173)/#REF!)^#REF!)/30,((-415.85)+(32.24*B173)-(0.43*B173^2))/30)</f>
        <v>5.3674166666666681</v>
      </c>
      <c r="O173" s="6">
        <f t="shared" si="53"/>
        <v>5.0312804691293822</v>
      </c>
      <c r="P173" s="20">
        <f t="shared" si="54"/>
        <v>0</v>
      </c>
      <c r="Q173" s="5">
        <f t="shared" si="42"/>
        <v>5.0413959770422014</v>
      </c>
      <c r="R173" s="5">
        <f t="shared" si="55"/>
        <v>2.5232137618031221</v>
      </c>
      <c r="S173" s="5">
        <f t="shared" si="43"/>
        <v>0.18972169071428568</v>
      </c>
      <c r="T173" s="5">
        <f t="shared" si="44"/>
        <v>2.6885025146905606</v>
      </c>
      <c r="U173" s="5">
        <f t="shared" si="45"/>
        <v>37.625931530451403</v>
      </c>
      <c r="AB173" s="14"/>
      <c r="AD173" s="5">
        <f t="shared" si="46"/>
        <v>3.8499999999999996</v>
      </c>
      <c r="AE173" s="5">
        <f t="shared" si="47"/>
        <v>9.7708333333333002</v>
      </c>
      <c r="AF173" s="5">
        <f t="shared" si="48"/>
        <v>4.0068239237311412</v>
      </c>
      <c r="AG173" s="5">
        <f t="shared" si="49"/>
        <v>2.6958147156907444</v>
      </c>
      <c r="AH173" s="5">
        <f t="shared" si="56"/>
        <v>0.65550460402019839</v>
      </c>
      <c r="AI173" s="5">
        <f t="shared" si="50"/>
        <v>4.6192680861437851E-2</v>
      </c>
      <c r="AJ173" s="5">
        <f t="shared" si="57"/>
        <v>6.4048262351140001E-2</v>
      </c>
      <c r="AK173" s="5">
        <f t="shared" si="58"/>
        <v>0.59145634166905836</v>
      </c>
      <c r="AL173" s="5">
        <f t="shared" si="51"/>
        <v>0.77800000000000002</v>
      </c>
      <c r="AM173" s="5">
        <v>16.7</v>
      </c>
    </row>
    <row r="174" spans="1:39" x14ac:dyDescent="0.2">
      <c r="A174" s="23">
        <v>45460</v>
      </c>
      <c r="B174" s="20">
        <v>30</v>
      </c>
      <c r="C174" s="20">
        <v>67.5</v>
      </c>
      <c r="D174" s="20">
        <v>1.5</v>
      </c>
      <c r="E174" s="20">
        <v>33.5</v>
      </c>
      <c r="F174" s="20">
        <v>70.75</v>
      </c>
      <c r="G174" s="20">
        <v>3.625</v>
      </c>
      <c r="H174" s="20">
        <v>25.8</v>
      </c>
      <c r="I174" s="20">
        <v>47</v>
      </c>
      <c r="J174" s="20">
        <v>0</v>
      </c>
      <c r="K174" s="20">
        <v>0.46391249999999901</v>
      </c>
      <c r="L174" s="20">
        <f t="shared" si="52"/>
        <v>0.21339974999999956</v>
      </c>
      <c r="M174" s="20"/>
      <c r="N174" s="5">
        <f>IF(0&lt;B174&lt;26.5,16*(((10*B174)/#REF!)^#REF!)/30,((-415.85)+(32.24*B174)-(0.43*B174^2))/30)</f>
        <v>5.4783333333333344</v>
      </c>
      <c r="O174" s="6">
        <f t="shared" si="53"/>
        <v>5.0312804691293822</v>
      </c>
      <c r="P174" s="20">
        <f t="shared" si="54"/>
        <v>0</v>
      </c>
      <c r="Q174" s="5">
        <f t="shared" si="42"/>
        <v>5.0946876892730906</v>
      </c>
      <c r="R174" s="5">
        <f t="shared" si="55"/>
        <v>2.549886211716474</v>
      </c>
      <c r="S174" s="5">
        <f t="shared" si="43"/>
        <v>0.17747038960714243</v>
      </c>
      <c r="T174" s="5">
        <f t="shared" si="44"/>
        <v>2.3477126287488566</v>
      </c>
      <c r="U174" s="5">
        <f t="shared" si="45"/>
        <v>37.627514729948949</v>
      </c>
      <c r="AB174" s="14"/>
      <c r="AD174" s="5">
        <f t="shared" si="46"/>
        <v>3.8499999999999996</v>
      </c>
      <c r="AE174" s="5">
        <f t="shared" si="47"/>
        <v>11.875</v>
      </c>
      <c r="AF174" s="5">
        <f t="shared" si="48"/>
        <v>4.0269721746729781</v>
      </c>
      <c r="AG174" s="5">
        <f t="shared" si="49"/>
        <v>2.7100795102915933</v>
      </c>
      <c r="AH174" s="5">
        <f t="shared" si="56"/>
        <v>0.65844633219069237</v>
      </c>
      <c r="AI174" s="5">
        <f t="shared" si="50"/>
        <v>4.6399981175924331E-2</v>
      </c>
      <c r="AJ174" s="5">
        <f t="shared" si="57"/>
        <v>7.8190501947644722E-2</v>
      </c>
      <c r="AK174" s="5">
        <f t="shared" si="58"/>
        <v>0.58025583024304761</v>
      </c>
      <c r="AL174" s="5">
        <f t="shared" si="51"/>
        <v>0.78299999999999992</v>
      </c>
      <c r="AM174" s="5">
        <v>16.7</v>
      </c>
    </row>
    <row r="175" spans="1:39" x14ac:dyDescent="0.2">
      <c r="A175" s="23">
        <v>45461</v>
      </c>
      <c r="B175" s="20">
        <v>27.9</v>
      </c>
      <c r="C175" s="20">
        <v>78.2</v>
      </c>
      <c r="D175" s="20">
        <v>1.1000000000000001</v>
      </c>
      <c r="E175" s="20">
        <v>32.799999999999997</v>
      </c>
      <c r="F175" s="20">
        <v>81.5833333333333</v>
      </c>
      <c r="G175" s="20">
        <v>3.5833333333333299</v>
      </c>
      <c r="H175" s="20">
        <v>25.7</v>
      </c>
      <c r="I175" s="20">
        <v>58</v>
      </c>
      <c r="J175" s="20">
        <v>0.2</v>
      </c>
      <c r="K175" s="20">
        <v>0.33794999999999997</v>
      </c>
      <c r="L175" s="20">
        <f t="shared" si="52"/>
        <v>0.15545699999999998</v>
      </c>
      <c r="M175" s="20"/>
      <c r="N175" s="5">
        <f>IF(0&lt;B175&lt;26.5,16*(((10*B175)/#REF!)^#REF!)/30,((-415.85)+(32.24*B175)-(0.43*B175^2))/30)</f>
        <v>4.9643233333333319</v>
      </c>
      <c r="O175" s="6">
        <f t="shared" si="53"/>
        <v>5.0312804691293822</v>
      </c>
      <c r="P175" s="20">
        <f t="shared" si="54"/>
        <v>0</v>
      </c>
      <c r="Q175" s="5">
        <f t="shared" si="42"/>
        <v>4.6772402849693204</v>
      </c>
      <c r="R175" s="5">
        <f t="shared" si="55"/>
        <v>2.340954193647494</v>
      </c>
      <c r="S175" s="5">
        <f t="shared" si="43"/>
        <v>0.12581588828571427</v>
      </c>
      <c r="T175" s="5">
        <f t="shared" si="44"/>
        <v>2.1540775730486099</v>
      </c>
      <c r="U175" s="5">
        <f t="shared" si="45"/>
        <v>37.619044612637062</v>
      </c>
      <c r="AB175" s="14"/>
      <c r="AD175" s="5">
        <f t="shared" si="46"/>
        <v>3.5499999999999989</v>
      </c>
      <c r="AE175" s="5">
        <f t="shared" si="47"/>
        <v>11.79166666666665</v>
      </c>
      <c r="AF175" s="5">
        <f t="shared" si="48"/>
        <v>3.8877662493760701</v>
      </c>
      <c r="AG175" s="5">
        <f t="shared" si="49"/>
        <v>2.6958147156907444</v>
      </c>
      <c r="AH175" s="5">
        <f t="shared" si="56"/>
        <v>0.59597576684266285</v>
      </c>
      <c r="AI175" s="5">
        <f t="shared" si="50"/>
        <v>4.2102438862038925E-2</v>
      </c>
      <c r="AJ175" s="5">
        <f t="shared" si="57"/>
        <v>7.0275475840197221E-2</v>
      </c>
      <c r="AK175" s="5">
        <f t="shared" si="58"/>
        <v>0.52570029100246563</v>
      </c>
      <c r="AL175" s="5">
        <f t="shared" si="51"/>
        <v>0.76200000000000001</v>
      </c>
      <c r="AM175" s="5">
        <v>16.7</v>
      </c>
    </row>
    <row r="176" spans="1:39" x14ac:dyDescent="0.2">
      <c r="A176" s="23">
        <v>45462</v>
      </c>
      <c r="B176" s="20">
        <v>28.9</v>
      </c>
      <c r="C176" s="20">
        <v>73.599999999999994</v>
      </c>
      <c r="D176" s="20">
        <v>2</v>
      </c>
      <c r="E176" s="20">
        <v>32.9</v>
      </c>
      <c r="F176" s="20">
        <v>76.875</v>
      </c>
      <c r="G176" s="20">
        <v>4.8166666666666602</v>
      </c>
      <c r="H176" s="20">
        <v>23.9</v>
      </c>
      <c r="I176" s="20">
        <v>52</v>
      </c>
      <c r="J176" s="20">
        <v>15.8</v>
      </c>
      <c r="K176" s="20">
        <v>0.4588875</v>
      </c>
      <c r="L176" s="20">
        <f t="shared" si="52"/>
        <v>0.21108825000000001</v>
      </c>
      <c r="M176" s="20"/>
      <c r="N176" s="5">
        <f>IF(0&lt;B176&lt;26.5,16*(((10*B176)/#REF!)^#REF!)/30,((-415.85)+(32.24*B176)-(0.43*B176^2))/30)</f>
        <v>5.2248566666666667</v>
      </c>
      <c r="O176" s="6">
        <f t="shared" si="53"/>
        <v>5.0312804691293822</v>
      </c>
      <c r="P176" s="20">
        <f t="shared" si="54"/>
        <v>0</v>
      </c>
      <c r="Q176" s="5">
        <f t="shared" si="42"/>
        <v>5.3812410000000002</v>
      </c>
      <c r="R176" s="5">
        <f t="shared" si="55"/>
        <v>2.6933058638146199</v>
      </c>
      <c r="S176" s="5">
        <f t="shared" si="43"/>
        <v>0.17308187614285711</v>
      </c>
      <c r="T176" s="5">
        <f t="shared" si="44"/>
        <v>2.9322996707538476</v>
      </c>
      <c r="U176" s="5">
        <f t="shared" si="45"/>
        <v>37.622685971481417</v>
      </c>
      <c r="AB176" s="14"/>
      <c r="AD176" s="5">
        <f t="shared" si="46"/>
        <v>4.5</v>
      </c>
      <c r="AE176" s="5">
        <f t="shared" si="47"/>
        <v>12.4375</v>
      </c>
      <c r="AF176" s="5">
        <f t="shared" si="48"/>
        <v>3.9073927164751923</v>
      </c>
      <c r="AG176" s="5">
        <f t="shared" si="49"/>
        <v>2.4500244372500051</v>
      </c>
      <c r="AH176" s="5">
        <f t="shared" si="56"/>
        <v>0.7286841396125936</v>
      </c>
      <c r="AI176" s="5">
        <f t="shared" si="50"/>
        <v>5.1073859551646499E-2</v>
      </c>
      <c r="AJ176" s="5">
        <f t="shared" si="57"/>
        <v>9.0630089864316338E-2</v>
      </c>
      <c r="AK176" s="5">
        <f t="shared" si="58"/>
        <v>0.63805404974827729</v>
      </c>
      <c r="AL176" s="5">
        <f t="shared" si="51"/>
        <v>0.77200000000000002</v>
      </c>
      <c r="AM176" s="5">
        <v>16.7</v>
      </c>
    </row>
    <row r="177" spans="1:39" x14ac:dyDescent="0.2">
      <c r="A177" s="23">
        <v>45463</v>
      </c>
      <c r="B177" s="20">
        <v>29.7</v>
      </c>
      <c r="C177" s="20">
        <v>69.599999999999994</v>
      </c>
      <c r="D177" s="20">
        <v>2.1</v>
      </c>
      <c r="E177" s="20">
        <v>33</v>
      </c>
      <c r="F177" s="20">
        <v>72.0416666666666</v>
      </c>
      <c r="G177" s="20">
        <v>4.7625000000000002</v>
      </c>
      <c r="H177" s="20">
        <v>25.8</v>
      </c>
      <c r="I177" s="20">
        <v>51</v>
      </c>
      <c r="J177" s="20">
        <v>0</v>
      </c>
      <c r="K177" s="20">
        <v>0.43715416666666601</v>
      </c>
      <c r="L177" s="20">
        <f t="shared" si="52"/>
        <v>0.20109091666666637</v>
      </c>
      <c r="M177" s="20"/>
      <c r="N177" s="5">
        <f>IF(0&lt;B177&lt;26.5,16*(((10*B177)/#REF!)^#REF!)/30,((-415.85)+(32.24*B177)-(0.43*B177^2))/30)</f>
        <v>5.4126433333333352</v>
      </c>
      <c r="O177" s="6">
        <f t="shared" si="53"/>
        <v>5.0312804691293822</v>
      </c>
      <c r="P177" s="20">
        <f t="shared" si="54"/>
        <v>0</v>
      </c>
      <c r="Q177" s="5">
        <f t="shared" si="42"/>
        <v>4.8955801478987144</v>
      </c>
      <c r="R177" s="5">
        <f t="shared" si="55"/>
        <v>2.4502330817575446</v>
      </c>
      <c r="S177" s="5">
        <f t="shared" si="43"/>
        <v>0.16659320785714257</v>
      </c>
      <c r="T177" s="5">
        <f t="shared" si="44"/>
        <v>2.5908240456874196</v>
      </c>
      <c r="U177" s="5">
        <f t="shared" si="45"/>
        <v>37.625852370476515</v>
      </c>
      <c r="AB177" s="14"/>
      <c r="AD177" s="5">
        <f t="shared" si="46"/>
        <v>3.5999999999999996</v>
      </c>
      <c r="AE177" s="5">
        <f t="shared" si="47"/>
        <v>10.5208333333333</v>
      </c>
      <c r="AF177" s="5">
        <f t="shared" si="48"/>
        <v>3.9271053508234131</v>
      </c>
      <c r="AG177" s="5">
        <f t="shared" si="49"/>
        <v>2.7100795102915933</v>
      </c>
      <c r="AH177" s="5">
        <f t="shared" si="56"/>
        <v>0.60851292026590986</v>
      </c>
      <c r="AI177" s="5">
        <f t="shared" si="50"/>
        <v>4.2970277455971859E-2</v>
      </c>
      <c r="AJ177" s="5">
        <f t="shared" si="57"/>
        <v>6.4020630152975724E-2</v>
      </c>
      <c r="AK177" s="5">
        <f t="shared" si="58"/>
        <v>0.5444922901129341</v>
      </c>
      <c r="AL177" s="5">
        <f t="shared" si="51"/>
        <v>0.78</v>
      </c>
      <c r="AM177" s="5">
        <v>16.7</v>
      </c>
    </row>
    <row r="178" spans="1:39" x14ac:dyDescent="0.2">
      <c r="A178" s="23">
        <v>45464</v>
      </c>
      <c r="B178" s="20">
        <v>29.4</v>
      </c>
      <c r="C178" s="20">
        <v>71.8</v>
      </c>
      <c r="D178" s="20">
        <v>1.1000000000000001</v>
      </c>
      <c r="E178" s="20">
        <v>33.1</v>
      </c>
      <c r="F178" s="20">
        <v>74.7083333333333</v>
      </c>
      <c r="G178" s="20">
        <v>2.85</v>
      </c>
      <c r="H178" s="20">
        <v>25.4</v>
      </c>
      <c r="I178" s="20">
        <v>53</v>
      </c>
      <c r="J178" s="20">
        <v>0</v>
      </c>
      <c r="K178" s="20">
        <v>0.38901666666666601</v>
      </c>
      <c r="L178" s="20">
        <f t="shared" si="52"/>
        <v>0.17894766666666637</v>
      </c>
      <c r="M178" s="20"/>
      <c r="N178" s="5">
        <f>IF(0&lt;B178&lt;26.5,16*(((10*B178)/#REF!)^#REF!)/30,((-415.85)+(32.24*B178)-(0.43*B178^2))/30)</f>
        <v>5.3443733333333343</v>
      </c>
      <c r="O178" s="6">
        <f t="shared" si="53"/>
        <v>5.0312804691293822</v>
      </c>
      <c r="P178" s="20">
        <f t="shared" si="54"/>
        <v>0</v>
      </c>
      <c r="Q178" s="5">
        <f t="shared" si="42"/>
        <v>5.0307376345960249</v>
      </c>
      <c r="R178" s="5">
        <f t="shared" si="55"/>
        <v>2.5178792718204526</v>
      </c>
      <c r="S178" s="5">
        <f t="shared" si="43"/>
        <v>0.14767850699999971</v>
      </c>
      <c r="T178" s="5">
        <f t="shared" si="44"/>
        <v>2.0244815361930835</v>
      </c>
      <c r="U178" s="5">
        <f t="shared" si="45"/>
        <v>37.624110851029215</v>
      </c>
      <c r="AB178" s="14"/>
      <c r="AD178" s="5">
        <f t="shared" si="46"/>
        <v>3.8500000000000014</v>
      </c>
      <c r="AE178" s="5">
        <f t="shared" si="47"/>
        <v>10.85416666666665</v>
      </c>
      <c r="AF178" s="5">
        <f t="shared" si="48"/>
        <v>3.9469044698804279</v>
      </c>
      <c r="AG178" s="5">
        <f t="shared" si="49"/>
        <v>2.6534130007609296</v>
      </c>
      <c r="AH178" s="5">
        <f t="shared" si="56"/>
        <v>0.64674573455974915</v>
      </c>
      <c r="AI178" s="5">
        <f t="shared" si="50"/>
        <v>4.5575453065916434E-2</v>
      </c>
      <c r="AJ178" s="5">
        <f t="shared" si="57"/>
        <v>7.0198859938672656E-2</v>
      </c>
      <c r="AK178" s="5">
        <f t="shared" si="58"/>
        <v>0.57654687462107646</v>
      </c>
      <c r="AL178" s="5">
        <f t="shared" si="51"/>
        <v>0.77699999999999991</v>
      </c>
      <c r="AM178" s="5">
        <v>16.7</v>
      </c>
    </row>
    <row r="179" spans="1:39" x14ac:dyDescent="0.2">
      <c r="A179" s="23">
        <v>45465</v>
      </c>
      <c r="B179" s="20">
        <v>29.7</v>
      </c>
      <c r="C179" s="20">
        <v>69.400000000000006</v>
      </c>
      <c r="D179" s="20">
        <v>1.3</v>
      </c>
      <c r="E179" s="20">
        <v>33.9</v>
      </c>
      <c r="F179" s="20">
        <v>73.2916666666666</v>
      </c>
      <c r="G179" s="20">
        <v>3.1958333333333302</v>
      </c>
      <c r="H179" s="20">
        <v>25.4</v>
      </c>
      <c r="I179" s="20">
        <v>40</v>
      </c>
      <c r="J179" s="20">
        <v>0</v>
      </c>
      <c r="K179" s="20">
        <v>0.46276666666666605</v>
      </c>
      <c r="L179" s="20">
        <f t="shared" si="52"/>
        <v>0.2128726666666664</v>
      </c>
      <c r="M179" s="20"/>
      <c r="N179" s="5">
        <f>IF(0&lt;B179&lt;26.5,16*(((10*B179)/#REF!)^#REF!)/30,((-415.85)+(32.24*B179)-(0.43*B179^2))/30)</f>
        <v>5.4126433333333352</v>
      </c>
      <c r="O179" s="6">
        <f t="shared" si="53"/>
        <v>5.0312804691293822</v>
      </c>
      <c r="P179" s="20">
        <f t="shared" si="54"/>
        <v>0</v>
      </c>
      <c r="Q179" s="5">
        <f t="shared" si="42"/>
        <v>5.3192129791739404</v>
      </c>
      <c r="R179" s="5">
        <f t="shared" si="55"/>
        <v>2.6622608999834809</v>
      </c>
      <c r="S179" s="5">
        <f t="shared" si="43"/>
        <v>0.17635376571428549</v>
      </c>
      <c r="T179" s="5">
        <f t="shared" si="44"/>
        <v>2.2213023561733021</v>
      </c>
      <c r="U179" s="5">
        <f t="shared" si="45"/>
        <v>37.626010690426277</v>
      </c>
      <c r="AB179" s="14"/>
      <c r="AD179" s="5">
        <f t="shared" si="46"/>
        <v>4.25</v>
      </c>
      <c r="AE179" s="5">
        <f t="shared" si="47"/>
        <v>16.6458333333333</v>
      </c>
      <c r="AF179" s="5">
        <f t="shared" si="48"/>
        <v>4.108449271877344</v>
      </c>
      <c r="AG179" s="5">
        <f t="shared" si="49"/>
        <v>2.6534130007609296</v>
      </c>
      <c r="AH179" s="5">
        <f t="shared" si="56"/>
        <v>0.72751813555820721</v>
      </c>
      <c r="AI179" s="5">
        <f t="shared" si="50"/>
        <v>5.1097740250866934E-2</v>
      </c>
      <c r="AJ179" s="5">
        <f t="shared" si="57"/>
        <v>0.12110145631479301</v>
      </c>
      <c r="AK179" s="5">
        <f t="shared" si="58"/>
        <v>0.60641667924341425</v>
      </c>
      <c r="AL179" s="5">
        <f t="shared" si="51"/>
        <v>0.78</v>
      </c>
      <c r="AM179" s="5">
        <v>16.7</v>
      </c>
    </row>
    <row r="180" spans="1:39" x14ac:dyDescent="0.2">
      <c r="A180" s="23">
        <v>45466</v>
      </c>
      <c r="B180" s="20">
        <v>28.5</v>
      </c>
      <c r="C180" s="20">
        <v>73.5</v>
      </c>
      <c r="D180" s="20">
        <v>0.9</v>
      </c>
      <c r="E180" s="20">
        <v>32.799999999999997</v>
      </c>
      <c r="F180" s="20">
        <v>75.1666666666666</v>
      </c>
      <c r="G180" s="20">
        <v>2.9874999999999998</v>
      </c>
      <c r="H180" s="20">
        <v>25.8</v>
      </c>
      <c r="I180" s="20">
        <v>53</v>
      </c>
      <c r="J180" s="20">
        <v>0</v>
      </c>
      <c r="K180" s="20">
        <v>0.334141666666666</v>
      </c>
      <c r="L180" s="20">
        <f t="shared" si="52"/>
        <v>0.15370516666666637</v>
      </c>
      <c r="M180" s="20"/>
      <c r="N180" s="5">
        <f>IF(0&lt;B180&lt;26.5,16*(((10*B180)/#REF!)^#REF!)/30,((-415.85)+(32.24*B180)-(0.43*B180^2))/30)</f>
        <v>5.124083333333334</v>
      </c>
      <c r="O180" s="6">
        <f t="shared" si="53"/>
        <v>5.0312804691293822</v>
      </c>
      <c r="P180" s="20">
        <f t="shared" si="54"/>
        <v>0</v>
      </c>
      <c r="Q180" s="5">
        <f t="shared" si="42"/>
        <v>4.7051591538249777</v>
      </c>
      <c r="R180" s="5">
        <f t="shared" si="55"/>
        <v>2.3549275602370989</v>
      </c>
      <c r="S180" s="5">
        <f t="shared" si="43"/>
        <v>0.12537759085714259</v>
      </c>
      <c r="T180" s="5">
        <f t="shared" si="44"/>
        <v>1.9343600175847688</v>
      </c>
      <c r="U180" s="5">
        <f t="shared" si="45"/>
        <v>37.622765131456298</v>
      </c>
      <c r="AB180" s="14"/>
      <c r="AD180" s="5">
        <f t="shared" si="46"/>
        <v>3.4999999999999982</v>
      </c>
      <c r="AE180" s="5">
        <f t="shared" si="47"/>
        <v>11.0833333333333</v>
      </c>
      <c r="AF180" s="5">
        <f t="shared" si="48"/>
        <v>3.8877662493760701</v>
      </c>
      <c r="AG180" s="5">
        <f t="shared" si="49"/>
        <v>2.7100795102915933</v>
      </c>
      <c r="AH180" s="5">
        <f t="shared" si="56"/>
        <v>0.58884336954223837</v>
      </c>
      <c r="AI180" s="5">
        <f t="shared" si="50"/>
        <v>4.1615850825047679E-2</v>
      </c>
      <c r="AJ180" s="5">
        <f t="shared" si="57"/>
        <v>6.5263473457597893E-2</v>
      </c>
      <c r="AK180" s="5">
        <f t="shared" si="58"/>
        <v>0.52357989608464051</v>
      </c>
      <c r="AL180" s="5">
        <f t="shared" si="51"/>
        <v>0.76800000000000002</v>
      </c>
      <c r="AM180" s="5">
        <v>16.7</v>
      </c>
    </row>
    <row r="181" spans="1:39" x14ac:dyDescent="0.2">
      <c r="A181" s="23">
        <v>45467</v>
      </c>
      <c r="B181" s="20">
        <v>27.1</v>
      </c>
      <c r="C181" s="20">
        <v>79.8</v>
      </c>
      <c r="D181" s="20">
        <v>1</v>
      </c>
      <c r="E181" s="20">
        <v>32.4</v>
      </c>
      <c r="F181" s="20">
        <v>82.4166666666666</v>
      </c>
      <c r="G181" s="20">
        <v>3.2291666666666599</v>
      </c>
      <c r="H181" s="20">
        <v>23.9</v>
      </c>
      <c r="I181" s="20">
        <v>62</v>
      </c>
      <c r="J181" s="20">
        <v>0</v>
      </c>
      <c r="K181" s="20">
        <v>0.42009999999999897</v>
      </c>
      <c r="L181" s="20">
        <f t="shared" si="52"/>
        <v>0.19324599999999953</v>
      </c>
      <c r="M181" s="20"/>
      <c r="N181" s="5">
        <f>IF(0&lt;B181&lt;26.5,16*(((10*B181)/#REF!)^#REF!)/30,((-415.85)+(32.24*B181)-(0.43*B181^2))/30)</f>
        <v>4.7352566666666673</v>
      </c>
      <c r="O181" s="6">
        <f t="shared" si="53"/>
        <v>5.0312804691293822</v>
      </c>
      <c r="P181" s="20">
        <f t="shared" si="54"/>
        <v>0</v>
      </c>
      <c r="Q181" s="5">
        <f t="shared" si="42"/>
        <v>5.0280560582086302</v>
      </c>
      <c r="R181" s="5">
        <f t="shared" si="55"/>
        <v>2.5165371454580692</v>
      </c>
      <c r="S181" s="5">
        <f t="shared" si="43"/>
        <v>0.1547576382857139</v>
      </c>
      <c r="T181" s="5">
        <f t="shared" si="44"/>
        <v>2.284354153994741</v>
      </c>
      <c r="U181" s="5">
        <f t="shared" si="45"/>
        <v>37.617778053039018</v>
      </c>
      <c r="AB181" s="14"/>
      <c r="AD181" s="5">
        <f t="shared" si="46"/>
        <v>4.25</v>
      </c>
      <c r="AE181" s="5">
        <f t="shared" si="47"/>
        <v>10.2083333333333</v>
      </c>
      <c r="AF181" s="5">
        <f t="shared" si="48"/>
        <v>3.8101157364190938</v>
      </c>
      <c r="AG181" s="5">
        <f t="shared" si="49"/>
        <v>2.4500244372500051</v>
      </c>
      <c r="AH181" s="5">
        <f t="shared" si="56"/>
        <v>0.68004564958454439</v>
      </c>
      <c r="AI181" s="5">
        <f t="shared" si="50"/>
        <v>4.7763477311175487E-2</v>
      </c>
      <c r="AJ181" s="5">
        <f t="shared" si="57"/>
        <v>6.9421326728422009E-2</v>
      </c>
      <c r="AK181" s="5">
        <f t="shared" si="58"/>
        <v>0.61062432285612234</v>
      </c>
      <c r="AL181" s="5">
        <f t="shared" si="51"/>
        <v>0.754</v>
      </c>
      <c r="AM181" s="5">
        <v>16.7</v>
      </c>
    </row>
    <row r="182" spans="1:39" x14ac:dyDescent="0.2">
      <c r="A182" s="23">
        <v>45468</v>
      </c>
      <c r="B182" s="20">
        <v>28.6</v>
      </c>
      <c r="C182" s="20">
        <v>77.8</v>
      </c>
      <c r="D182" s="20">
        <v>1.1000000000000001</v>
      </c>
      <c r="E182" s="20">
        <v>34</v>
      </c>
      <c r="F182" s="20">
        <v>81.6666666666666</v>
      </c>
      <c r="G182" s="20">
        <v>2.8208333333333302</v>
      </c>
      <c r="H182" s="20">
        <v>24.8</v>
      </c>
      <c r="I182" s="20">
        <v>48</v>
      </c>
      <c r="J182" s="20">
        <v>0</v>
      </c>
      <c r="K182" s="20">
        <v>0.413791666666666</v>
      </c>
      <c r="L182" s="20">
        <f t="shared" si="52"/>
        <v>0.19034416666666637</v>
      </c>
      <c r="M182" s="20"/>
      <c r="N182" s="5">
        <f>IF(0&lt;B182&lt;26.5,16*(((10*B182)/#REF!)^#REF!)/30,((-415.85)+(32.24*B182)-(0.43*B182^2))/30)</f>
        <v>5.1497066666666687</v>
      </c>
      <c r="O182" s="6">
        <f t="shared" si="53"/>
        <v>5.0312804691293822</v>
      </c>
      <c r="P182" s="20">
        <f t="shared" si="54"/>
        <v>0</v>
      </c>
      <c r="Q182" s="5">
        <f t="shared" si="42"/>
        <v>5.4057530421597333</v>
      </c>
      <c r="R182" s="5">
        <f t="shared" si="55"/>
        <v>2.7055741169708862</v>
      </c>
      <c r="S182" s="5">
        <f t="shared" si="43"/>
        <v>0.15546625821428545</v>
      </c>
      <c r="T182" s="5">
        <f t="shared" si="44"/>
        <v>2.1471281497139207</v>
      </c>
      <c r="U182" s="5">
        <f t="shared" si="45"/>
        <v>37.619361252536564</v>
      </c>
      <c r="AB182" s="14"/>
      <c r="AD182" s="5">
        <f t="shared" si="46"/>
        <v>4.5999999999999996</v>
      </c>
      <c r="AE182" s="5">
        <f t="shared" si="47"/>
        <v>16.8333333333333</v>
      </c>
      <c r="AF182" s="5">
        <f t="shared" si="48"/>
        <v>4.1290411916108773</v>
      </c>
      <c r="AG182" s="5">
        <f t="shared" si="49"/>
        <v>2.57035378685043</v>
      </c>
      <c r="AH182" s="5">
        <f t="shared" si="56"/>
        <v>0.77934370238022366</v>
      </c>
      <c r="AI182" s="5">
        <f t="shared" si="50"/>
        <v>5.4579461657396314E-2</v>
      </c>
      <c r="AJ182" s="5">
        <f t="shared" si="57"/>
        <v>0.13118952323400404</v>
      </c>
      <c r="AK182" s="5">
        <f t="shared" si="58"/>
        <v>0.64815417914621964</v>
      </c>
      <c r="AL182" s="5">
        <f t="shared" si="51"/>
        <v>0.76900000000000002</v>
      </c>
      <c r="AM182" s="5">
        <v>16.7</v>
      </c>
    </row>
    <row r="183" spans="1:39" x14ac:dyDescent="0.2">
      <c r="A183" s="23">
        <v>45469</v>
      </c>
      <c r="B183" s="20">
        <v>29.6</v>
      </c>
      <c r="C183" s="20">
        <v>67</v>
      </c>
      <c r="D183" s="20">
        <v>1.5</v>
      </c>
      <c r="E183" s="20">
        <v>33.799999999999997</v>
      </c>
      <c r="F183" s="20">
        <v>70.25</v>
      </c>
      <c r="G183" s="20">
        <v>4.1416666666666604</v>
      </c>
      <c r="H183" s="20">
        <v>25.7</v>
      </c>
      <c r="I183" s="20">
        <v>45</v>
      </c>
      <c r="J183" s="20">
        <v>0</v>
      </c>
      <c r="K183" s="20">
        <v>0.45575416666666596</v>
      </c>
      <c r="L183" s="20">
        <f t="shared" si="52"/>
        <v>0.20964691666666635</v>
      </c>
      <c r="M183" s="20"/>
      <c r="N183" s="5">
        <f>IF(0&lt;B183&lt;26.5,16*(((10*B183)/#REF!)^#REF!)/30,((-415.85)+(32.24*B183)-(0.43*B183^2))/30)</f>
        <v>5.390173333333335</v>
      </c>
      <c r="O183" s="6">
        <f t="shared" si="53"/>
        <v>5.0312804691293822</v>
      </c>
      <c r="P183" s="20">
        <f t="shared" si="54"/>
        <v>0</v>
      </c>
      <c r="Q183" s="5">
        <f t="shared" si="42"/>
        <v>5.1816152029886977</v>
      </c>
      <c r="R183" s="5">
        <f t="shared" si="55"/>
        <v>2.5933933474156685</v>
      </c>
      <c r="S183" s="5">
        <f t="shared" si="43"/>
        <v>0.17345873367857115</v>
      </c>
      <c r="T183" s="5">
        <f t="shared" si="44"/>
        <v>2.6118702760087604</v>
      </c>
      <c r="U183" s="5">
        <f t="shared" si="45"/>
        <v>37.627910529823332</v>
      </c>
      <c r="AB183" s="14"/>
      <c r="AD183" s="5">
        <f t="shared" si="46"/>
        <v>4.0499999999999989</v>
      </c>
      <c r="AE183" s="5">
        <f t="shared" si="47"/>
        <v>12.625</v>
      </c>
      <c r="AF183" s="5">
        <f t="shared" si="48"/>
        <v>4.0879467356658399</v>
      </c>
      <c r="AG183" s="5">
        <f t="shared" si="49"/>
        <v>2.6958147156907444</v>
      </c>
      <c r="AH183" s="5">
        <f t="shared" si="56"/>
        <v>0.69606600998754775</v>
      </c>
      <c r="AI183" s="5">
        <f t="shared" si="50"/>
        <v>4.8969737357207749E-2</v>
      </c>
      <c r="AJ183" s="5">
        <f t="shared" si="57"/>
        <v>8.7878333760927893E-2</v>
      </c>
      <c r="AK183" s="5">
        <f t="shared" si="58"/>
        <v>0.60818767622661984</v>
      </c>
      <c r="AL183" s="5">
        <f t="shared" si="51"/>
        <v>0.77900000000000003</v>
      </c>
      <c r="AM183" s="5">
        <v>16.7</v>
      </c>
    </row>
    <row r="184" spans="1:39" x14ac:dyDescent="0.2">
      <c r="A184" s="23">
        <v>45470</v>
      </c>
      <c r="B184" s="20">
        <v>29.1</v>
      </c>
      <c r="C184" s="20">
        <v>71.900000000000006</v>
      </c>
      <c r="D184" s="20">
        <v>1.1000000000000001</v>
      </c>
      <c r="E184" s="20">
        <v>34.5</v>
      </c>
      <c r="F184" s="20">
        <v>74.1666666666666</v>
      </c>
      <c r="G184" s="20">
        <v>3.1958333333333302</v>
      </c>
      <c r="H184" s="20">
        <v>25.5</v>
      </c>
      <c r="I184" s="20">
        <v>49</v>
      </c>
      <c r="J184" s="20">
        <v>0</v>
      </c>
      <c r="K184" s="20">
        <v>0.486179166666666</v>
      </c>
      <c r="L184" s="20">
        <f t="shared" si="52"/>
        <v>0.22364241666666637</v>
      </c>
      <c r="M184" s="20"/>
      <c r="N184" s="5">
        <f>IF(0&lt;B184&lt;26.5,16*(((10*B184)/#REF!)^#REF!)/30,((-415.85)+(32.24*B184)-(0.43*B184^2))/30)</f>
        <v>5.2735233333333342</v>
      </c>
      <c r="O184" s="6">
        <f t="shared" si="53"/>
        <v>5.0312804691293822</v>
      </c>
      <c r="P184" s="20">
        <f t="shared" si="54"/>
        <v>0</v>
      </c>
      <c r="Q184" s="5">
        <f t="shared" si="42"/>
        <v>5.4042870000000001</v>
      </c>
      <c r="R184" s="5">
        <f t="shared" si="55"/>
        <v>2.7048403643020484</v>
      </c>
      <c r="S184" s="5">
        <f t="shared" si="43"/>
        <v>0.18385073549999972</v>
      </c>
      <c r="T184" s="5">
        <f t="shared" si="44"/>
        <v>2.4539948820120929</v>
      </c>
      <c r="U184" s="5">
        <f t="shared" si="45"/>
        <v>37.624031691054341</v>
      </c>
      <c r="AB184" s="14"/>
      <c r="AD184" s="5">
        <f t="shared" si="46"/>
        <v>4.5</v>
      </c>
      <c r="AE184" s="5">
        <f t="shared" si="47"/>
        <v>12.5833333333333</v>
      </c>
      <c r="AF184" s="5">
        <f t="shared" si="48"/>
        <v>4.2333530124400509</v>
      </c>
      <c r="AG184" s="5">
        <f t="shared" si="49"/>
        <v>2.667481715569846</v>
      </c>
      <c r="AH184" s="5">
        <f t="shared" si="56"/>
        <v>0.78293564843510244</v>
      </c>
      <c r="AI184" s="5">
        <f t="shared" si="50"/>
        <v>5.4876376707486955E-2</v>
      </c>
      <c r="AJ184" s="5">
        <f t="shared" si="57"/>
        <v>9.8519402428083463E-2</v>
      </c>
      <c r="AK184" s="5">
        <f t="shared" si="58"/>
        <v>0.684416246007019</v>
      </c>
      <c r="AL184" s="5">
        <f t="shared" si="51"/>
        <v>0.77400000000000002</v>
      </c>
      <c r="AM184" s="5">
        <v>16.7</v>
      </c>
    </row>
    <row r="185" spans="1:39" x14ac:dyDescent="0.2">
      <c r="A185" s="23">
        <v>45471</v>
      </c>
      <c r="B185" s="20">
        <v>28.7</v>
      </c>
      <c r="C185" s="20">
        <v>74.900000000000006</v>
      </c>
      <c r="D185" s="20">
        <v>1.2</v>
      </c>
      <c r="E185" s="20">
        <v>33.700000000000003</v>
      </c>
      <c r="F185" s="20">
        <v>77.7916666666666</v>
      </c>
      <c r="G185" s="20">
        <v>3.3416666666666601</v>
      </c>
      <c r="H185" s="20">
        <v>24.9</v>
      </c>
      <c r="I185" s="20">
        <v>50</v>
      </c>
      <c r="J185" s="20">
        <v>0</v>
      </c>
      <c r="K185" s="20">
        <v>0.31617083333333301</v>
      </c>
      <c r="L185" s="20">
        <f t="shared" si="52"/>
        <v>0.1454385833333332</v>
      </c>
      <c r="M185" s="20"/>
      <c r="N185" s="5">
        <f>IF(0&lt;B185&lt;26.5,16*(((10*B185)/#REF!)^#REF!)/30,((-415.85)+(32.24*B185)-(0.43*B185^2))/30)</f>
        <v>5.1750433333333339</v>
      </c>
      <c r="O185" s="6">
        <f t="shared" si="53"/>
        <v>5.0312804691293822</v>
      </c>
      <c r="P185" s="20">
        <f t="shared" si="54"/>
        <v>0</v>
      </c>
      <c r="Q185" s="5">
        <f t="shared" si="42"/>
        <v>5.2983250203418066</v>
      </c>
      <c r="R185" s="5">
        <f t="shared" si="55"/>
        <v>2.6518064969924784</v>
      </c>
      <c r="S185" s="5">
        <f t="shared" si="43"/>
        <v>0.11894346749999987</v>
      </c>
      <c r="T185" s="5">
        <f t="shared" si="44"/>
        <v>2.371838578753545</v>
      </c>
      <c r="U185" s="5">
        <f t="shared" si="45"/>
        <v>37.621656891808016</v>
      </c>
      <c r="AB185" s="14"/>
      <c r="AD185" s="5">
        <f t="shared" si="46"/>
        <v>4.4000000000000021</v>
      </c>
      <c r="AE185" s="5">
        <f t="shared" si="47"/>
        <v>13.8958333333333</v>
      </c>
      <c r="AF185" s="5">
        <f t="shared" si="48"/>
        <v>4.0675332571595595</v>
      </c>
      <c r="AG185" s="5">
        <f t="shared" si="49"/>
        <v>2.5840371643542337</v>
      </c>
      <c r="AH185" s="5">
        <f t="shared" si="56"/>
        <v>0.7417480464026629</v>
      </c>
      <c r="AI185" s="5">
        <f t="shared" si="50"/>
        <v>5.2032544510142387E-2</v>
      </c>
      <c r="AJ185" s="5">
        <f t="shared" si="57"/>
        <v>0.10307207228136978</v>
      </c>
      <c r="AK185" s="5">
        <f t="shared" si="58"/>
        <v>0.63867597412129307</v>
      </c>
      <c r="AL185" s="5">
        <f t="shared" si="51"/>
        <v>0.77</v>
      </c>
      <c r="AM185" s="5">
        <v>16.7</v>
      </c>
    </row>
    <row r="186" spans="1:39" x14ac:dyDescent="0.2">
      <c r="A186" s="23">
        <v>45472</v>
      </c>
      <c r="B186" s="20">
        <v>29.1</v>
      </c>
      <c r="C186" s="20">
        <v>72.099999999999994</v>
      </c>
      <c r="D186" s="20">
        <v>1.4</v>
      </c>
      <c r="E186" s="20">
        <v>33.5</v>
      </c>
      <c r="F186" s="20">
        <v>75.2916666666666</v>
      </c>
      <c r="G186" s="20">
        <v>3.7208333333333301</v>
      </c>
      <c r="H186" s="20">
        <v>24.9</v>
      </c>
      <c r="I186" s="20">
        <v>50</v>
      </c>
      <c r="J186" s="20">
        <v>0</v>
      </c>
      <c r="K186" s="20">
        <v>0.47296249999999995</v>
      </c>
      <c r="L186" s="20">
        <f t="shared" si="52"/>
        <v>0.21756275</v>
      </c>
      <c r="M186" s="20"/>
      <c r="N186" s="5">
        <f>IF(0&lt;B186&lt;26.5,16*(((10*B186)/#REF!)^#REF!)/30,((-415.85)+(32.24*B186)-(0.43*B186^2))/30)</f>
        <v>5.2735233333333342</v>
      </c>
      <c r="O186" s="6">
        <f t="shared" si="53"/>
        <v>5.0312804691293822</v>
      </c>
      <c r="P186" s="20">
        <f t="shared" si="54"/>
        <v>0</v>
      </c>
      <c r="Q186" s="5">
        <f t="shared" si="42"/>
        <v>5.2828268381192096</v>
      </c>
      <c r="R186" s="5">
        <f t="shared" si="55"/>
        <v>2.6440496719295261</v>
      </c>
      <c r="S186" s="5">
        <f t="shared" si="43"/>
        <v>0.17885279635714282</v>
      </c>
      <c r="T186" s="5">
        <f t="shared" si="44"/>
        <v>2.5278716194934265</v>
      </c>
      <c r="U186" s="5">
        <f t="shared" si="45"/>
        <v>37.623873371104587</v>
      </c>
      <c r="AB186" s="14"/>
      <c r="AD186" s="5">
        <f t="shared" si="46"/>
        <v>4.3000000000000007</v>
      </c>
      <c r="AE186" s="5">
        <f t="shared" si="47"/>
        <v>12.6458333333333</v>
      </c>
      <c r="AF186" s="5">
        <f t="shared" si="48"/>
        <v>4.0269721746729781</v>
      </c>
      <c r="AG186" s="5">
        <f t="shared" si="49"/>
        <v>2.5840371643542337</v>
      </c>
      <c r="AH186" s="5">
        <f t="shared" si="56"/>
        <v>0.72146750515937219</v>
      </c>
      <c r="AI186" s="5">
        <f t="shared" si="50"/>
        <v>5.0651798374781849E-2</v>
      </c>
      <c r="AJ186" s="5">
        <f t="shared" si="57"/>
        <v>9.1235578256612035E-2</v>
      </c>
      <c r="AK186" s="5">
        <f t="shared" si="58"/>
        <v>0.6302319269027602</v>
      </c>
      <c r="AL186" s="5">
        <f t="shared" si="51"/>
        <v>0.77400000000000002</v>
      </c>
      <c r="AM186" s="5">
        <v>16.7</v>
      </c>
    </row>
    <row r="187" spans="1:39" x14ac:dyDescent="0.2">
      <c r="A187" s="23">
        <v>45473</v>
      </c>
      <c r="B187" s="20">
        <v>30</v>
      </c>
      <c r="C187" s="20">
        <v>68.3</v>
      </c>
      <c r="D187" s="20">
        <v>1.1000000000000001</v>
      </c>
      <c r="E187" s="20">
        <v>34.799999999999997</v>
      </c>
      <c r="F187" s="20">
        <v>71.5833333333333</v>
      </c>
      <c r="G187" s="20">
        <v>3.1749999999999998</v>
      </c>
      <c r="H187" s="20">
        <v>25.5</v>
      </c>
      <c r="I187" s="20">
        <v>47</v>
      </c>
      <c r="J187" s="20">
        <v>0</v>
      </c>
      <c r="K187" s="20">
        <v>0.38237083333333299</v>
      </c>
      <c r="L187" s="20">
        <f t="shared" si="52"/>
        <v>0.17589058333333318</v>
      </c>
      <c r="M187" s="20"/>
      <c r="N187" s="5">
        <f>IF(0&lt;B187&lt;26.5,16*(((10*B187)/#REF!)^#REF!)/30,((-415.85)+(32.24*B187)-(0.43*B187^2))/30)</f>
        <v>5.4783333333333344</v>
      </c>
      <c r="O187" s="6">
        <f t="shared" si="53"/>
        <v>5.0312804691293822</v>
      </c>
      <c r="P187" s="20">
        <f t="shared" si="54"/>
        <v>0</v>
      </c>
      <c r="Q187" s="5">
        <f t="shared" si="42"/>
        <v>5.599041391241645</v>
      </c>
      <c r="R187" s="5">
        <f t="shared" si="55"/>
        <v>2.8023147468719367</v>
      </c>
      <c r="S187" s="5">
        <f t="shared" si="43"/>
        <v>0.14627650853571414</v>
      </c>
      <c r="T187" s="5">
        <f t="shared" si="44"/>
        <v>2.5089755123843807</v>
      </c>
      <c r="U187" s="5">
        <f t="shared" si="45"/>
        <v>37.626881450149931</v>
      </c>
      <c r="AB187" s="14"/>
      <c r="AD187" s="5">
        <f t="shared" si="46"/>
        <v>4.6499999999999986</v>
      </c>
      <c r="AE187" s="5">
        <f t="shared" si="47"/>
        <v>12.29166666666665</v>
      </c>
      <c r="AF187" s="5">
        <f t="shared" si="48"/>
        <v>4.297033764582646</v>
      </c>
      <c r="AG187" s="5">
        <f t="shared" si="49"/>
        <v>2.667481715569846</v>
      </c>
      <c r="AH187" s="5">
        <f t="shared" si="56"/>
        <v>0.81477602450639997</v>
      </c>
      <c r="AI187" s="5">
        <f t="shared" si="50"/>
        <v>5.7037297801392939E-2</v>
      </c>
      <c r="AJ187" s="5">
        <f t="shared" si="57"/>
        <v>0.10014955301224486</v>
      </c>
      <c r="AK187" s="5">
        <f t="shared" si="58"/>
        <v>0.71462647149415515</v>
      </c>
      <c r="AL187" s="5">
        <f t="shared" si="51"/>
        <v>0.78299999999999992</v>
      </c>
      <c r="AM187" s="5">
        <v>16.7</v>
      </c>
    </row>
    <row r="188" spans="1:39" x14ac:dyDescent="0.2">
      <c r="A188" s="23">
        <v>45474</v>
      </c>
      <c r="B188" s="20">
        <v>29.7</v>
      </c>
      <c r="C188" s="20">
        <v>70.7</v>
      </c>
      <c r="D188" s="20">
        <v>1.4</v>
      </c>
      <c r="E188" s="20">
        <v>33.5</v>
      </c>
      <c r="F188" s="20">
        <v>73.9583333333333</v>
      </c>
      <c r="G188" s="20">
        <v>3.7374999999999998</v>
      </c>
      <c r="H188" s="20">
        <v>25.9</v>
      </c>
      <c r="I188" s="20">
        <v>48</v>
      </c>
      <c r="J188" s="20">
        <v>0</v>
      </c>
      <c r="K188" s="20">
        <v>0.52302083333333305</v>
      </c>
      <c r="L188" s="20">
        <f t="shared" si="52"/>
        <v>0.24058958333333322</v>
      </c>
      <c r="M188" s="20"/>
      <c r="N188" s="5">
        <f>IF(0&lt;B188&lt;26.5,16*(((10*B188)/#REF!)^#REF!)/30,((-415.85)+(32.24*B188)-(0.43*B188^2))/30)</f>
        <v>5.4126433333333352</v>
      </c>
      <c r="O188" s="6">
        <f t="shared" si="53"/>
        <v>5.0312804691293822</v>
      </c>
      <c r="P188" s="20">
        <f t="shared" si="54"/>
        <v>0</v>
      </c>
      <c r="Q188" s="5">
        <f t="shared" si="42"/>
        <v>5.0297304693939617</v>
      </c>
      <c r="R188" s="5">
        <f t="shared" si="55"/>
        <v>2.5173751866206731</v>
      </c>
      <c r="S188" s="5">
        <f t="shared" si="43"/>
        <v>0.19931576785714272</v>
      </c>
      <c r="T188" s="5">
        <f t="shared" si="44"/>
        <v>2.3453716084627589</v>
      </c>
      <c r="U188" s="5">
        <f t="shared" si="45"/>
        <v>37.624981610752869</v>
      </c>
      <c r="AB188" s="14"/>
      <c r="AD188" s="5">
        <f t="shared" si="46"/>
        <v>3.8000000000000007</v>
      </c>
      <c r="AE188" s="5">
        <f t="shared" si="47"/>
        <v>12.97916666666665</v>
      </c>
      <c r="AF188" s="5">
        <f t="shared" si="48"/>
        <v>4.0269721746729781</v>
      </c>
      <c r="AG188" s="5">
        <f t="shared" si="49"/>
        <v>2.7244101754306382</v>
      </c>
      <c r="AH188" s="5">
        <f t="shared" si="56"/>
        <v>0.65128099962116992</v>
      </c>
      <c r="AI188" s="5">
        <f t="shared" si="50"/>
        <v>4.5914085817570095E-2</v>
      </c>
      <c r="AJ188" s="5">
        <f t="shared" si="57"/>
        <v>8.4530846409164251E-2</v>
      </c>
      <c r="AK188" s="5">
        <f t="shared" si="58"/>
        <v>0.56675015321200561</v>
      </c>
      <c r="AL188" s="5">
        <f t="shared" si="51"/>
        <v>0.78</v>
      </c>
      <c r="AM188" s="5">
        <v>16.7</v>
      </c>
    </row>
    <row r="189" spans="1:39" x14ac:dyDescent="0.2">
      <c r="A189" s="23">
        <v>45475</v>
      </c>
      <c r="B189" s="20">
        <v>29.6</v>
      </c>
      <c r="C189" s="20">
        <v>70</v>
      </c>
      <c r="D189" s="20">
        <v>1.9</v>
      </c>
      <c r="E189" s="20">
        <v>33.299999999999997</v>
      </c>
      <c r="F189" s="20">
        <v>72.0416666666666</v>
      </c>
      <c r="G189" s="20">
        <v>4.6708333333333298</v>
      </c>
      <c r="H189" s="20">
        <v>27.3</v>
      </c>
      <c r="I189" s="20">
        <v>55</v>
      </c>
      <c r="J189" s="20">
        <v>0</v>
      </c>
      <c r="K189" s="20">
        <v>0.48420833333333296</v>
      </c>
      <c r="L189" s="20">
        <f t="shared" si="52"/>
        <v>0.22273583333333316</v>
      </c>
      <c r="M189" s="20"/>
      <c r="N189" s="5">
        <f>IF(0&lt;B189&lt;26.5,16*(((10*B189)/#REF!)^#REF!)/30,((-415.85)+(32.24*B189)-(0.43*B189^2))/30)</f>
        <v>5.390173333333335</v>
      </c>
      <c r="O189" s="6">
        <f t="shared" si="53"/>
        <v>5.0312804691293822</v>
      </c>
      <c r="P189" s="20">
        <f t="shared" si="54"/>
        <v>0</v>
      </c>
      <c r="Q189" s="5">
        <f t="shared" si="42"/>
        <v>4.4596243083623071</v>
      </c>
      <c r="R189" s="5">
        <f t="shared" si="55"/>
        <v>2.2320376099346637</v>
      </c>
      <c r="S189" s="5">
        <f t="shared" si="43"/>
        <v>0.18428830821428557</v>
      </c>
      <c r="T189" s="5">
        <f t="shared" si="44"/>
        <v>2.3440039780694146</v>
      </c>
      <c r="U189" s="5">
        <f t="shared" si="45"/>
        <v>37.625535730577013</v>
      </c>
      <c r="AB189" s="14"/>
      <c r="AD189" s="5">
        <f t="shared" si="46"/>
        <v>2.9999999999999982</v>
      </c>
      <c r="AE189" s="5">
        <f t="shared" si="47"/>
        <v>8.5208333333333002</v>
      </c>
      <c r="AF189" s="5">
        <f t="shared" si="48"/>
        <v>3.9867634365677822</v>
      </c>
      <c r="AG189" s="5">
        <f t="shared" si="49"/>
        <v>2.9321010589616519</v>
      </c>
      <c r="AH189" s="5">
        <f t="shared" si="56"/>
        <v>0.52733118880306518</v>
      </c>
      <c r="AI189" s="5">
        <f t="shared" si="50"/>
        <v>3.7423798898120329E-2</v>
      </c>
      <c r="AJ189" s="5">
        <f t="shared" si="57"/>
        <v>4.493301171259434E-2</v>
      </c>
      <c r="AK189" s="5">
        <f t="shared" si="58"/>
        <v>0.48239817709047084</v>
      </c>
      <c r="AL189" s="5">
        <f t="shared" si="51"/>
        <v>0.77900000000000003</v>
      </c>
      <c r="AM189" s="5">
        <v>16.7</v>
      </c>
    </row>
    <row r="190" spans="1:39" x14ac:dyDescent="0.2">
      <c r="A190" s="23">
        <v>45476</v>
      </c>
      <c r="B190" s="20">
        <v>28.3</v>
      </c>
      <c r="C190" s="20">
        <v>74.5</v>
      </c>
      <c r="D190" s="20">
        <v>1.5</v>
      </c>
      <c r="E190" s="20">
        <v>32.700000000000003</v>
      </c>
      <c r="F190" s="20">
        <v>77.5</v>
      </c>
      <c r="G190" s="20">
        <v>4.5</v>
      </c>
      <c r="H190" s="20">
        <v>25.2</v>
      </c>
      <c r="I190" s="20">
        <v>57</v>
      </c>
      <c r="J190" s="20">
        <v>0.2</v>
      </c>
      <c r="K190" s="20">
        <v>0.38692083333333299</v>
      </c>
      <c r="L190" s="20">
        <f t="shared" si="52"/>
        <v>0.1779835833333332</v>
      </c>
      <c r="M190" s="20"/>
      <c r="N190" s="5">
        <f>IF(0&lt;B190&lt;26.5,16*(((10*B190)/#REF!)^#REF!)/30,((-415.85)+(32.24*B190)-(0.43*B190^2))/30)</f>
        <v>5.0719766666666679</v>
      </c>
      <c r="O190" s="6">
        <f t="shared" si="53"/>
        <v>5.0312804691293822</v>
      </c>
      <c r="P190" s="20">
        <f t="shared" si="54"/>
        <v>0</v>
      </c>
      <c r="Q190" s="5">
        <f t="shared" si="42"/>
        <v>4.8492644014847768</v>
      </c>
      <c r="R190" s="5">
        <f t="shared" si="55"/>
        <v>2.4270520959210788</v>
      </c>
      <c r="S190" s="5">
        <f t="shared" si="43"/>
        <v>0.14480346364285701</v>
      </c>
      <c r="T190" s="5">
        <f t="shared" si="44"/>
        <v>2.5624801312796306</v>
      </c>
      <c r="U190" s="5">
        <f t="shared" si="45"/>
        <v>37.621973531707518</v>
      </c>
      <c r="AB190" s="14"/>
      <c r="AD190" s="5">
        <f t="shared" si="46"/>
        <v>3.7500000000000018</v>
      </c>
      <c r="AE190" s="5">
        <f t="shared" si="47"/>
        <v>10.25</v>
      </c>
      <c r="AF190" s="5">
        <f t="shared" si="48"/>
        <v>3.8682256329858009</v>
      </c>
      <c r="AG190" s="5">
        <f t="shared" si="49"/>
        <v>2.625469874340034</v>
      </c>
      <c r="AH190" s="5">
        <f t="shared" si="56"/>
        <v>0.62137787932288346</v>
      </c>
      <c r="AI190" s="5">
        <f t="shared" si="50"/>
        <v>4.3824146932107656E-2</v>
      </c>
      <c r="AJ190" s="5">
        <f t="shared" si="57"/>
        <v>6.3691232630595562E-2</v>
      </c>
      <c r="AK190" s="5">
        <f t="shared" si="58"/>
        <v>0.55768664669228785</v>
      </c>
      <c r="AL190" s="5">
        <f t="shared" si="51"/>
        <v>0.76600000000000001</v>
      </c>
      <c r="AM190" s="5">
        <v>16.7</v>
      </c>
    </row>
    <row r="191" spans="1:39" x14ac:dyDescent="0.2">
      <c r="A191" s="23">
        <v>45477</v>
      </c>
      <c r="B191" s="20">
        <v>29.5</v>
      </c>
      <c r="C191" s="20">
        <v>71.5</v>
      </c>
      <c r="D191" s="20">
        <v>1.5</v>
      </c>
      <c r="E191" s="20">
        <v>33.9</v>
      </c>
      <c r="F191" s="20">
        <v>74.5833333333333</v>
      </c>
      <c r="G191" s="20">
        <v>4.0625</v>
      </c>
      <c r="H191" s="20">
        <v>25.2</v>
      </c>
      <c r="I191" s="20">
        <v>49</v>
      </c>
      <c r="J191" s="20">
        <v>0</v>
      </c>
      <c r="K191" s="20">
        <v>0.487662499999999</v>
      </c>
      <c r="L191" s="20">
        <f t="shared" si="52"/>
        <v>0.22432474999999955</v>
      </c>
      <c r="M191" s="20"/>
      <c r="N191" s="5">
        <f>IF(0&lt;B191&lt;26.5,16*(((10*B191)/#REF!)^#REF!)/30,((-415.85)+(32.24*B191)-(0.43*B191^2))/30)</f>
        <v>5.3674166666666681</v>
      </c>
      <c r="O191" s="6">
        <f t="shared" si="53"/>
        <v>5.0312804691293822</v>
      </c>
      <c r="P191" s="20">
        <f t="shared" si="54"/>
        <v>0</v>
      </c>
      <c r="Q191" s="5">
        <f t="shared" si="42"/>
        <v>5.3587694671618671</v>
      </c>
      <c r="R191" s="5">
        <f t="shared" si="55"/>
        <v>2.682058883580535</v>
      </c>
      <c r="S191" s="5">
        <f t="shared" si="43"/>
        <v>0.18536469621428533</v>
      </c>
      <c r="T191" s="5">
        <f t="shared" si="44"/>
        <v>2.7066016845653769</v>
      </c>
      <c r="U191" s="5">
        <f t="shared" si="45"/>
        <v>37.62434833095385</v>
      </c>
      <c r="AB191" s="14"/>
      <c r="AD191" s="5">
        <f t="shared" si="46"/>
        <v>4.3499999999999996</v>
      </c>
      <c r="AE191" s="5">
        <f t="shared" si="47"/>
        <v>12.79166666666665</v>
      </c>
      <c r="AF191" s="5">
        <f t="shared" si="48"/>
        <v>4.108449271877344</v>
      </c>
      <c r="AG191" s="5">
        <f t="shared" si="49"/>
        <v>2.625469874340034</v>
      </c>
      <c r="AH191" s="5">
        <f t="shared" si="56"/>
        <v>0.741489698768655</v>
      </c>
      <c r="AI191" s="5">
        <f t="shared" si="50"/>
        <v>5.2035948720433566E-2</v>
      </c>
      <c r="AJ191" s="5">
        <f t="shared" si="57"/>
        <v>9.4848890634156996E-2</v>
      </c>
      <c r="AK191" s="5">
        <f t="shared" si="58"/>
        <v>0.64664080813449798</v>
      </c>
      <c r="AL191" s="5">
        <f t="shared" si="51"/>
        <v>0.77800000000000002</v>
      </c>
      <c r="AM191" s="5">
        <v>16.7</v>
      </c>
    </row>
    <row r="192" spans="1:39" x14ac:dyDescent="0.2">
      <c r="A192" s="23">
        <v>45478</v>
      </c>
      <c r="B192" s="20">
        <v>29.7</v>
      </c>
      <c r="C192" s="20">
        <v>68</v>
      </c>
      <c r="D192" s="20">
        <v>1.6</v>
      </c>
      <c r="E192" s="20">
        <v>34.4</v>
      </c>
      <c r="F192" s="20">
        <v>70.875</v>
      </c>
      <c r="G192" s="20">
        <v>4.12083333333333</v>
      </c>
      <c r="H192" s="20">
        <v>25.8</v>
      </c>
      <c r="I192" s="20">
        <v>47</v>
      </c>
      <c r="J192" s="20">
        <v>0</v>
      </c>
      <c r="K192" s="20">
        <v>0.48449583333333301</v>
      </c>
      <c r="L192" s="20">
        <f t="shared" si="52"/>
        <v>0.22286808333333319</v>
      </c>
      <c r="M192" s="20"/>
      <c r="N192" s="5">
        <f>IF(0&lt;B192&lt;26.5,16*(((10*B192)/#REF!)^#REF!)/30,((-415.85)+(32.24*B192)-(0.43*B192^2))/30)</f>
        <v>5.4126433333333352</v>
      </c>
      <c r="O192" s="6">
        <f t="shared" si="53"/>
        <v>5.0312804691293822</v>
      </c>
      <c r="P192" s="20">
        <f t="shared" si="54"/>
        <v>0</v>
      </c>
      <c r="Q192" s="5">
        <f t="shared" si="42"/>
        <v>5.350410976773186</v>
      </c>
      <c r="R192" s="5">
        <f t="shared" si="55"/>
        <v>2.6778754673060225</v>
      </c>
      <c r="S192" s="5">
        <f t="shared" si="43"/>
        <v>0.18463444071428556</v>
      </c>
      <c r="T192" s="5">
        <f t="shared" si="44"/>
        <v>2.7805527293885586</v>
      </c>
      <c r="U192" s="5">
        <f t="shared" si="45"/>
        <v>37.627118930074559</v>
      </c>
      <c r="AB192" s="14"/>
      <c r="AD192" s="5">
        <f t="shared" si="46"/>
        <v>4.2999999999999989</v>
      </c>
      <c r="AE192" s="5">
        <f t="shared" si="47"/>
        <v>11.9375</v>
      </c>
      <c r="AF192" s="5">
        <f t="shared" si="48"/>
        <v>4.2123092549600285</v>
      </c>
      <c r="AG192" s="5">
        <f t="shared" si="49"/>
        <v>2.7100795102915933</v>
      </c>
      <c r="AH192" s="5">
        <f t="shared" si="56"/>
        <v>0.75111487233421759</v>
      </c>
      <c r="AI192" s="5">
        <f t="shared" si="50"/>
        <v>5.2733239955649269E-2</v>
      </c>
      <c r="AJ192" s="5">
        <f t="shared" si="57"/>
        <v>8.9664337884897222E-2</v>
      </c>
      <c r="AK192" s="5">
        <f t="shared" si="58"/>
        <v>0.66145053444932034</v>
      </c>
      <c r="AL192" s="5">
        <f t="shared" si="51"/>
        <v>0.78</v>
      </c>
      <c r="AM192" s="5">
        <v>16.7</v>
      </c>
    </row>
    <row r="193" spans="1:39" x14ac:dyDescent="0.2">
      <c r="A193" s="23">
        <v>45479</v>
      </c>
      <c r="B193" s="20">
        <v>30.2</v>
      </c>
      <c r="C193" s="20">
        <v>65.8</v>
      </c>
      <c r="D193" s="20">
        <v>1.5</v>
      </c>
      <c r="E193" s="20">
        <v>34.5</v>
      </c>
      <c r="F193" s="20">
        <v>68.9583333333333</v>
      </c>
      <c r="G193" s="20">
        <v>3.74583333333333</v>
      </c>
      <c r="H193" s="20">
        <v>25.1</v>
      </c>
      <c r="I193" s="20">
        <v>40</v>
      </c>
      <c r="J193" s="20">
        <v>0</v>
      </c>
      <c r="K193" s="20">
        <v>0.46104166666666602</v>
      </c>
      <c r="L193" s="20">
        <f t="shared" si="52"/>
        <v>0.21207916666666637</v>
      </c>
      <c r="M193" s="20"/>
      <c r="N193" s="5">
        <f>IF(0&lt;B193&lt;26.5,16*(((10*B193)/#REF!)^#REF!)/30,((-415.85)+(32.24*B193)-(0.43*B193^2))/30)</f>
        <v>5.5206933333333348</v>
      </c>
      <c r="O193" s="6">
        <f t="shared" si="53"/>
        <v>5.0312804691293822</v>
      </c>
      <c r="P193" s="20">
        <f t="shared" si="54"/>
        <v>0</v>
      </c>
      <c r="Q193" s="5">
        <f t="shared" si="42"/>
        <v>5.6526158421177</v>
      </c>
      <c r="R193" s="5">
        <f t="shared" si="55"/>
        <v>2.8291287072009998</v>
      </c>
      <c r="S193" s="5">
        <f t="shared" si="43"/>
        <v>0.17682265178571399</v>
      </c>
      <c r="T193" s="5">
        <f t="shared" si="44"/>
        <v>2.7028902405094475</v>
      </c>
      <c r="U193" s="5">
        <f t="shared" si="45"/>
        <v>37.628860449521866</v>
      </c>
      <c r="AB193" s="14"/>
      <c r="AD193" s="5">
        <f t="shared" si="46"/>
        <v>4.6999999999999993</v>
      </c>
      <c r="AE193" s="5">
        <f t="shared" si="47"/>
        <v>14.47916666666665</v>
      </c>
      <c r="AF193" s="5">
        <f t="shared" si="48"/>
        <v>4.2333530124400509</v>
      </c>
      <c r="AG193" s="5">
        <f t="shared" si="49"/>
        <v>2.6115949581648166</v>
      </c>
      <c r="AH193" s="5">
        <f t="shared" si="56"/>
        <v>0.81087902713761717</v>
      </c>
      <c r="AI193" s="5">
        <f t="shared" si="50"/>
        <v>5.6741039772043492E-2</v>
      </c>
      <c r="AJ193" s="5">
        <f t="shared" si="57"/>
        <v>0.11740852580430068</v>
      </c>
      <c r="AK193" s="5">
        <f t="shared" si="58"/>
        <v>0.69347050133331645</v>
      </c>
      <c r="AL193" s="5">
        <f t="shared" si="51"/>
        <v>0.78499999999999992</v>
      </c>
      <c r="AM193" s="5">
        <v>16.7</v>
      </c>
    </row>
    <row r="194" spans="1:39" x14ac:dyDescent="0.2">
      <c r="A194" s="23">
        <v>45480</v>
      </c>
      <c r="B194" s="20">
        <v>30.3</v>
      </c>
      <c r="C194" s="20">
        <v>61.4</v>
      </c>
      <c r="D194" s="20">
        <v>1.9</v>
      </c>
      <c r="E194" s="20">
        <v>33.9</v>
      </c>
      <c r="F194" s="20">
        <v>63.375</v>
      </c>
      <c r="G194" s="20">
        <v>4.99583333333333</v>
      </c>
      <c r="H194" s="20">
        <v>27.1</v>
      </c>
      <c r="I194" s="20">
        <v>45</v>
      </c>
      <c r="J194" s="20">
        <v>0</v>
      </c>
      <c r="K194" s="20">
        <v>0.46041666666666603</v>
      </c>
      <c r="L194" s="20">
        <f t="shared" si="52"/>
        <v>0.21179166666666638</v>
      </c>
      <c r="M194" s="20"/>
      <c r="N194" s="5">
        <f>IF(0&lt;B194&lt;26.5,16*(((10*B194)/#REF!)^#REF!)/30,((-415.85)+(32.24*B194)-(0.43*B194^2))/30)</f>
        <v>5.5414433333333344</v>
      </c>
      <c r="O194" s="6">
        <f t="shared" si="53"/>
        <v>5.0312804691293822</v>
      </c>
      <c r="P194" s="20">
        <f t="shared" si="54"/>
        <v>0</v>
      </c>
      <c r="Q194" s="5">
        <f t="shared" si="42"/>
        <v>4.8177453387449596</v>
      </c>
      <c r="R194" s="5">
        <f t="shared" si="55"/>
        <v>2.4112768358093146</v>
      </c>
      <c r="S194" s="5">
        <f t="shared" si="43"/>
        <v>0.1768078928571426</v>
      </c>
      <c r="T194" s="5">
        <f t="shared" si="44"/>
        <v>2.6761911638450284</v>
      </c>
      <c r="U194" s="5">
        <f t="shared" si="45"/>
        <v>37.632343488416474</v>
      </c>
      <c r="AB194" s="14"/>
      <c r="AD194" s="5">
        <f t="shared" si="46"/>
        <v>3.3999999999999986</v>
      </c>
      <c r="AE194" s="5">
        <f t="shared" si="47"/>
        <v>9.1875</v>
      </c>
      <c r="AF194" s="5">
        <f t="shared" si="48"/>
        <v>4.108449271877344</v>
      </c>
      <c r="AG194" s="5">
        <f t="shared" si="49"/>
        <v>2.9016102701791366</v>
      </c>
      <c r="AH194" s="5">
        <f t="shared" si="56"/>
        <v>0.60341950084910367</v>
      </c>
      <c r="AI194" s="5">
        <f t="shared" si="50"/>
        <v>4.2681445052671067E-2</v>
      </c>
      <c r="AJ194" s="5">
        <f t="shared" si="57"/>
        <v>5.5439166640511399E-2</v>
      </c>
      <c r="AK194" s="5">
        <f t="shared" si="58"/>
        <v>0.54798033420859227</v>
      </c>
      <c r="AL194" s="5">
        <f t="shared" si="51"/>
        <v>0.78600000000000003</v>
      </c>
      <c r="AM194" s="5">
        <v>16.7</v>
      </c>
    </row>
    <row r="195" spans="1:39" x14ac:dyDescent="0.2">
      <c r="A195" s="23">
        <v>45481</v>
      </c>
      <c r="B195" s="20">
        <v>30.6</v>
      </c>
      <c r="C195" s="20">
        <v>60</v>
      </c>
      <c r="D195" s="20">
        <v>1.7</v>
      </c>
      <c r="E195" s="20">
        <v>34.4</v>
      </c>
      <c r="F195" s="20">
        <v>62.5833333333333</v>
      </c>
      <c r="G195" s="20">
        <v>4.2625000000000002</v>
      </c>
      <c r="H195" s="20">
        <v>26</v>
      </c>
      <c r="I195" s="20">
        <v>40</v>
      </c>
      <c r="J195" s="20">
        <v>0</v>
      </c>
      <c r="K195" s="20">
        <v>0.49451249999999997</v>
      </c>
      <c r="L195" s="20">
        <f t="shared" si="52"/>
        <v>0.22747575</v>
      </c>
      <c r="M195" s="20"/>
      <c r="N195" s="5">
        <f>IF(0&lt;B195&lt;26.5,16*(((10*B195)/#REF!)^#REF!)/30,((-415.85)+(32.24*B195)-(0.43*B195^2))/30)</f>
        <v>5.6019733333333344</v>
      </c>
      <c r="O195" s="6">
        <f t="shared" si="53"/>
        <v>5.0312804691293822</v>
      </c>
      <c r="P195" s="20">
        <f t="shared" si="54"/>
        <v>0</v>
      </c>
      <c r="Q195" s="5">
        <f t="shared" si="42"/>
        <v>5.3880213983485996</v>
      </c>
      <c r="R195" s="5">
        <f t="shared" si="55"/>
        <v>2.6966994465646361</v>
      </c>
      <c r="S195" s="5">
        <f t="shared" si="43"/>
        <v>0.19062609139285711</v>
      </c>
      <c r="T195" s="5">
        <f t="shared" si="44"/>
        <v>2.8133335777604431</v>
      </c>
      <c r="U195" s="5">
        <f t="shared" si="45"/>
        <v>37.633451728064756</v>
      </c>
      <c r="AB195" s="14"/>
      <c r="AD195" s="5">
        <f t="shared" si="46"/>
        <v>4.1999999999999993</v>
      </c>
      <c r="AE195" s="5">
        <f t="shared" si="47"/>
        <v>11.29166666666665</v>
      </c>
      <c r="AF195" s="5">
        <f t="shared" si="48"/>
        <v>4.2123092549600285</v>
      </c>
      <c r="AG195" s="5">
        <f t="shared" si="49"/>
        <v>2.7388069677329154</v>
      </c>
      <c r="AH195" s="5">
        <f t="shared" si="56"/>
        <v>0.73675114361355654</v>
      </c>
      <c r="AI195" s="5">
        <f t="shared" si="50"/>
        <v>5.1767656195163159E-2</v>
      </c>
      <c r="AJ195" s="5">
        <f t="shared" si="57"/>
        <v>8.3191483299697305E-2</v>
      </c>
      <c r="AK195" s="5">
        <f t="shared" si="58"/>
        <v>0.65355966031385926</v>
      </c>
      <c r="AL195" s="5">
        <f t="shared" si="51"/>
        <v>0.78899999999999992</v>
      </c>
      <c r="AM195" s="5">
        <v>16.7</v>
      </c>
    </row>
    <row r="196" spans="1:39" x14ac:dyDescent="0.2">
      <c r="A196" s="23">
        <v>45482</v>
      </c>
      <c r="B196" s="20">
        <v>30.5</v>
      </c>
      <c r="C196" s="20">
        <v>60.7</v>
      </c>
      <c r="D196" s="20">
        <v>1.3</v>
      </c>
      <c r="E196" s="20">
        <v>35.1</v>
      </c>
      <c r="F196" s="20">
        <v>63.4166666666666</v>
      </c>
      <c r="G196" s="20">
        <v>3.4833333333333298</v>
      </c>
      <c r="H196" s="20">
        <v>25.8</v>
      </c>
      <c r="I196" s="20">
        <v>40</v>
      </c>
      <c r="J196" s="20">
        <v>0</v>
      </c>
      <c r="K196" s="20">
        <v>0.41794999999999999</v>
      </c>
      <c r="L196" s="20">
        <f t="shared" si="52"/>
        <v>0.19225700000000001</v>
      </c>
      <c r="M196" s="20"/>
      <c r="N196" s="5">
        <f>IF(0&lt;B196&lt;26.5,16*(((10*B196)/#REF!)^#REF!)/30,((-415.85)+(32.24*B196)-(0.43*B196^2))/30)</f>
        <v>5.5820833333333342</v>
      </c>
      <c r="O196" s="6">
        <f t="shared" si="53"/>
        <v>5.0312804691293822</v>
      </c>
      <c r="P196" s="20">
        <f t="shared" si="54"/>
        <v>0</v>
      </c>
      <c r="Q196" s="5">
        <f t="shared" si="42"/>
        <v>5.6576087698111195</v>
      </c>
      <c r="R196" s="5">
        <f t="shared" si="55"/>
        <v>2.8316276626341961</v>
      </c>
      <c r="S196" s="5">
        <f t="shared" si="43"/>
        <v>0.16090836171428571</v>
      </c>
      <c r="T196" s="5">
        <f t="shared" si="44"/>
        <v>2.701771054361382</v>
      </c>
      <c r="U196" s="5">
        <f t="shared" si="45"/>
        <v>37.632897608240619</v>
      </c>
      <c r="AB196" s="14"/>
      <c r="AD196" s="5">
        <f t="shared" si="46"/>
        <v>4.6500000000000004</v>
      </c>
      <c r="AE196" s="5">
        <f t="shared" si="47"/>
        <v>11.7083333333333</v>
      </c>
      <c r="AF196" s="5">
        <f t="shared" si="48"/>
        <v>4.3615457470670798</v>
      </c>
      <c r="AG196" s="5">
        <f t="shared" si="49"/>
        <v>2.7100795102915933</v>
      </c>
      <c r="AH196" s="5">
        <f t="shared" si="56"/>
        <v>0.82573311838774321</v>
      </c>
      <c r="AI196" s="5">
        <f t="shared" si="50"/>
        <v>5.7804334395439264E-2</v>
      </c>
      <c r="AJ196" s="5">
        <f t="shared" si="57"/>
        <v>9.6679585944564661E-2</v>
      </c>
      <c r="AK196" s="5">
        <f t="shared" si="58"/>
        <v>0.72905353244317861</v>
      </c>
      <c r="AL196" s="5">
        <f t="shared" si="51"/>
        <v>0.78800000000000003</v>
      </c>
      <c r="AM196" s="5">
        <v>16.7</v>
      </c>
    </row>
    <row r="197" spans="1:39" x14ac:dyDescent="0.2">
      <c r="A197" s="23">
        <v>45483</v>
      </c>
      <c r="B197" s="20">
        <v>27.1</v>
      </c>
      <c r="C197" s="20">
        <v>79.3</v>
      </c>
      <c r="D197" s="20">
        <v>1</v>
      </c>
      <c r="E197" s="20">
        <v>29.9</v>
      </c>
      <c r="F197" s="20">
        <v>81.875</v>
      </c>
      <c r="G197" s="20">
        <v>3.5458333333333298</v>
      </c>
      <c r="H197" s="20">
        <v>22.6</v>
      </c>
      <c r="I197" s="20">
        <v>65</v>
      </c>
      <c r="J197" s="20">
        <v>22</v>
      </c>
      <c r="K197" s="20">
        <v>0.276504166666666</v>
      </c>
      <c r="L197" s="20">
        <f t="shared" si="52"/>
        <v>0.12719191666666638</v>
      </c>
      <c r="M197" s="20"/>
      <c r="N197" s="5">
        <f>IF(0&lt;B197&lt;26.5,16*(((10*B197)/#REF!)^#REF!)/30,((-415.85)+(32.24*B197)-(0.43*B197^2))/30)</f>
        <v>4.7352566666666673</v>
      </c>
      <c r="O197" s="6">
        <f t="shared" si="53"/>
        <v>5.0312804691293822</v>
      </c>
      <c r="P197" s="20">
        <f t="shared" si="54"/>
        <v>0</v>
      </c>
      <c r="Q197" s="5">
        <f t="shared" si="42"/>
        <v>4.6596369258807373</v>
      </c>
      <c r="R197" s="5">
        <f t="shared" si="55"/>
        <v>2.3321437296195651</v>
      </c>
      <c r="S197" s="5">
        <f t="shared" si="43"/>
        <v>0.10185939492857116</v>
      </c>
      <c r="T197" s="5">
        <f t="shared" si="44"/>
        <v>2.0370670143268801</v>
      </c>
      <c r="U197" s="5">
        <f t="shared" si="45"/>
        <v>37.618173852913408</v>
      </c>
      <c r="AB197" s="14"/>
      <c r="AD197" s="5">
        <f t="shared" si="46"/>
        <v>3.6499999999999986</v>
      </c>
      <c r="AE197" s="5">
        <f t="shared" si="47"/>
        <v>8.4375</v>
      </c>
      <c r="AF197" s="5">
        <f t="shared" si="48"/>
        <v>3.3546871735039403</v>
      </c>
      <c r="AG197" s="5">
        <f t="shared" si="49"/>
        <v>2.2849140521524474</v>
      </c>
      <c r="AH197" s="5">
        <f t="shared" si="56"/>
        <v>0.53488656067574647</v>
      </c>
      <c r="AI197" s="5">
        <f t="shared" si="50"/>
        <v>3.7755461129694412E-2</v>
      </c>
      <c r="AJ197" s="5">
        <f t="shared" si="57"/>
        <v>4.5131053557016104E-2</v>
      </c>
      <c r="AK197" s="5">
        <f t="shared" si="58"/>
        <v>0.48975550711873039</v>
      </c>
      <c r="AL197" s="5">
        <f t="shared" si="51"/>
        <v>0.754</v>
      </c>
      <c r="AM197" s="5">
        <v>16.7</v>
      </c>
    </row>
    <row r="198" spans="1:39" x14ac:dyDescent="0.2">
      <c r="A198" s="23">
        <v>45484</v>
      </c>
      <c r="B198" s="20">
        <v>27.5</v>
      </c>
      <c r="C198" s="20">
        <v>80.400000000000006</v>
      </c>
      <c r="D198" s="20">
        <v>1.2</v>
      </c>
      <c r="E198" s="20">
        <v>32</v>
      </c>
      <c r="F198" s="20">
        <v>82.7916666666666</v>
      </c>
      <c r="G198" s="20">
        <v>3.2166666666666601</v>
      </c>
      <c r="H198" s="20">
        <v>22.8</v>
      </c>
      <c r="I198" s="20">
        <v>61</v>
      </c>
      <c r="J198" s="20">
        <v>2</v>
      </c>
      <c r="K198" s="20">
        <v>0.405004166666666</v>
      </c>
      <c r="L198" s="20">
        <f t="shared" si="52"/>
        <v>0.18630191666666637</v>
      </c>
      <c r="M198" s="20"/>
      <c r="N198" s="5">
        <f>IF(0&lt;B198&lt;26.5,16*(((10*B198)/#REF!)^#REF!)/30,((-415.85)+(32.24*B198)-(0.43*B198^2))/30)</f>
        <v>4.8520833333333337</v>
      </c>
      <c r="O198" s="6">
        <f t="shared" si="53"/>
        <v>5.0312804691293822</v>
      </c>
      <c r="P198" s="20">
        <f t="shared" si="54"/>
        <v>0</v>
      </c>
      <c r="Q198" s="5">
        <f t="shared" ref="Q198:Q261" si="59">0.0023*(SQRT(E198-H198))*(17.8+B198)*AM198</f>
        <v>5.277599414005083</v>
      </c>
      <c r="R198" s="5">
        <f t="shared" si="55"/>
        <v>2.6414333512668344</v>
      </c>
      <c r="S198" s="5">
        <f t="shared" ref="S198:S261" si="60">1.26*AL198*((K198*0.95)/2.45)</f>
        <v>0.14998808592857119</v>
      </c>
      <c r="T198" s="5">
        <f t="shared" ref="T198:T261" si="61">((0.408*AI198)*(K198*0.95) + ((0.063*900*G198*AK198)/((AD198+273))))/(AI198+0.063*(1+0.34*G198))</f>
        <v>2.3364343415910396</v>
      </c>
      <c r="U198" s="5">
        <f t="shared" ref="U198:U261" si="62">1.21*(10^((7.45*$X$19)/(234.7+$X$19)))*((1-0.01*(C198/100))+(0.21*$X$19)-2.3)</f>
        <v>37.617303093189747</v>
      </c>
      <c r="AB198" s="14"/>
      <c r="AD198" s="5">
        <f t="shared" ref="AD198:AD261" si="63">(E198-H198)/2</f>
        <v>4.5999999999999996</v>
      </c>
      <c r="AE198" s="5">
        <f t="shared" ref="AE198:AE261" si="64">(F198-I198)/2</f>
        <v>10.8958333333333</v>
      </c>
      <c r="AF198" s="5">
        <f t="shared" ref="AF198:AF261" si="65">0.611*10^((7.5*E198)/(273.3+E198))</f>
        <v>3.7338187409643715</v>
      </c>
      <c r="AG198" s="5">
        <f t="shared" ref="AG198:AG261" si="66">0.611*10^((7.5*H198)/(273.3+H198))</f>
        <v>2.3096640203990018</v>
      </c>
      <c r="AH198" s="5">
        <f t="shared" si="56"/>
        <v>0.71207736028268487</v>
      </c>
      <c r="AI198" s="5">
        <f t="shared" ref="AI198:AI261" si="67">(4098*AH198)/((237.3+AD198)^2)</f>
        <v>4.9868625182894658E-2</v>
      </c>
      <c r="AJ198" s="5">
        <f t="shared" si="57"/>
        <v>7.7586762380800631E-2</v>
      </c>
      <c r="AK198" s="5">
        <f t="shared" si="58"/>
        <v>0.63449059790188422</v>
      </c>
      <c r="AL198" s="5">
        <f t="shared" ref="AL198:AL261" si="68">IF(0&lt;B198&lt;16,0.407+0.0145*B198,0.483+0.01*B198)</f>
        <v>0.75800000000000001</v>
      </c>
      <c r="AM198" s="5">
        <v>16.7</v>
      </c>
    </row>
    <row r="199" spans="1:39" x14ac:dyDescent="0.2">
      <c r="A199" s="23">
        <v>45485</v>
      </c>
      <c r="B199" s="20">
        <v>29.3</v>
      </c>
      <c r="C199" s="20">
        <v>71.099999999999994</v>
      </c>
      <c r="D199" s="20">
        <v>1.5</v>
      </c>
      <c r="E199" s="20">
        <v>33.5</v>
      </c>
      <c r="F199" s="20">
        <v>74.2916666666666</v>
      </c>
      <c r="G199" s="20">
        <v>4.2541666666666602</v>
      </c>
      <c r="H199" s="20">
        <v>25.5</v>
      </c>
      <c r="I199" s="20">
        <v>49</v>
      </c>
      <c r="J199" s="20">
        <v>0</v>
      </c>
      <c r="K199" s="20">
        <v>0.49080000000000001</v>
      </c>
      <c r="L199" s="20">
        <f t="shared" ref="L199:L262" si="69">K199*0.46</f>
        <v>0.22576800000000002</v>
      </c>
      <c r="M199" s="20"/>
      <c r="N199" s="5">
        <f>IF(0&lt;B199&lt;26.5,16*(((10*B199)/#REF!)^#REF!)/30,((-415.85)+(32.24*B199)-(0.43*B199^2))/30)</f>
        <v>5.3210433333333356</v>
      </c>
      <c r="O199" s="6">
        <f t="shared" ref="O199:O262" si="70">$AC$6</f>
        <v>5.0312804691293822</v>
      </c>
      <c r="P199" s="20">
        <f t="shared" ref="P199:P262" si="71">(0.01*B199*Y199)</f>
        <v>0</v>
      </c>
      <c r="Q199" s="5">
        <f t="shared" si="59"/>
        <v>5.1169386240767052</v>
      </c>
      <c r="R199" s="5">
        <f t="shared" ref="R199:R262" si="72">Q199*$W$1</f>
        <v>2.5610227828497742</v>
      </c>
      <c r="S199" s="5">
        <f t="shared" si="60"/>
        <v>0.18607770514285715</v>
      </c>
      <c r="T199" s="5">
        <f t="shared" si="61"/>
        <v>2.6052404411418548</v>
      </c>
      <c r="U199" s="5">
        <f t="shared" si="62"/>
        <v>37.62466497085336</v>
      </c>
      <c r="AB199" s="14"/>
      <c r="AD199" s="5">
        <f t="shared" si="63"/>
        <v>4</v>
      </c>
      <c r="AE199" s="5">
        <f t="shared" si="64"/>
        <v>12.6458333333333</v>
      </c>
      <c r="AF199" s="5">
        <f t="shared" si="65"/>
        <v>4.0269721746729781</v>
      </c>
      <c r="AG199" s="5">
        <f t="shared" si="66"/>
        <v>2.667481715569846</v>
      </c>
      <c r="AH199" s="5">
        <f t="shared" ref="AH199:AH262" si="73">(AF199-AG199)/2</f>
        <v>0.67974522955156602</v>
      </c>
      <c r="AI199" s="5">
        <f t="shared" si="67"/>
        <v>4.7841355777876009E-2</v>
      </c>
      <c r="AJ199" s="5">
        <f t="shared" ref="AJ199:AJ262" si="74">(AE199*AH199)/100</f>
        <v>8.5959448820374901E-2</v>
      </c>
      <c r="AK199" s="5">
        <f t="shared" ref="AK199:AK262" si="75">AH199-AJ199</f>
        <v>0.59378578073119115</v>
      </c>
      <c r="AL199" s="5">
        <f t="shared" si="68"/>
        <v>0.77600000000000002</v>
      </c>
      <c r="AM199" s="5">
        <v>16.7</v>
      </c>
    </row>
    <row r="200" spans="1:39" x14ac:dyDescent="0.2">
      <c r="A200" s="23">
        <v>45486</v>
      </c>
      <c r="B200" s="20">
        <v>26.8</v>
      </c>
      <c r="C200" s="20">
        <v>81</v>
      </c>
      <c r="D200" s="20">
        <v>1.5</v>
      </c>
      <c r="E200" s="20">
        <v>30.5</v>
      </c>
      <c r="F200" s="20">
        <v>83.0416666666666</v>
      </c>
      <c r="G200" s="20">
        <v>4.7374999999999998</v>
      </c>
      <c r="H200" s="20">
        <v>22.4</v>
      </c>
      <c r="I200" s="20">
        <v>63</v>
      </c>
      <c r="J200" s="20">
        <v>17.600000000000001</v>
      </c>
      <c r="K200" s="20">
        <v>0.30211250000000001</v>
      </c>
      <c r="L200" s="20">
        <f t="shared" si="69"/>
        <v>0.13897175</v>
      </c>
      <c r="M200" s="20"/>
      <c r="N200" s="5">
        <f>IF(0&lt;B200&lt;26.5,16*(((10*B200)/#REF!)^#REF!)/30,((-415.85)+(32.24*B200)-(0.43*B200^2))/30)</f>
        <v>4.6446266666666665</v>
      </c>
      <c r="O200" s="6">
        <f t="shared" si="70"/>
        <v>5.0312804691293822</v>
      </c>
      <c r="P200" s="20">
        <f t="shared" si="71"/>
        <v>0</v>
      </c>
      <c r="Q200" s="5">
        <f t="shared" si="59"/>
        <v>4.8755282289724873</v>
      </c>
      <c r="R200" s="5">
        <f t="shared" si="72"/>
        <v>2.4401971159227598</v>
      </c>
      <c r="S200" s="5">
        <f t="shared" si="60"/>
        <v>0.11085025532142856</v>
      </c>
      <c r="T200" s="5">
        <f t="shared" si="61"/>
        <v>2.5547732672239087</v>
      </c>
      <c r="U200" s="5">
        <f t="shared" si="62"/>
        <v>37.616828133340491</v>
      </c>
      <c r="AB200" s="14"/>
      <c r="AD200" s="5">
        <f t="shared" si="63"/>
        <v>4.0500000000000007</v>
      </c>
      <c r="AE200" s="5">
        <f t="shared" si="64"/>
        <v>10.0208333333333</v>
      </c>
      <c r="AF200" s="5">
        <f t="shared" si="65"/>
        <v>3.4594231358551255</v>
      </c>
      <c r="AG200" s="5">
        <f t="shared" si="66"/>
        <v>2.2603963576376671</v>
      </c>
      <c r="AH200" s="5">
        <f t="shared" si="73"/>
        <v>0.5995133891087292</v>
      </c>
      <c r="AI200" s="5">
        <f t="shared" si="67"/>
        <v>4.2177053304627184E-2</v>
      </c>
      <c r="AJ200" s="5">
        <f t="shared" si="74"/>
        <v>6.0076237533603701E-2</v>
      </c>
      <c r="AK200" s="5">
        <f t="shared" si="75"/>
        <v>0.53943715157512551</v>
      </c>
      <c r="AL200" s="5">
        <f t="shared" si="68"/>
        <v>0.751</v>
      </c>
      <c r="AM200" s="5">
        <v>16.7</v>
      </c>
    </row>
    <row r="201" spans="1:39" x14ac:dyDescent="0.2">
      <c r="A201" s="23">
        <v>45487</v>
      </c>
      <c r="B201" s="20">
        <v>26.9</v>
      </c>
      <c r="C201" s="20">
        <v>78.400000000000006</v>
      </c>
      <c r="D201" s="20">
        <v>1.4</v>
      </c>
      <c r="E201" s="20">
        <v>30.6</v>
      </c>
      <c r="F201" s="20">
        <v>80.7916666666666</v>
      </c>
      <c r="G201" s="20">
        <v>4.4541666666666604</v>
      </c>
      <c r="H201" s="20">
        <v>24.8</v>
      </c>
      <c r="I201" s="20">
        <v>60</v>
      </c>
      <c r="J201" s="20">
        <v>0</v>
      </c>
      <c r="K201" s="20">
        <v>0.31122500000000003</v>
      </c>
      <c r="L201" s="20">
        <f t="shared" si="69"/>
        <v>0.14316350000000003</v>
      </c>
      <c r="M201" s="20"/>
      <c r="N201" s="5">
        <f>IF(0&lt;B201&lt;26.5,16*(((10*B201)/#REF!)^#REF!)/30,((-415.85)+(32.24*B201)-(0.43*B201^2))/30)</f>
        <v>4.6751233333333326</v>
      </c>
      <c r="O201" s="6">
        <f t="shared" si="70"/>
        <v>5.0312804691293822</v>
      </c>
      <c r="P201" s="20">
        <f t="shared" si="71"/>
        <v>0</v>
      </c>
      <c r="Q201" s="5">
        <f t="shared" si="59"/>
        <v>4.1349077710764242</v>
      </c>
      <c r="R201" s="5">
        <f t="shared" si="72"/>
        <v>2.0695173002236422</v>
      </c>
      <c r="S201" s="5">
        <f t="shared" si="60"/>
        <v>0.11434584342857142</v>
      </c>
      <c r="T201" s="5">
        <f t="shared" si="61"/>
        <v>1.9713789984086632</v>
      </c>
      <c r="U201" s="5">
        <f t="shared" si="62"/>
        <v>37.6188862926873</v>
      </c>
      <c r="AB201" s="14"/>
      <c r="AD201" s="5">
        <f t="shared" si="63"/>
        <v>2.9000000000000004</v>
      </c>
      <c r="AE201" s="5">
        <f t="shared" si="64"/>
        <v>10.3958333333333</v>
      </c>
      <c r="AF201" s="5">
        <f t="shared" si="65"/>
        <v>3.4771532833275658</v>
      </c>
      <c r="AG201" s="5">
        <f t="shared" si="66"/>
        <v>2.57035378685043</v>
      </c>
      <c r="AH201" s="5">
        <f t="shared" si="73"/>
        <v>0.45339974823856788</v>
      </c>
      <c r="AI201" s="5">
        <f t="shared" si="67"/>
        <v>3.2203807545225824E-2</v>
      </c>
      <c r="AJ201" s="5">
        <f t="shared" si="74"/>
        <v>4.7134682160634302E-2</v>
      </c>
      <c r="AK201" s="5">
        <f t="shared" si="75"/>
        <v>0.40626506607793356</v>
      </c>
      <c r="AL201" s="5">
        <f t="shared" si="68"/>
        <v>0.752</v>
      </c>
      <c r="AM201" s="5">
        <v>16.7</v>
      </c>
    </row>
    <row r="202" spans="1:39" x14ac:dyDescent="0.2">
      <c r="A202" s="23">
        <v>45488</v>
      </c>
      <c r="B202" s="20">
        <v>28</v>
      </c>
      <c r="C202" s="20">
        <v>75.3</v>
      </c>
      <c r="D202" s="20">
        <v>1.1000000000000001</v>
      </c>
      <c r="E202" s="20">
        <v>32.700000000000003</v>
      </c>
      <c r="F202" s="20">
        <v>78.2916666666666</v>
      </c>
      <c r="G202" s="20">
        <v>3.4874999999999998</v>
      </c>
      <c r="H202" s="20">
        <v>23.8</v>
      </c>
      <c r="I202" s="20">
        <v>55</v>
      </c>
      <c r="J202" s="20">
        <v>0.8</v>
      </c>
      <c r="K202" s="20">
        <v>0.52414166666666595</v>
      </c>
      <c r="L202" s="20">
        <f t="shared" si="69"/>
        <v>0.24110516666666634</v>
      </c>
      <c r="M202" s="20"/>
      <c r="N202" s="5">
        <f>IF(0&lt;B202&lt;26.5,16*(((10*B202)/#REF!)^#REF!)/30,((-415.85)+(32.24*B202)-(0.43*B202^2))/30)</f>
        <v>4.9916666666666663</v>
      </c>
      <c r="O202" s="6">
        <f t="shared" si="70"/>
        <v>5.0312804691293822</v>
      </c>
      <c r="P202" s="20">
        <f t="shared" si="71"/>
        <v>0</v>
      </c>
      <c r="Q202" s="5">
        <f t="shared" si="59"/>
        <v>5.2481324676105112</v>
      </c>
      <c r="R202" s="5">
        <f t="shared" si="72"/>
        <v>2.6266851733812477</v>
      </c>
      <c r="S202" s="5">
        <f t="shared" si="60"/>
        <v>0.19538953049999971</v>
      </c>
      <c r="T202" s="5">
        <f t="shared" si="61"/>
        <v>2.4527813474822855</v>
      </c>
      <c r="U202" s="5">
        <f t="shared" si="62"/>
        <v>37.621340251908507</v>
      </c>
      <c r="AB202" s="14"/>
      <c r="AD202" s="5">
        <f t="shared" si="63"/>
        <v>4.4500000000000011</v>
      </c>
      <c r="AE202" s="5">
        <f t="shared" si="64"/>
        <v>11.6458333333333</v>
      </c>
      <c r="AF202" s="5">
        <f t="shared" si="65"/>
        <v>3.8682256329858009</v>
      </c>
      <c r="AG202" s="5">
        <f t="shared" si="66"/>
        <v>2.4369634693671198</v>
      </c>
      <c r="AH202" s="5">
        <f t="shared" si="73"/>
        <v>0.71563108180934054</v>
      </c>
      <c r="AI202" s="5">
        <f t="shared" si="67"/>
        <v>5.0179714200546517E-2</v>
      </c>
      <c r="AJ202" s="5">
        <f t="shared" si="74"/>
        <v>8.3341203069045869E-2</v>
      </c>
      <c r="AK202" s="5">
        <f t="shared" si="75"/>
        <v>0.63228987874029463</v>
      </c>
      <c r="AL202" s="5">
        <f t="shared" si="68"/>
        <v>0.76300000000000001</v>
      </c>
      <c r="AM202" s="5">
        <v>16.7</v>
      </c>
    </row>
    <row r="203" spans="1:39" x14ac:dyDescent="0.2">
      <c r="A203" s="23">
        <v>45489</v>
      </c>
      <c r="B203" s="20">
        <v>28.3</v>
      </c>
      <c r="C203" s="20">
        <v>71.7</v>
      </c>
      <c r="D203" s="20">
        <v>1.2</v>
      </c>
      <c r="E203" s="20">
        <v>32.4</v>
      </c>
      <c r="F203" s="20">
        <v>75.0416666666666</v>
      </c>
      <c r="G203" s="20">
        <v>4.1624999999999996</v>
      </c>
      <c r="H203" s="20">
        <v>23.2</v>
      </c>
      <c r="I203" s="20">
        <v>48</v>
      </c>
      <c r="J203" s="20">
        <v>16.600000000000001</v>
      </c>
      <c r="K203" s="20">
        <v>0.446829166666666</v>
      </c>
      <c r="L203" s="20">
        <f t="shared" si="69"/>
        <v>0.20554141666666637</v>
      </c>
      <c r="M203" s="20"/>
      <c r="N203" s="5">
        <f>IF(0&lt;B203&lt;26.5,16*(((10*B203)/#REF!)^#REF!)/30,((-415.85)+(32.24*B203)-(0.43*B203^2))/30)</f>
        <v>5.0719766666666679</v>
      </c>
      <c r="O203" s="6">
        <f t="shared" si="70"/>
        <v>5.0312804691293822</v>
      </c>
      <c r="P203" s="20">
        <f t="shared" si="71"/>
        <v>0</v>
      </c>
      <c r="Q203" s="5">
        <f t="shared" si="59"/>
        <v>5.3708020526630094</v>
      </c>
      <c r="R203" s="5">
        <f t="shared" si="72"/>
        <v>2.6880811808697804</v>
      </c>
      <c r="S203" s="5">
        <f t="shared" si="60"/>
        <v>0.16722390064285689</v>
      </c>
      <c r="T203" s="5">
        <f t="shared" si="61"/>
        <v>2.6703811355651439</v>
      </c>
      <c r="U203" s="5">
        <f t="shared" si="62"/>
        <v>37.624190011004089</v>
      </c>
      <c r="AB203" s="14"/>
      <c r="AD203" s="5">
        <f t="shared" si="63"/>
        <v>4.5999999999999996</v>
      </c>
      <c r="AE203" s="5">
        <f t="shared" si="64"/>
        <v>13.5208333333333</v>
      </c>
      <c r="AF203" s="5">
        <f t="shared" si="65"/>
        <v>3.8101157364190938</v>
      </c>
      <c r="AG203" s="5">
        <f t="shared" si="66"/>
        <v>2.3598682282237085</v>
      </c>
      <c r="AH203" s="5">
        <f t="shared" si="73"/>
        <v>0.7251237540976927</v>
      </c>
      <c r="AI203" s="5">
        <f t="shared" si="67"/>
        <v>5.0782297993515656E-2</v>
      </c>
      <c r="AJ203" s="5">
        <f t="shared" si="74"/>
        <v>9.8042774251958634E-2</v>
      </c>
      <c r="AK203" s="5">
        <f t="shared" si="75"/>
        <v>0.62708097984573408</v>
      </c>
      <c r="AL203" s="5">
        <f t="shared" si="68"/>
        <v>0.76600000000000001</v>
      </c>
      <c r="AM203" s="5">
        <v>16.7</v>
      </c>
    </row>
    <row r="204" spans="1:39" x14ac:dyDescent="0.2">
      <c r="A204" s="23">
        <v>45490</v>
      </c>
      <c r="B204" s="20">
        <v>27.9</v>
      </c>
      <c r="C204" s="20">
        <v>73.2</v>
      </c>
      <c r="D204" s="20">
        <v>0.9</v>
      </c>
      <c r="E204" s="20">
        <v>33.200000000000003</v>
      </c>
      <c r="F204" s="20">
        <v>76.7916666666666</v>
      </c>
      <c r="G204" s="20">
        <v>3.37083333333333</v>
      </c>
      <c r="H204" s="20">
        <v>24</v>
      </c>
      <c r="I204" s="20">
        <v>50</v>
      </c>
      <c r="J204" s="20">
        <v>0.2</v>
      </c>
      <c r="K204" s="20">
        <v>0.54672916666666593</v>
      </c>
      <c r="L204" s="20">
        <f t="shared" si="69"/>
        <v>0.25149541666666636</v>
      </c>
      <c r="M204" s="20"/>
      <c r="N204" s="5">
        <f>IF(0&lt;B204&lt;26.5,16*(((10*B204)/#REF!)^#REF!)/30,((-415.85)+(32.24*B204)-(0.43*B204^2))/30)</f>
        <v>4.9643233333333319</v>
      </c>
      <c r="O204" s="6">
        <f t="shared" si="70"/>
        <v>5.0312804691293822</v>
      </c>
      <c r="P204" s="20">
        <f t="shared" si="71"/>
        <v>0</v>
      </c>
      <c r="Q204" s="5">
        <f t="shared" si="59"/>
        <v>5.324200733334048</v>
      </c>
      <c r="R204" s="5">
        <f t="shared" si="72"/>
        <v>2.6647572660683085</v>
      </c>
      <c r="S204" s="5">
        <f t="shared" si="60"/>
        <v>0.20354258249999971</v>
      </c>
      <c r="T204" s="5">
        <f t="shared" si="61"/>
        <v>2.4457286614628888</v>
      </c>
      <c r="U204" s="5">
        <f t="shared" si="62"/>
        <v>37.623002611380933</v>
      </c>
      <c r="AB204" s="14"/>
      <c r="AD204" s="5">
        <f t="shared" si="63"/>
        <v>4.6000000000000014</v>
      </c>
      <c r="AE204" s="5">
        <f t="shared" si="64"/>
        <v>13.3958333333333</v>
      </c>
      <c r="AF204" s="5">
        <f t="shared" si="65"/>
        <v>3.9667903920272027</v>
      </c>
      <c r="AG204" s="5">
        <f t="shared" si="66"/>
        <v>2.4631465486296187</v>
      </c>
      <c r="AH204" s="5">
        <f t="shared" si="73"/>
        <v>0.75182192169879203</v>
      </c>
      <c r="AI204" s="5">
        <f t="shared" si="67"/>
        <v>5.2652039944924948E-2</v>
      </c>
      <c r="AJ204" s="5">
        <f t="shared" si="74"/>
        <v>0.10071281159423377</v>
      </c>
      <c r="AK204" s="5">
        <f t="shared" si="75"/>
        <v>0.6511091101045583</v>
      </c>
      <c r="AL204" s="5">
        <f t="shared" si="68"/>
        <v>0.76200000000000001</v>
      </c>
      <c r="AM204" s="5">
        <v>16.7</v>
      </c>
    </row>
    <row r="205" spans="1:39" x14ac:dyDescent="0.2">
      <c r="A205" s="23">
        <v>45491</v>
      </c>
      <c r="B205" s="20">
        <v>28.8</v>
      </c>
      <c r="C205" s="20">
        <v>69.599999999999994</v>
      </c>
      <c r="D205" s="20">
        <v>1</v>
      </c>
      <c r="E205" s="20">
        <v>33.4</v>
      </c>
      <c r="F205" s="20">
        <v>73.125</v>
      </c>
      <c r="G205" s="20">
        <v>2.6333333333333302</v>
      </c>
      <c r="H205" s="20">
        <v>23.9</v>
      </c>
      <c r="I205" s="20">
        <v>46</v>
      </c>
      <c r="J205" s="20">
        <v>0</v>
      </c>
      <c r="K205" s="20">
        <v>0.55652499999999994</v>
      </c>
      <c r="L205" s="20">
        <f t="shared" si="69"/>
        <v>0.25600149999999999</v>
      </c>
      <c r="M205" s="20"/>
      <c r="N205" s="5">
        <f>IF(0&lt;B205&lt;26.5,16*(((10*B205)/#REF!)^#REF!)/30,((-415.85)+(32.24*B205)-(0.43*B205^2))/30)</f>
        <v>5.2000933333333341</v>
      </c>
      <c r="O205" s="6">
        <f t="shared" si="70"/>
        <v>5.0312804691293822</v>
      </c>
      <c r="P205" s="20">
        <f t="shared" si="71"/>
        <v>0</v>
      </c>
      <c r="Q205" s="5">
        <f t="shared" si="59"/>
        <v>5.5168608051990935</v>
      </c>
      <c r="R205" s="5">
        <f t="shared" si="72"/>
        <v>2.7611834438360523</v>
      </c>
      <c r="S205" s="5">
        <f t="shared" si="60"/>
        <v>0.20963660721428568</v>
      </c>
      <c r="T205" s="5">
        <f t="shared" si="61"/>
        <v>2.1480197843109332</v>
      </c>
      <c r="U205" s="5">
        <f t="shared" si="62"/>
        <v>37.625852370476515</v>
      </c>
      <c r="AB205" s="14"/>
      <c r="AD205" s="5">
        <f t="shared" si="63"/>
        <v>4.75</v>
      </c>
      <c r="AE205" s="5">
        <f t="shared" si="64"/>
        <v>13.5625</v>
      </c>
      <c r="AF205" s="5">
        <f t="shared" si="65"/>
        <v>4.0068239237311412</v>
      </c>
      <c r="AG205" s="5">
        <f t="shared" si="66"/>
        <v>2.4500244372500051</v>
      </c>
      <c r="AH205" s="5">
        <f t="shared" si="73"/>
        <v>0.77839974324056804</v>
      </c>
      <c r="AI205" s="5">
        <f t="shared" si="67"/>
        <v>5.4445810106562791E-2</v>
      </c>
      <c r="AJ205" s="5">
        <f t="shared" si="74"/>
        <v>0.10557046517700204</v>
      </c>
      <c r="AK205" s="5">
        <f t="shared" si="75"/>
        <v>0.67282927806356596</v>
      </c>
      <c r="AL205" s="5">
        <f t="shared" si="68"/>
        <v>0.77100000000000002</v>
      </c>
      <c r="AM205" s="5">
        <v>16.7</v>
      </c>
    </row>
    <row r="206" spans="1:39" x14ac:dyDescent="0.2">
      <c r="A206" s="23">
        <v>45492</v>
      </c>
      <c r="B206" s="20">
        <v>29.9</v>
      </c>
      <c r="C206" s="20">
        <v>60.3</v>
      </c>
      <c r="D206" s="20">
        <v>1.5</v>
      </c>
      <c r="E206" s="20">
        <v>33.6</v>
      </c>
      <c r="F206" s="20">
        <v>63.9166666666666</v>
      </c>
      <c r="G206" s="20">
        <v>3.6083333333333298</v>
      </c>
      <c r="H206" s="20">
        <v>24.9</v>
      </c>
      <c r="I206" s="20">
        <v>42</v>
      </c>
      <c r="J206" s="20">
        <v>0</v>
      </c>
      <c r="K206" s="20">
        <v>0.56916666666666593</v>
      </c>
      <c r="L206" s="20">
        <f t="shared" si="69"/>
        <v>0.26181666666666636</v>
      </c>
      <c r="M206" s="20"/>
      <c r="N206" s="5">
        <f>IF(0&lt;B206&lt;26.5,16*(((10*B206)/#REF!)^#REF!)/30,((-415.85)+(32.24*B206)-(0.43*B206^2))/30)</f>
        <v>5.4567233333333336</v>
      </c>
      <c r="O206" s="6">
        <f t="shared" si="70"/>
        <v>5.0312804691293822</v>
      </c>
      <c r="P206" s="20">
        <f t="shared" si="71"/>
        <v>0</v>
      </c>
      <c r="Q206" s="5">
        <f t="shared" si="59"/>
        <v>5.4040867565247606</v>
      </c>
      <c r="R206" s="5">
        <f t="shared" si="72"/>
        <v>2.7047401426382995</v>
      </c>
      <c r="S206" s="5">
        <f t="shared" si="60"/>
        <v>0.21745744285714255</v>
      </c>
      <c r="T206" s="5">
        <f t="shared" si="61"/>
        <v>2.5666759097145309</v>
      </c>
      <c r="U206" s="5">
        <f t="shared" si="62"/>
        <v>37.633214248140128</v>
      </c>
      <c r="AB206" s="14"/>
      <c r="AD206" s="5">
        <f t="shared" si="63"/>
        <v>4.3500000000000014</v>
      </c>
      <c r="AE206" s="5">
        <f t="shared" si="64"/>
        <v>10.9583333333333</v>
      </c>
      <c r="AF206" s="5">
        <f t="shared" si="65"/>
        <v>4.0472085114775638</v>
      </c>
      <c r="AG206" s="5">
        <f t="shared" si="66"/>
        <v>2.5840371643542337</v>
      </c>
      <c r="AH206" s="5">
        <f t="shared" si="73"/>
        <v>0.73158567356166504</v>
      </c>
      <c r="AI206" s="5">
        <f t="shared" si="67"/>
        <v>5.1340908251695232E-2</v>
      </c>
      <c r="AJ206" s="5">
        <f t="shared" si="74"/>
        <v>8.0169596727798886E-2</v>
      </c>
      <c r="AK206" s="5">
        <f t="shared" si="75"/>
        <v>0.65141607683386615</v>
      </c>
      <c r="AL206" s="5">
        <f t="shared" si="68"/>
        <v>0.78200000000000003</v>
      </c>
      <c r="AM206" s="5">
        <v>16.7</v>
      </c>
    </row>
    <row r="207" spans="1:39" x14ac:dyDescent="0.2">
      <c r="A207" s="23">
        <v>45493</v>
      </c>
      <c r="B207" s="20">
        <v>30.1</v>
      </c>
      <c r="C207" s="20">
        <v>60.6</v>
      </c>
      <c r="D207" s="20">
        <v>1.1000000000000001</v>
      </c>
      <c r="E207" s="20">
        <v>34.299999999999997</v>
      </c>
      <c r="F207" s="20">
        <v>63.75</v>
      </c>
      <c r="G207" s="20">
        <v>3.3374999999999999</v>
      </c>
      <c r="H207" s="20">
        <v>25.3</v>
      </c>
      <c r="I207" s="20">
        <v>44</v>
      </c>
      <c r="J207" s="20">
        <v>0</v>
      </c>
      <c r="K207" s="20">
        <v>0.566074999999999</v>
      </c>
      <c r="L207" s="20">
        <f t="shared" si="69"/>
        <v>0.26039449999999953</v>
      </c>
      <c r="M207" s="20"/>
      <c r="N207" s="5">
        <f>IF(0&lt;B207&lt;26.5,16*(((10*B207)/#REF!)^#REF!)/30,((-415.85)+(32.24*B207)-(0.43*B207^2))/30)</f>
        <v>5.4996566666666675</v>
      </c>
      <c r="O207" s="6">
        <f t="shared" si="70"/>
        <v>5.0312804691293822</v>
      </c>
      <c r="P207" s="20">
        <f t="shared" si="71"/>
        <v>0</v>
      </c>
      <c r="Q207" s="5">
        <f t="shared" si="59"/>
        <v>5.5195169999999996</v>
      </c>
      <c r="R207" s="5">
        <f t="shared" si="72"/>
        <v>2.7625128667391921</v>
      </c>
      <c r="S207" s="5">
        <f t="shared" si="60"/>
        <v>0.21682936799999961</v>
      </c>
      <c r="T207" s="5">
        <f t="shared" si="61"/>
        <v>2.5881319994893106</v>
      </c>
      <c r="U207" s="5">
        <f t="shared" si="62"/>
        <v>37.632976768215499</v>
      </c>
      <c r="AB207" s="14"/>
      <c r="AD207" s="5">
        <f t="shared" si="63"/>
        <v>4.4999999999999982</v>
      </c>
      <c r="AE207" s="5">
        <f t="shared" si="64"/>
        <v>9.875</v>
      </c>
      <c r="AF207" s="5">
        <f t="shared" si="65"/>
        <v>4.1913565241884791</v>
      </c>
      <c r="AG207" s="5">
        <f t="shared" si="66"/>
        <v>2.6394091379090368</v>
      </c>
      <c r="AH207" s="5">
        <f t="shared" si="73"/>
        <v>0.7759736931397212</v>
      </c>
      <c r="AI207" s="5">
        <f t="shared" si="67"/>
        <v>5.4388409551854637E-2</v>
      </c>
      <c r="AJ207" s="5">
        <f t="shared" si="74"/>
        <v>7.6627402197547476E-2</v>
      </c>
      <c r="AK207" s="5">
        <f t="shared" si="75"/>
        <v>0.69934629094217371</v>
      </c>
      <c r="AL207" s="5">
        <f t="shared" si="68"/>
        <v>0.78400000000000003</v>
      </c>
      <c r="AM207" s="5">
        <v>16.7</v>
      </c>
    </row>
    <row r="208" spans="1:39" x14ac:dyDescent="0.2">
      <c r="A208" s="23">
        <v>45494</v>
      </c>
      <c r="B208" s="20">
        <v>29.6</v>
      </c>
      <c r="C208" s="20">
        <v>65.8</v>
      </c>
      <c r="D208" s="20">
        <v>0.9</v>
      </c>
      <c r="E208" s="20">
        <v>32.799999999999997</v>
      </c>
      <c r="F208" s="20">
        <v>68.875</v>
      </c>
      <c r="G208" s="20">
        <v>2.7333333333333298</v>
      </c>
      <c r="H208" s="20">
        <v>26.3</v>
      </c>
      <c r="I208" s="20">
        <v>49</v>
      </c>
      <c r="J208" s="20">
        <v>0</v>
      </c>
      <c r="K208" s="20">
        <v>0.31237083333333299</v>
      </c>
      <c r="L208" s="20">
        <f t="shared" si="69"/>
        <v>0.14369058333333318</v>
      </c>
      <c r="M208" s="20"/>
      <c r="N208" s="5">
        <f>IF(0&lt;B208&lt;26.5,16*(((10*B208)/#REF!)^#REF!)/30,((-415.85)+(32.24*B208)-(0.43*B208^2))/30)</f>
        <v>5.390173333333335</v>
      </c>
      <c r="O208" s="6">
        <f t="shared" si="70"/>
        <v>5.0312804691293822</v>
      </c>
      <c r="P208" s="20">
        <f t="shared" si="71"/>
        <v>0</v>
      </c>
      <c r="Q208" s="5">
        <f t="shared" si="59"/>
        <v>4.6417241465552417</v>
      </c>
      <c r="R208" s="5">
        <f t="shared" si="72"/>
        <v>2.32317840106532</v>
      </c>
      <c r="S208" s="5">
        <f t="shared" si="60"/>
        <v>0.1188874466785713</v>
      </c>
      <c r="T208" s="5">
        <f t="shared" si="61"/>
        <v>1.7673211631489765</v>
      </c>
      <c r="U208" s="5">
        <f t="shared" si="62"/>
        <v>37.628860449521866</v>
      </c>
      <c r="AB208" s="14"/>
      <c r="AD208" s="5">
        <f t="shared" si="63"/>
        <v>3.2499999999999982</v>
      </c>
      <c r="AE208" s="5">
        <f t="shared" si="64"/>
        <v>9.9375</v>
      </c>
      <c r="AF208" s="5">
        <f t="shared" si="65"/>
        <v>3.8877662493760701</v>
      </c>
      <c r="AG208" s="5">
        <f t="shared" si="66"/>
        <v>2.7823966858099221</v>
      </c>
      <c r="AH208" s="5">
        <f t="shared" si="73"/>
        <v>0.55268478178307401</v>
      </c>
      <c r="AI208" s="5">
        <f t="shared" si="67"/>
        <v>3.9141614741610979E-2</v>
      </c>
      <c r="AJ208" s="5">
        <f t="shared" si="74"/>
        <v>5.4923050189692985E-2</v>
      </c>
      <c r="AK208" s="5">
        <f t="shared" si="75"/>
        <v>0.497761731593381</v>
      </c>
      <c r="AL208" s="5">
        <f t="shared" si="68"/>
        <v>0.77900000000000003</v>
      </c>
      <c r="AM208" s="5">
        <v>16.7</v>
      </c>
    </row>
    <row r="209" spans="1:39" x14ac:dyDescent="0.2">
      <c r="A209" s="23">
        <v>45495</v>
      </c>
      <c r="B209" s="20">
        <v>29.3</v>
      </c>
      <c r="C209" s="20">
        <v>67.5</v>
      </c>
      <c r="D209" s="20">
        <v>1.1000000000000001</v>
      </c>
      <c r="E209" s="20">
        <v>34.1</v>
      </c>
      <c r="F209" s="20">
        <v>70.625</v>
      </c>
      <c r="G209" s="20">
        <v>3.17916666666666</v>
      </c>
      <c r="H209" s="20">
        <v>24.2</v>
      </c>
      <c r="I209" s="20">
        <v>50</v>
      </c>
      <c r="J209" s="20">
        <v>0</v>
      </c>
      <c r="K209" s="20">
        <v>0.5627375</v>
      </c>
      <c r="L209" s="20">
        <f t="shared" si="69"/>
        <v>0.25885924999999999</v>
      </c>
      <c r="M209" s="20"/>
      <c r="N209" s="5">
        <f>IF(0&lt;B209&lt;26.5,16*(((10*B209)/#REF!)^#REF!)/30,((-415.85)+(32.24*B209)-(0.43*B209^2))/30)</f>
        <v>5.3210433333333356</v>
      </c>
      <c r="O209" s="6">
        <f t="shared" si="70"/>
        <v>5.0312804691293822</v>
      </c>
      <c r="P209" s="20">
        <f t="shared" si="71"/>
        <v>0</v>
      </c>
      <c r="Q209" s="5">
        <f t="shared" si="59"/>
        <v>5.6922348723658533</v>
      </c>
      <c r="R209" s="5">
        <f t="shared" si="72"/>
        <v>2.8489579931382027</v>
      </c>
      <c r="S209" s="5">
        <f t="shared" si="60"/>
        <v>0.21335147228571424</v>
      </c>
      <c r="T209" s="5">
        <f t="shared" si="61"/>
        <v>2.6205953446785508</v>
      </c>
      <c r="U209" s="5">
        <f t="shared" si="62"/>
        <v>37.627514729948949</v>
      </c>
      <c r="AB209" s="14"/>
      <c r="AD209" s="5">
        <f t="shared" si="63"/>
        <v>4.9500000000000011</v>
      </c>
      <c r="AE209" s="5">
        <f t="shared" si="64"/>
        <v>10.3125</v>
      </c>
      <c r="AF209" s="5">
        <f t="shared" si="65"/>
        <v>4.1497228216209656</v>
      </c>
      <c r="AG209" s="5">
        <f t="shared" si="66"/>
        <v>2.4895751699974444</v>
      </c>
      <c r="AH209" s="5">
        <f t="shared" si="73"/>
        <v>0.83007382581176059</v>
      </c>
      <c r="AI209" s="5">
        <f t="shared" si="67"/>
        <v>5.7964367647671752E-2</v>
      </c>
      <c r="AJ209" s="5">
        <f t="shared" si="74"/>
        <v>8.5601363286837803E-2</v>
      </c>
      <c r="AK209" s="5">
        <f t="shared" si="75"/>
        <v>0.74447246252492283</v>
      </c>
      <c r="AL209" s="5">
        <f t="shared" si="68"/>
        <v>0.77600000000000002</v>
      </c>
      <c r="AM209" s="5">
        <v>16.7</v>
      </c>
    </row>
    <row r="210" spans="1:39" x14ac:dyDescent="0.2">
      <c r="A210" s="23">
        <v>45496</v>
      </c>
      <c r="B210" s="20">
        <v>30.4</v>
      </c>
      <c r="C210" s="20">
        <v>61.5</v>
      </c>
      <c r="D210" s="20">
        <v>1.7</v>
      </c>
      <c r="E210" s="20">
        <v>34.1</v>
      </c>
      <c r="F210" s="20">
        <v>65</v>
      </c>
      <c r="G210" s="20">
        <v>4.1333333333333302</v>
      </c>
      <c r="H210" s="20">
        <v>26</v>
      </c>
      <c r="I210" s="20">
        <v>40</v>
      </c>
      <c r="J210" s="20">
        <v>0</v>
      </c>
      <c r="K210" s="20">
        <v>0.56225833333333297</v>
      </c>
      <c r="L210" s="20">
        <f t="shared" si="69"/>
        <v>0.25863883333333315</v>
      </c>
      <c r="M210" s="20"/>
      <c r="N210" s="5">
        <f>IF(0&lt;B210&lt;26.5,16*(((10*B210)/#REF!)^#REF!)/30,((-415.85)+(32.24*B210)-(0.43*B210^2))/30)</f>
        <v>5.5619066666666663</v>
      </c>
      <c r="O210" s="6">
        <f t="shared" si="70"/>
        <v>5.0312804691293822</v>
      </c>
      <c r="P210" s="20">
        <f t="shared" si="71"/>
        <v>0</v>
      </c>
      <c r="Q210" s="5">
        <f t="shared" si="59"/>
        <v>5.2690686241361853</v>
      </c>
      <c r="R210" s="5">
        <f t="shared" si="72"/>
        <v>2.637163699270785</v>
      </c>
      <c r="S210" s="5">
        <f t="shared" si="60"/>
        <v>0.21619154207142838</v>
      </c>
      <c r="T210" s="5">
        <f t="shared" si="61"/>
        <v>2.6494330892620779</v>
      </c>
      <c r="U210" s="5">
        <f t="shared" si="62"/>
        <v>37.6322643284416</v>
      </c>
      <c r="AB210" s="14"/>
      <c r="AD210" s="5">
        <f t="shared" si="63"/>
        <v>4.0500000000000007</v>
      </c>
      <c r="AE210" s="5">
        <f t="shared" si="64"/>
        <v>12.5</v>
      </c>
      <c r="AF210" s="5">
        <f t="shared" si="65"/>
        <v>4.1497228216209656</v>
      </c>
      <c r="AG210" s="5">
        <f t="shared" si="66"/>
        <v>2.7388069677329154</v>
      </c>
      <c r="AH210" s="5">
        <f t="shared" si="73"/>
        <v>0.70545792694402509</v>
      </c>
      <c r="AI210" s="5">
        <f t="shared" si="67"/>
        <v>4.9630478867409671E-2</v>
      </c>
      <c r="AJ210" s="5">
        <f t="shared" si="74"/>
        <v>8.8182240868003137E-2</v>
      </c>
      <c r="AK210" s="5">
        <f t="shared" si="75"/>
        <v>0.61727568607602201</v>
      </c>
      <c r="AL210" s="5">
        <f t="shared" si="68"/>
        <v>0.78699999999999992</v>
      </c>
      <c r="AM210" s="5">
        <v>16.7</v>
      </c>
    </row>
    <row r="211" spans="1:39" x14ac:dyDescent="0.2">
      <c r="A211" s="23">
        <v>45497</v>
      </c>
      <c r="B211" s="20">
        <v>30.9</v>
      </c>
      <c r="C211" s="20">
        <v>54.8</v>
      </c>
      <c r="D211" s="20">
        <v>1.7</v>
      </c>
      <c r="E211" s="20">
        <v>34.6</v>
      </c>
      <c r="F211" s="20">
        <v>56.875</v>
      </c>
      <c r="G211" s="20">
        <v>4.3541666666666599</v>
      </c>
      <c r="H211" s="20">
        <v>27.1</v>
      </c>
      <c r="I211" s="20">
        <v>39</v>
      </c>
      <c r="J211" s="20">
        <v>0</v>
      </c>
      <c r="K211" s="20">
        <v>0.65896666666666603</v>
      </c>
      <c r="L211" s="20">
        <f t="shared" si="69"/>
        <v>0.30312466666666638</v>
      </c>
      <c r="M211" s="20"/>
      <c r="N211" s="5">
        <f>IF(0&lt;B211&lt;26.5,16*(((10*B211)/#REF!)^#REF!)/30,((-415.85)+(32.24*B211)-(0.43*B211^2))/30)</f>
        <v>5.6599233333333343</v>
      </c>
      <c r="O211" s="6">
        <f t="shared" si="70"/>
        <v>5.0312804691293822</v>
      </c>
      <c r="P211" s="20">
        <f t="shared" si="71"/>
        <v>0</v>
      </c>
      <c r="Q211" s="5">
        <f t="shared" si="59"/>
        <v>5.1227587061238298</v>
      </c>
      <c r="R211" s="5">
        <f t="shared" si="72"/>
        <v>2.5639357282289912</v>
      </c>
      <c r="S211" s="5">
        <f t="shared" si="60"/>
        <v>0.254986210285714</v>
      </c>
      <c r="T211" s="5">
        <f t="shared" si="61"/>
        <v>2.7537196977315594</v>
      </c>
      <c r="U211" s="5">
        <f t="shared" si="62"/>
        <v>37.637568046758389</v>
      </c>
      <c r="AB211" s="14"/>
      <c r="AD211" s="5">
        <f t="shared" si="63"/>
        <v>3.75</v>
      </c>
      <c r="AE211" s="5">
        <f t="shared" si="64"/>
        <v>8.9375</v>
      </c>
      <c r="AF211" s="5">
        <f t="shared" si="65"/>
        <v>4.2544881280991662</v>
      </c>
      <c r="AG211" s="5">
        <f t="shared" si="66"/>
        <v>2.9016102701791366</v>
      </c>
      <c r="AH211" s="5">
        <f t="shared" si="73"/>
        <v>0.67643892896001478</v>
      </c>
      <c r="AI211" s="5">
        <f t="shared" si="67"/>
        <v>4.7707457892844099E-2</v>
      </c>
      <c r="AJ211" s="5">
        <f t="shared" si="74"/>
        <v>6.0456729275801327E-2</v>
      </c>
      <c r="AK211" s="5">
        <f t="shared" si="75"/>
        <v>0.61598219968421342</v>
      </c>
      <c r="AL211" s="5">
        <f t="shared" si="68"/>
        <v>0.79200000000000004</v>
      </c>
      <c r="AM211" s="5">
        <v>16.7</v>
      </c>
    </row>
    <row r="212" spans="1:39" x14ac:dyDescent="0.2">
      <c r="A212" s="23">
        <v>45498</v>
      </c>
      <c r="B212" s="20">
        <v>29.9</v>
      </c>
      <c r="C212" s="20">
        <v>64</v>
      </c>
      <c r="D212" s="20">
        <v>1.4</v>
      </c>
      <c r="E212" s="20">
        <v>34.299999999999997</v>
      </c>
      <c r="F212" s="20">
        <v>66.25</v>
      </c>
      <c r="G212" s="20">
        <v>3.7958333333333298</v>
      </c>
      <c r="H212" s="20">
        <v>26.6</v>
      </c>
      <c r="I212" s="20">
        <v>43</v>
      </c>
      <c r="J212" s="20">
        <v>0</v>
      </c>
      <c r="K212" s="20">
        <v>0.45471249999999996</v>
      </c>
      <c r="L212" s="20">
        <f t="shared" si="69"/>
        <v>0.20916774999999999</v>
      </c>
      <c r="M212" s="20"/>
      <c r="N212" s="5">
        <f>IF(0&lt;B212&lt;26.5,16*(((10*B212)/#REF!)^#REF!)/30,((-415.85)+(32.24*B212)-(0.43*B212^2))/30)</f>
        <v>5.4567233333333336</v>
      </c>
      <c r="O212" s="6">
        <f t="shared" si="70"/>
        <v>5.0312804691293822</v>
      </c>
      <c r="P212" s="20">
        <f t="shared" si="71"/>
        <v>0</v>
      </c>
      <c r="Q212" s="5">
        <f t="shared" si="59"/>
        <v>5.0840293468269131</v>
      </c>
      <c r="R212" s="5">
        <f t="shared" si="72"/>
        <v>2.5445517217338036</v>
      </c>
      <c r="S212" s="5">
        <f t="shared" si="60"/>
        <v>0.17372875692857143</v>
      </c>
      <c r="T212" s="5">
        <f t="shared" si="61"/>
        <v>2.480811054601666</v>
      </c>
      <c r="U212" s="5">
        <f t="shared" si="62"/>
        <v>37.630285329069658</v>
      </c>
      <c r="AB212" s="14"/>
      <c r="AD212" s="5">
        <f t="shared" si="63"/>
        <v>3.8499999999999979</v>
      </c>
      <c r="AE212" s="5">
        <f t="shared" si="64"/>
        <v>11.625</v>
      </c>
      <c r="AF212" s="5">
        <f t="shared" si="65"/>
        <v>4.1913565241884791</v>
      </c>
      <c r="AG212" s="5">
        <f t="shared" si="66"/>
        <v>2.8265908634063468</v>
      </c>
      <c r="AH212" s="5">
        <f t="shared" si="73"/>
        <v>0.68238283039106618</v>
      </c>
      <c r="AI212" s="5">
        <f t="shared" si="67"/>
        <v>4.8086759599033906E-2</v>
      </c>
      <c r="AJ212" s="5">
        <f t="shared" si="74"/>
        <v>7.9327004032961446E-2</v>
      </c>
      <c r="AK212" s="5">
        <f t="shared" si="75"/>
        <v>0.60305582635810473</v>
      </c>
      <c r="AL212" s="5">
        <f t="shared" si="68"/>
        <v>0.78200000000000003</v>
      </c>
      <c r="AM212" s="5">
        <v>16.7</v>
      </c>
    </row>
    <row r="213" spans="1:39" x14ac:dyDescent="0.2">
      <c r="A213" s="23">
        <v>45499</v>
      </c>
      <c r="B213" s="20">
        <v>29.2</v>
      </c>
      <c r="C213" s="20">
        <v>68.8</v>
      </c>
      <c r="D213" s="20">
        <v>1.1000000000000001</v>
      </c>
      <c r="E213" s="20">
        <v>34.5</v>
      </c>
      <c r="F213" s="20">
        <v>72.3333333333333</v>
      </c>
      <c r="G213" s="20">
        <v>3.2666666666666599</v>
      </c>
      <c r="H213" s="20">
        <v>24.5</v>
      </c>
      <c r="I213" s="20">
        <v>43</v>
      </c>
      <c r="J213" s="20">
        <v>0</v>
      </c>
      <c r="K213" s="20">
        <v>0.59742083333333296</v>
      </c>
      <c r="L213" s="20">
        <f t="shared" si="69"/>
        <v>0.27481358333333317</v>
      </c>
      <c r="M213" s="20"/>
      <c r="N213" s="5">
        <f>IF(0&lt;B213&lt;26.5,16*(((10*B213)/#REF!)^#REF!)/30,((-415.85)+(32.24*B213)-(0.43*B213^2))/30)</f>
        <v>5.2974266666666665</v>
      </c>
      <c r="O213" s="6">
        <f t="shared" si="70"/>
        <v>5.0312804691293822</v>
      </c>
      <c r="P213" s="20">
        <f t="shared" si="71"/>
        <v>0</v>
      </c>
      <c r="Q213" s="5">
        <f t="shared" si="59"/>
        <v>5.7087649915721697</v>
      </c>
      <c r="R213" s="5">
        <f t="shared" si="72"/>
        <v>2.8572313016534556</v>
      </c>
      <c r="S213" s="5">
        <f t="shared" si="60"/>
        <v>0.22620913124999983</v>
      </c>
      <c r="T213" s="5">
        <f t="shared" si="61"/>
        <v>2.5883072745841136</v>
      </c>
      <c r="U213" s="5">
        <f t="shared" si="62"/>
        <v>37.626485650275541</v>
      </c>
      <c r="AB213" s="14"/>
      <c r="AD213" s="5">
        <f t="shared" si="63"/>
        <v>5</v>
      </c>
      <c r="AE213" s="5">
        <f t="shared" si="64"/>
        <v>14.66666666666665</v>
      </c>
      <c r="AF213" s="5">
        <f t="shared" si="65"/>
        <v>4.2333530124400509</v>
      </c>
      <c r="AG213" s="5">
        <f t="shared" si="66"/>
        <v>2.529682749076466</v>
      </c>
      <c r="AH213" s="5">
        <f t="shared" si="73"/>
        <v>0.85183513168179248</v>
      </c>
      <c r="AI213" s="5">
        <f t="shared" si="67"/>
        <v>5.9459420640787602E-2</v>
      </c>
      <c r="AJ213" s="5">
        <f t="shared" si="74"/>
        <v>0.12493581931332942</v>
      </c>
      <c r="AK213" s="5">
        <f t="shared" si="75"/>
        <v>0.72689931236846306</v>
      </c>
      <c r="AL213" s="5">
        <f t="shared" si="68"/>
        <v>0.77499999999999991</v>
      </c>
      <c r="AM213" s="5">
        <v>16.7</v>
      </c>
    </row>
    <row r="214" spans="1:39" x14ac:dyDescent="0.2">
      <c r="A214" s="23">
        <v>45500</v>
      </c>
      <c r="B214" s="20">
        <v>30.7</v>
      </c>
      <c r="C214" s="20">
        <v>59.7</v>
      </c>
      <c r="D214" s="20">
        <v>1.8</v>
      </c>
      <c r="E214" s="20">
        <v>34.9</v>
      </c>
      <c r="F214" s="20">
        <v>62.375</v>
      </c>
      <c r="G214" s="20">
        <v>4.2874999999999996</v>
      </c>
      <c r="H214" s="20">
        <v>26.1</v>
      </c>
      <c r="I214" s="20">
        <v>40</v>
      </c>
      <c r="J214" s="20">
        <v>0</v>
      </c>
      <c r="K214" s="20">
        <v>0.619220833333333</v>
      </c>
      <c r="L214" s="20">
        <f t="shared" si="69"/>
        <v>0.2848415833333332</v>
      </c>
      <c r="M214" s="20"/>
      <c r="N214" s="5">
        <f>IF(0&lt;B214&lt;26.5,16*(((10*B214)/#REF!)^#REF!)/30,((-415.85)+(32.24*B214)-(0.43*B214^2))/30)</f>
        <v>5.6215766666666678</v>
      </c>
      <c r="O214" s="6">
        <f t="shared" si="70"/>
        <v>5.0312804691293822</v>
      </c>
      <c r="P214" s="20">
        <f t="shared" si="71"/>
        <v>0</v>
      </c>
      <c r="Q214" s="5">
        <f t="shared" si="59"/>
        <v>5.5262099674532816</v>
      </c>
      <c r="R214" s="5">
        <f t="shared" si="72"/>
        <v>2.7658626904115096</v>
      </c>
      <c r="S214" s="5">
        <f t="shared" si="60"/>
        <v>0.239001549642857</v>
      </c>
      <c r="T214" s="5">
        <f t="shared" si="61"/>
        <v>2.9669478399794751</v>
      </c>
      <c r="U214" s="5">
        <f t="shared" si="62"/>
        <v>37.633689207989399</v>
      </c>
      <c r="AB214" s="14"/>
      <c r="AD214" s="5">
        <f t="shared" si="63"/>
        <v>4.3999999999999986</v>
      </c>
      <c r="AE214" s="5">
        <f t="shared" si="64"/>
        <v>11.1875</v>
      </c>
      <c r="AF214" s="5">
        <f t="shared" si="65"/>
        <v>4.3184449530992666</v>
      </c>
      <c r="AG214" s="5">
        <f t="shared" si="66"/>
        <v>2.7532701446187993</v>
      </c>
      <c r="AH214" s="5">
        <f t="shared" si="73"/>
        <v>0.78258740424023365</v>
      </c>
      <c r="AI214" s="5">
        <f t="shared" si="67"/>
        <v>5.4897365947495363E-2</v>
      </c>
      <c r="AJ214" s="5">
        <f t="shared" si="74"/>
        <v>8.7551965849376148E-2</v>
      </c>
      <c r="AK214" s="5">
        <f t="shared" si="75"/>
        <v>0.69503543839085746</v>
      </c>
      <c r="AL214" s="5">
        <f t="shared" si="68"/>
        <v>0.79</v>
      </c>
      <c r="AM214" s="5">
        <v>16.7</v>
      </c>
    </row>
    <row r="215" spans="1:39" x14ac:dyDescent="0.2">
      <c r="A215" s="23">
        <v>45501</v>
      </c>
      <c r="B215" s="20">
        <v>30.8</v>
      </c>
      <c r="C215" s="20">
        <v>60.4</v>
      </c>
      <c r="D215" s="20">
        <v>2.1</v>
      </c>
      <c r="E215" s="20">
        <v>35</v>
      </c>
      <c r="F215" s="20">
        <v>62.3333333333333</v>
      </c>
      <c r="G215" s="20">
        <v>4.9458333333333302</v>
      </c>
      <c r="H215" s="20">
        <v>27.3</v>
      </c>
      <c r="I215" s="20">
        <v>42</v>
      </c>
      <c r="J215" s="20">
        <v>0</v>
      </c>
      <c r="K215" s="20">
        <v>0.61577916666666599</v>
      </c>
      <c r="L215" s="20">
        <f t="shared" si="69"/>
        <v>0.28325841666666635</v>
      </c>
      <c r="M215" s="20"/>
      <c r="N215" s="5">
        <f>IF(0&lt;B215&lt;26.5,16*(((10*B215)/#REF!)^#REF!)/30,((-415.85)+(32.24*B215)-(0.43*B215^2))/30)</f>
        <v>5.6408933333333344</v>
      </c>
      <c r="O215" s="6">
        <f t="shared" si="70"/>
        <v>5.0312804691293822</v>
      </c>
      <c r="P215" s="20">
        <f t="shared" si="71"/>
        <v>0</v>
      </c>
      <c r="Q215" s="5">
        <f t="shared" si="59"/>
        <v>5.1799544288425157</v>
      </c>
      <c r="R215" s="5">
        <f t="shared" si="72"/>
        <v>2.592562131577838</v>
      </c>
      <c r="S215" s="5">
        <f t="shared" si="60"/>
        <v>0.23797401674999971</v>
      </c>
      <c r="T215" s="5">
        <f t="shared" si="61"/>
        <v>2.9850766801831918</v>
      </c>
      <c r="U215" s="5">
        <f t="shared" si="62"/>
        <v>37.633135088165247</v>
      </c>
      <c r="AB215" s="14"/>
      <c r="AD215" s="5">
        <f t="shared" si="63"/>
        <v>3.8499999999999996</v>
      </c>
      <c r="AE215" s="5">
        <f t="shared" si="64"/>
        <v>10.16666666666665</v>
      </c>
      <c r="AF215" s="5">
        <f t="shared" si="65"/>
        <v>4.3399488351831801</v>
      </c>
      <c r="AG215" s="5">
        <f t="shared" si="66"/>
        <v>2.9321010589616519</v>
      </c>
      <c r="AH215" s="5">
        <f t="shared" si="73"/>
        <v>0.70392388811076412</v>
      </c>
      <c r="AI215" s="5">
        <f t="shared" si="67"/>
        <v>4.9604733993967601E-2</v>
      </c>
      <c r="AJ215" s="5">
        <f t="shared" si="74"/>
        <v>7.15655952912609E-2</v>
      </c>
      <c r="AK215" s="5">
        <f t="shared" si="75"/>
        <v>0.63235829281950318</v>
      </c>
      <c r="AL215" s="5">
        <f t="shared" si="68"/>
        <v>0.79099999999999993</v>
      </c>
      <c r="AM215" s="5">
        <v>16.7</v>
      </c>
    </row>
    <row r="216" spans="1:39" x14ac:dyDescent="0.2">
      <c r="A216" s="23">
        <v>45502</v>
      </c>
      <c r="B216" s="20">
        <v>31</v>
      </c>
      <c r="C216" s="20">
        <v>59.2</v>
      </c>
      <c r="D216" s="20">
        <v>2.1</v>
      </c>
      <c r="E216" s="20">
        <v>35.200000000000003</v>
      </c>
      <c r="F216" s="20">
        <v>61.3333333333333</v>
      </c>
      <c r="G216" s="20">
        <v>5.3125</v>
      </c>
      <c r="H216" s="20">
        <v>26.9</v>
      </c>
      <c r="I216" s="20">
        <v>37</v>
      </c>
      <c r="J216" s="20">
        <v>0</v>
      </c>
      <c r="K216" s="20">
        <v>0.64463749999999898</v>
      </c>
      <c r="L216" s="20">
        <f t="shared" si="69"/>
        <v>0.29653324999999953</v>
      </c>
      <c r="M216" s="20"/>
      <c r="N216" s="5">
        <f>IF(0&lt;B216&lt;26.5,16*(((10*B216)/#REF!)^#REF!)/30,((-415.85)+(32.24*B216)-(0.43*B216^2))/30)</f>
        <v>5.6786666666666674</v>
      </c>
      <c r="O216" s="6">
        <f t="shared" si="70"/>
        <v>5.0312804691293822</v>
      </c>
      <c r="P216" s="20">
        <f t="shared" si="71"/>
        <v>0</v>
      </c>
      <c r="Q216" s="5">
        <f t="shared" si="59"/>
        <v>5.4001170736245347</v>
      </c>
      <c r="R216" s="5">
        <f t="shared" si="72"/>
        <v>2.7027533202245362</v>
      </c>
      <c r="S216" s="5">
        <f t="shared" si="60"/>
        <v>0.24975651117857098</v>
      </c>
      <c r="T216" s="5">
        <f t="shared" si="61"/>
        <v>3.1961259636750481</v>
      </c>
      <c r="U216" s="5">
        <f t="shared" si="62"/>
        <v>37.634085007863781</v>
      </c>
      <c r="AB216" s="14"/>
      <c r="AD216" s="5">
        <f t="shared" si="63"/>
        <v>4.1500000000000021</v>
      </c>
      <c r="AE216" s="5">
        <f t="shared" si="64"/>
        <v>12.16666666666665</v>
      </c>
      <c r="AF216" s="5">
        <f t="shared" si="65"/>
        <v>4.3832360259416134</v>
      </c>
      <c r="AG216" s="5">
        <f t="shared" si="66"/>
        <v>2.8713965589882768</v>
      </c>
      <c r="AH216" s="5">
        <f t="shared" si="73"/>
        <v>0.7559197334766683</v>
      </c>
      <c r="AI216" s="5">
        <f t="shared" si="67"/>
        <v>5.3136533350933442E-2</v>
      </c>
      <c r="AJ216" s="5">
        <f t="shared" si="74"/>
        <v>9.1970234239661192E-2</v>
      </c>
      <c r="AK216" s="5">
        <f t="shared" si="75"/>
        <v>0.66394949923700708</v>
      </c>
      <c r="AL216" s="5">
        <f t="shared" si="68"/>
        <v>0.79299999999999993</v>
      </c>
      <c r="AM216" s="5">
        <v>16.7</v>
      </c>
    </row>
    <row r="217" spans="1:39" x14ac:dyDescent="0.2">
      <c r="A217" s="23">
        <v>45503</v>
      </c>
      <c r="B217" s="20">
        <v>31.4</v>
      </c>
      <c r="C217" s="20">
        <v>56.7</v>
      </c>
      <c r="D217" s="20">
        <v>1.9</v>
      </c>
      <c r="E217" s="20">
        <v>35.299999999999997</v>
      </c>
      <c r="F217" s="20">
        <v>59.5416666666666</v>
      </c>
      <c r="G217" s="20">
        <v>4.5041666666666602</v>
      </c>
      <c r="H217" s="20">
        <v>28</v>
      </c>
      <c r="I217" s="20">
        <v>35</v>
      </c>
      <c r="J217" s="20">
        <v>0</v>
      </c>
      <c r="K217" s="20">
        <v>0.57339583333333299</v>
      </c>
      <c r="L217" s="20">
        <f t="shared" si="69"/>
        <v>0.26376208333333317</v>
      </c>
      <c r="M217" s="20"/>
      <c r="N217" s="5">
        <f>IF(0&lt;B217&lt;26.5,16*(((10*B217)/#REF!)^#REF!)/30,((-415.85)+(32.24*B217)-(0.43*B217^2))/30)</f>
        <v>5.750773333333334</v>
      </c>
      <c r="O217" s="6">
        <f t="shared" si="70"/>
        <v>5.0312804691293822</v>
      </c>
      <c r="P217" s="20">
        <f t="shared" si="71"/>
        <v>0</v>
      </c>
      <c r="Q217" s="5">
        <f t="shared" si="59"/>
        <v>5.1058827784706526</v>
      </c>
      <c r="R217" s="5">
        <f t="shared" si="72"/>
        <v>2.555489342923889</v>
      </c>
      <c r="S217" s="5">
        <f t="shared" si="60"/>
        <v>0.22327542267857123</v>
      </c>
      <c r="T217" s="5">
        <f t="shared" si="61"/>
        <v>2.7118002633381706</v>
      </c>
      <c r="U217" s="5">
        <f t="shared" si="62"/>
        <v>37.636064007235717</v>
      </c>
      <c r="AB217" s="14"/>
      <c r="AD217" s="5">
        <f t="shared" si="63"/>
        <v>3.6499999999999986</v>
      </c>
      <c r="AE217" s="5">
        <f t="shared" si="64"/>
        <v>12.2708333333333</v>
      </c>
      <c r="AF217" s="5">
        <f t="shared" si="65"/>
        <v>4.4050200099572088</v>
      </c>
      <c r="AG217" s="5">
        <f t="shared" si="66"/>
        <v>3.0410318214605909</v>
      </c>
      <c r="AH217" s="5">
        <f t="shared" si="73"/>
        <v>0.68199409424830892</v>
      </c>
      <c r="AI217" s="5">
        <f t="shared" si="67"/>
        <v>4.8139182041783392E-2</v>
      </c>
      <c r="AJ217" s="5">
        <f t="shared" si="74"/>
        <v>8.3686358648386014E-2</v>
      </c>
      <c r="AK217" s="5">
        <f t="shared" si="75"/>
        <v>0.5983077355999229</v>
      </c>
      <c r="AL217" s="5">
        <f t="shared" si="68"/>
        <v>0.79699999999999993</v>
      </c>
      <c r="AM217" s="5">
        <v>16.7</v>
      </c>
    </row>
    <row r="218" spans="1:39" x14ac:dyDescent="0.2">
      <c r="A218" s="23">
        <v>45504</v>
      </c>
      <c r="B218" s="20">
        <v>31.4</v>
      </c>
      <c r="C218" s="20">
        <v>54.2</v>
      </c>
      <c r="D218" s="20">
        <v>1.9</v>
      </c>
      <c r="E218" s="20">
        <v>35.5</v>
      </c>
      <c r="F218" s="20">
        <v>55.9583333333333</v>
      </c>
      <c r="G218" s="20">
        <v>4.58541666666666</v>
      </c>
      <c r="H218" s="20">
        <v>27.7</v>
      </c>
      <c r="I218" s="20">
        <v>38</v>
      </c>
      <c r="J218" s="20">
        <v>0</v>
      </c>
      <c r="K218" s="20">
        <v>0.59214999999999995</v>
      </c>
      <c r="L218" s="20">
        <f t="shared" si="69"/>
        <v>0.27238899999999999</v>
      </c>
      <c r="M218" s="20"/>
      <c r="N218" s="5">
        <f>IF(0&lt;B218&lt;26.5,16*(((10*B218)/#REF!)^#REF!)/30,((-415.85)+(32.24*B218)-(0.43*B218^2))/30)</f>
        <v>5.750773333333334</v>
      </c>
      <c r="O218" s="6">
        <f t="shared" si="70"/>
        <v>5.0312804691293822</v>
      </c>
      <c r="P218" s="20">
        <f t="shared" si="71"/>
        <v>0</v>
      </c>
      <c r="Q218" s="5">
        <f t="shared" si="59"/>
        <v>5.2778459671986644</v>
      </c>
      <c r="R218" s="5">
        <f t="shared" si="72"/>
        <v>2.6415567508993756</v>
      </c>
      <c r="S218" s="5">
        <f t="shared" si="60"/>
        <v>0.23057813442857136</v>
      </c>
      <c r="T218" s="5">
        <f t="shared" si="61"/>
        <v>2.9816276597953739</v>
      </c>
      <c r="U218" s="5">
        <f t="shared" si="62"/>
        <v>37.638043006607653</v>
      </c>
      <c r="AB218" s="14"/>
      <c r="AD218" s="5">
        <f t="shared" si="63"/>
        <v>3.9000000000000004</v>
      </c>
      <c r="AE218" s="5">
        <f t="shared" si="64"/>
        <v>8.9791666666666501</v>
      </c>
      <c r="AF218" s="5">
        <f t="shared" si="65"/>
        <v>4.4488704508233914</v>
      </c>
      <c r="AG218" s="5">
        <f t="shared" si="66"/>
        <v>2.9939224426909505</v>
      </c>
      <c r="AH218" s="5">
        <f t="shared" si="73"/>
        <v>0.72747400406622043</v>
      </c>
      <c r="AI218" s="5">
        <f t="shared" si="67"/>
        <v>5.124303284337315E-2</v>
      </c>
      <c r="AJ218" s="5">
        <f t="shared" si="74"/>
        <v>6.5321103281779258E-2</v>
      </c>
      <c r="AK218" s="5">
        <f t="shared" si="75"/>
        <v>0.66215290078444111</v>
      </c>
      <c r="AL218" s="5">
        <f t="shared" si="68"/>
        <v>0.79699999999999993</v>
      </c>
      <c r="AM218" s="5">
        <v>16.7</v>
      </c>
    </row>
    <row r="219" spans="1:39" x14ac:dyDescent="0.2">
      <c r="A219" s="23">
        <v>45505</v>
      </c>
      <c r="B219" s="20">
        <v>31</v>
      </c>
      <c r="C219" s="20">
        <v>58.1</v>
      </c>
      <c r="D219" s="20">
        <v>1.6</v>
      </c>
      <c r="E219" s="20">
        <v>35.700000000000003</v>
      </c>
      <c r="F219" s="20">
        <v>60.9166666666666</v>
      </c>
      <c r="G219" s="20">
        <v>4.0374999999999996</v>
      </c>
      <c r="H219" s="20">
        <v>26.1</v>
      </c>
      <c r="I219" s="20">
        <v>38</v>
      </c>
      <c r="J219" s="20">
        <v>0</v>
      </c>
      <c r="K219" s="20">
        <v>0.63217083333333302</v>
      </c>
      <c r="L219" s="20">
        <f t="shared" si="69"/>
        <v>0.29079858333333319</v>
      </c>
      <c r="M219" s="20"/>
      <c r="N219" s="5">
        <f>IF(0&lt;B219&lt;26.5,16*(((10*B219)/#REF!)^#REF!)/30,((-415.85)+(32.24*B219)-(0.43*B219^2))/30)</f>
        <v>5.6786666666666674</v>
      </c>
      <c r="O219" s="6">
        <f t="shared" si="70"/>
        <v>5.0312804691293822</v>
      </c>
      <c r="P219" s="20">
        <f t="shared" si="71"/>
        <v>0</v>
      </c>
      <c r="Q219" s="5">
        <f t="shared" si="59"/>
        <v>5.8076407743983616</v>
      </c>
      <c r="R219" s="5">
        <f t="shared" si="72"/>
        <v>2.9067185343707864</v>
      </c>
      <c r="S219" s="5">
        <f t="shared" si="60"/>
        <v>0.24492646146428554</v>
      </c>
      <c r="T219" s="5">
        <f t="shared" si="61"/>
        <v>3.0889955835236682</v>
      </c>
      <c r="U219" s="5">
        <f t="shared" si="62"/>
        <v>37.634955767587428</v>
      </c>
      <c r="AB219" s="14"/>
      <c r="AD219" s="5">
        <f t="shared" si="63"/>
        <v>4.8000000000000007</v>
      </c>
      <c r="AE219" s="5">
        <f t="shared" si="64"/>
        <v>11.4583333333333</v>
      </c>
      <c r="AF219" s="5">
        <f t="shared" si="65"/>
        <v>4.4930997941352171</v>
      </c>
      <c r="AG219" s="5">
        <f t="shared" si="66"/>
        <v>2.7532701446187993</v>
      </c>
      <c r="AH219" s="5">
        <f t="shared" si="73"/>
        <v>0.86991482475820892</v>
      </c>
      <c r="AI219" s="5">
        <f t="shared" si="67"/>
        <v>6.0821777365222471E-2</v>
      </c>
      <c r="AJ219" s="5">
        <f t="shared" si="74"/>
        <v>9.9677740336877818E-2</v>
      </c>
      <c r="AK219" s="5">
        <f t="shared" si="75"/>
        <v>0.7702370844213311</v>
      </c>
      <c r="AL219" s="5">
        <f t="shared" si="68"/>
        <v>0.79299999999999993</v>
      </c>
      <c r="AM219" s="5">
        <v>16.7</v>
      </c>
    </row>
    <row r="220" spans="1:39" x14ac:dyDescent="0.2">
      <c r="A220" s="23">
        <v>45506</v>
      </c>
      <c r="B220" s="20">
        <v>30.6</v>
      </c>
      <c r="C220" s="20">
        <v>60.3</v>
      </c>
      <c r="D220" s="20">
        <v>1.4</v>
      </c>
      <c r="E220" s="20">
        <v>35.1</v>
      </c>
      <c r="F220" s="20">
        <v>62.375</v>
      </c>
      <c r="G220" s="20">
        <v>3.86666666666666</v>
      </c>
      <c r="H220" s="20">
        <v>25.8</v>
      </c>
      <c r="I220" s="20">
        <v>44</v>
      </c>
      <c r="J220" s="20">
        <v>0</v>
      </c>
      <c r="K220" s="20">
        <v>0.57043750000000004</v>
      </c>
      <c r="L220" s="20">
        <f t="shared" si="69"/>
        <v>0.26240125000000003</v>
      </c>
      <c r="M220" s="20"/>
      <c r="N220" s="5">
        <f>IF(0&lt;B220&lt;26.5,16*(((10*B220)/#REF!)^#REF!)/30,((-415.85)+(32.24*B220)-(0.43*B220^2))/30)</f>
        <v>5.6019733333333344</v>
      </c>
      <c r="O220" s="6">
        <f t="shared" si="70"/>
        <v>5.0312804691293822</v>
      </c>
      <c r="P220" s="20">
        <f t="shared" si="71"/>
        <v>0</v>
      </c>
      <c r="Q220" s="5">
        <f t="shared" si="59"/>
        <v>5.6693222455250156</v>
      </c>
      <c r="R220" s="5">
        <f t="shared" si="72"/>
        <v>2.8374902457866487</v>
      </c>
      <c r="S220" s="5">
        <f t="shared" si="60"/>
        <v>0.21989387732142854</v>
      </c>
      <c r="T220" s="5">
        <f t="shared" si="61"/>
        <v>2.9705960276525576</v>
      </c>
      <c r="U220" s="5">
        <f t="shared" si="62"/>
        <v>37.633214248140128</v>
      </c>
      <c r="AB220" s="14"/>
      <c r="AD220" s="5">
        <f t="shared" si="63"/>
        <v>4.6500000000000004</v>
      </c>
      <c r="AE220" s="5">
        <f t="shared" si="64"/>
        <v>9.1875</v>
      </c>
      <c r="AF220" s="5">
        <f t="shared" si="65"/>
        <v>4.3615457470670798</v>
      </c>
      <c r="AG220" s="5">
        <f t="shared" si="66"/>
        <v>2.7100795102915933</v>
      </c>
      <c r="AH220" s="5">
        <f t="shared" si="73"/>
        <v>0.82573311838774321</v>
      </c>
      <c r="AI220" s="5">
        <f t="shared" si="67"/>
        <v>5.7804334395439264E-2</v>
      </c>
      <c r="AJ220" s="5">
        <f t="shared" si="74"/>
        <v>7.5864230251873901E-2</v>
      </c>
      <c r="AK220" s="5">
        <f t="shared" si="75"/>
        <v>0.74986888813586927</v>
      </c>
      <c r="AL220" s="5">
        <f t="shared" si="68"/>
        <v>0.78899999999999992</v>
      </c>
      <c r="AM220" s="5">
        <v>16.7</v>
      </c>
    </row>
    <row r="221" spans="1:39" x14ac:dyDescent="0.2">
      <c r="A221" s="23">
        <v>45507</v>
      </c>
      <c r="B221" s="20">
        <v>29.3</v>
      </c>
      <c r="C221" s="20">
        <v>68.900000000000006</v>
      </c>
      <c r="D221" s="20">
        <v>1.3</v>
      </c>
      <c r="E221" s="20">
        <v>34.5</v>
      </c>
      <c r="F221" s="20">
        <v>71.3333333333333</v>
      </c>
      <c r="G221" s="20">
        <v>3.7833333333333301</v>
      </c>
      <c r="H221" s="20">
        <v>25.4</v>
      </c>
      <c r="I221" s="20">
        <v>47</v>
      </c>
      <c r="J221" s="20">
        <v>0</v>
      </c>
      <c r="K221" s="20">
        <v>0.55955416666666602</v>
      </c>
      <c r="L221" s="20">
        <f t="shared" si="69"/>
        <v>0.25739491666666636</v>
      </c>
      <c r="M221" s="20"/>
      <c r="N221" s="5">
        <f>IF(0&lt;B221&lt;26.5,16*(((10*B221)/#REF!)^#REF!)/30,((-415.85)+(32.24*B221)-(0.43*B221^2))/30)</f>
        <v>5.3210433333333356</v>
      </c>
      <c r="O221" s="6">
        <f t="shared" si="70"/>
        <v>5.0312804691293822</v>
      </c>
      <c r="P221" s="20">
        <f t="shared" si="71"/>
        <v>0</v>
      </c>
      <c r="Q221" s="5">
        <f t="shared" si="59"/>
        <v>5.4574015569610683</v>
      </c>
      <c r="R221" s="5">
        <f t="shared" si="72"/>
        <v>2.7314241481759098</v>
      </c>
      <c r="S221" s="5">
        <f t="shared" si="60"/>
        <v>0.21214457057142833</v>
      </c>
      <c r="T221" s="5">
        <f t="shared" si="61"/>
        <v>2.7498350528504978</v>
      </c>
      <c r="U221" s="5">
        <f t="shared" si="62"/>
        <v>37.62640649030066</v>
      </c>
      <c r="AB221" s="14"/>
      <c r="AD221" s="5">
        <f t="shared" si="63"/>
        <v>4.5500000000000007</v>
      </c>
      <c r="AE221" s="5">
        <f t="shared" si="64"/>
        <v>12.16666666666665</v>
      </c>
      <c r="AF221" s="5">
        <f t="shared" si="65"/>
        <v>4.2333530124400509</v>
      </c>
      <c r="AG221" s="5">
        <f t="shared" si="66"/>
        <v>2.6534130007609296</v>
      </c>
      <c r="AH221" s="5">
        <f t="shared" si="73"/>
        <v>0.78997000583956067</v>
      </c>
      <c r="AI221" s="5">
        <f t="shared" si="67"/>
        <v>5.5346526816483547E-2</v>
      </c>
      <c r="AJ221" s="5">
        <f t="shared" si="74"/>
        <v>9.611301737714642E-2</v>
      </c>
      <c r="AK221" s="5">
        <f t="shared" si="75"/>
        <v>0.69385698846241428</v>
      </c>
      <c r="AL221" s="5">
        <f t="shared" si="68"/>
        <v>0.77600000000000002</v>
      </c>
      <c r="AM221" s="5">
        <v>16.7</v>
      </c>
    </row>
    <row r="222" spans="1:39" x14ac:dyDescent="0.2">
      <c r="A222" s="23">
        <v>45508</v>
      </c>
      <c r="B222" s="20">
        <v>29.9</v>
      </c>
      <c r="C222" s="20">
        <v>69.400000000000006</v>
      </c>
      <c r="D222" s="20">
        <v>1.4</v>
      </c>
      <c r="E222" s="20">
        <v>34.4</v>
      </c>
      <c r="F222" s="20">
        <v>72.4166666666666</v>
      </c>
      <c r="G222" s="20">
        <v>3.7875000000000001</v>
      </c>
      <c r="H222" s="20">
        <v>25.9</v>
      </c>
      <c r="I222" s="20">
        <v>48</v>
      </c>
      <c r="J222" s="20">
        <v>0</v>
      </c>
      <c r="K222" s="20">
        <v>0.57237083333333305</v>
      </c>
      <c r="L222" s="20">
        <f t="shared" si="69"/>
        <v>0.26329058333333322</v>
      </c>
      <c r="M222" s="20"/>
      <c r="N222" s="5">
        <f>IF(0&lt;B222&lt;26.5,16*(((10*B222)/#REF!)^#REF!)/30,((-415.85)+(32.24*B222)-(0.43*B222^2))/30)</f>
        <v>5.4567233333333336</v>
      </c>
      <c r="O222" s="6">
        <f t="shared" si="70"/>
        <v>5.0312804691293822</v>
      </c>
      <c r="P222" s="20">
        <f t="shared" si="71"/>
        <v>0</v>
      </c>
      <c r="Q222" s="5">
        <f t="shared" si="59"/>
        <v>5.3416096654020411</v>
      </c>
      <c r="R222" s="5">
        <f t="shared" si="72"/>
        <v>2.6734704195623586</v>
      </c>
      <c r="S222" s="5">
        <f t="shared" si="60"/>
        <v>0.21868163592857132</v>
      </c>
      <c r="T222" s="5">
        <f t="shared" si="61"/>
        <v>2.6351337770779328</v>
      </c>
      <c r="U222" s="5">
        <f t="shared" si="62"/>
        <v>37.626010690426277</v>
      </c>
      <c r="AB222" s="14"/>
      <c r="AD222" s="5">
        <f t="shared" si="63"/>
        <v>4.25</v>
      </c>
      <c r="AE222" s="5">
        <f t="shared" si="64"/>
        <v>12.2083333333333</v>
      </c>
      <c r="AF222" s="5">
        <f t="shared" si="65"/>
        <v>4.2123092549600285</v>
      </c>
      <c r="AG222" s="5">
        <f t="shared" si="66"/>
        <v>2.7244101754306382</v>
      </c>
      <c r="AH222" s="5">
        <f t="shared" si="73"/>
        <v>0.74394953976469513</v>
      </c>
      <c r="AI222" s="5">
        <f t="shared" si="67"/>
        <v>5.2251811308430207E-2</v>
      </c>
      <c r="AJ222" s="5">
        <f t="shared" si="74"/>
        <v>9.0823839646272955E-2</v>
      </c>
      <c r="AK222" s="5">
        <f t="shared" si="75"/>
        <v>0.65312570011842219</v>
      </c>
      <c r="AL222" s="5">
        <f t="shared" si="68"/>
        <v>0.78200000000000003</v>
      </c>
      <c r="AM222" s="5">
        <v>16.7</v>
      </c>
    </row>
    <row r="223" spans="1:39" x14ac:dyDescent="0.2">
      <c r="A223" s="23">
        <v>45509</v>
      </c>
      <c r="B223" s="20">
        <v>30.8</v>
      </c>
      <c r="C223" s="20">
        <v>56.1</v>
      </c>
      <c r="D223" s="20">
        <v>2.2000000000000002</v>
      </c>
      <c r="E223" s="20">
        <v>35.200000000000003</v>
      </c>
      <c r="F223" s="20">
        <v>58.2916666666666</v>
      </c>
      <c r="G223" s="20">
        <v>5.2124999999999897</v>
      </c>
      <c r="H223" s="20">
        <v>27</v>
      </c>
      <c r="I223" s="20">
        <v>38</v>
      </c>
      <c r="J223" s="20">
        <v>0</v>
      </c>
      <c r="K223" s="20">
        <v>0.63434166666666603</v>
      </c>
      <c r="L223" s="20">
        <f t="shared" si="69"/>
        <v>0.29179716666666639</v>
      </c>
      <c r="M223" s="20"/>
      <c r="N223" s="5">
        <f>IF(0&lt;B223&lt;26.5,16*(((10*B223)/#REF!)^#REF!)/30,((-415.85)+(32.24*B223)-(0.43*B223^2))/30)</f>
        <v>5.6408933333333344</v>
      </c>
      <c r="O223" s="6">
        <f t="shared" si="70"/>
        <v>5.0312804691293822</v>
      </c>
      <c r="P223" s="20">
        <f t="shared" si="71"/>
        <v>0</v>
      </c>
      <c r="Q223" s="5">
        <f t="shared" si="59"/>
        <v>5.3454897684331231</v>
      </c>
      <c r="R223" s="5">
        <f t="shared" si="72"/>
        <v>2.6754124073391221</v>
      </c>
      <c r="S223" s="5">
        <f t="shared" si="60"/>
        <v>0.24514768049999969</v>
      </c>
      <c r="T223" s="5">
        <f t="shared" si="61"/>
        <v>3.2126151629930026</v>
      </c>
      <c r="U223" s="5">
        <f t="shared" si="62"/>
        <v>37.636538967084981</v>
      </c>
      <c r="AB223" s="14"/>
      <c r="AD223" s="5">
        <f t="shared" si="63"/>
        <v>4.1000000000000014</v>
      </c>
      <c r="AE223" s="5">
        <f t="shared" si="64"/>
        <v>10.1458333333333</v>
      </c>
      <c r="AF223" s="5">
        <f t="shared" si="65"/>
        <v>4.3832360259416134</v>
      </c>
      <c r="AG223" s="5">
        <f t="shared" si="66"/>
        <v>2.8864689131283341</v>
      </c>
      <c r="AH223" s="5">
        <f t="shared" si="73"/>
        <v>0.74838355640663967</v>
      </c>
      <c r="AI223" s="5">
        <f t="shared" si="67"/>
        <v>5.2628580830175423E-2</v>
      </c>
      <c r="AJ223" s="5">
        <f t="shared" si="74"/>
        <v>7.5929748327090069E-2</v>
      </c>
      <c r="AK223" s="5">
        <f t="shared" si="75"/>
        <v>0.67245380807954958</v>
      </c>
      <c r="AL223" s="5">
        <f t="shared" si="68"/>
        <v>0.79099999999999993</v>
      </c>
      <c r="AM223" s="5">
        <v>16.7</v>
      </c>
    </row>
    <row r="224" spans="1:39" x14ac:dyDescent="0.2">
      <c r="A224" s="23">
        <v>45510</v>
      </c>
      <c r="B224" s="20">
        <v>30.4</v>
      </c>
      <c r="C224" s="20">
        <v>56.5</v>
      </c>
      <c r="D224" s="20">
        <v>1.8</v>
      </c>
      <c r="E224" s="20">
        <v>35.1</v>
      </c>
      <c r="F224" s="20">
        <v>58.4583333333333</v>
      </c>
      <c r="G224" s="20">
        <v>4.4583333333333304</v>
      </c>
      <c r="H224" s="20">
        <v>24.5</v>
      </c>
      <c r="I224" s="20">
        <v>40</v>
      </c>
      <c r="J224" s="20">
        <v>0</v>
      </c>
      <c r="K224" s="20">
        <v>0.656470833333333</v>
      </c>
      <c r="L224" s="20">
        <f t="shared" si="69"/>
        <v>0.30197658333333322</v>
      </c>
      <c r="M224" s="20"/>
      <c r="N224" s="5">
        <f>IF(0&lt;B224&lt;26.5,16*(((10*B224)/#REF!)^#REF!)/30,((-415.85)+(32.24*B224)-(0.43*B224^2))/30)</f>
        <v>5.5619066666666663</v>
      </c>
      <c r="O224" s="6">
        <f t="shared" si="70"/>
        <v>5.0312804691293822</v>
      </c>
      <c r="P224" s="20">
        <f t="shared" si="71"/>
        <v>0</v>
      </c>
      <c r="Q224" s="5">
        <f t="shared" si="59"/>
        <v>6.0275979712872694</v>
      </c>
      <c r="R224" s="5">
        <f t="shared" si="72"/>
        <v>3.0168068965476751</v>
      </c>
      <c r="S224" s="5">
        <f t="shared" si="60"/>
        <v>0.25241678667857126</v>
      </c>
      <c r="T224" s="5">
        <f t="shared" si="61"/>
        <v>3.4705516659175539</v>
      </c>
      <c r="U224" s="5">
        <f t="shared" si="62"/>
        <v>37.636222327185472</v>
      </c>
      <c r="AB224" s="14"/>
      <c r="AD224" s="5">
        <f t="shared" si="63"/>
        <v>5.3000000000000007</v>
      </c>
      <c r="AE224" s="5">
        <f t="shared" si="64"/>
        <v>9.2291666666666501</v>
      </c>
      <c r="AF224" s="5">
        <f t="shared" si="65"/>
        <v>4.3615457470670798</v>
      </c>
      <c r="AG224" s="5">
        <f t="shared" si="66"/>
        <v>2.529682749076466</v>
      </c>
      <c r="AH224" s="5">
        <f t="shared" si="73"/>
        <v>0.9159314989953069</v>
      </c>
      <c r="AI224" s="5">
        <f t="shared" si="67"/>
        <v>6.3775424160811583E-2</v>
      </c>
      <c r="AJ224" s="5">
        <f t="shared" si="74"/>
        <v>8.4532844594775045E-2</v>
      </c>
      <c r="AK224" s="5">
        <f t="shared" si="75"/>
        <v>0.83139865440053184</v>
      </c>
      <c r="AL224" s="5">
        <f t="shared" si="68"/>
        <v>0.78699999999999992</v>
      </c>
      <c r="AM224" s="5">
        <v>16.7</v>
      </c>
    </row>
    <row r="225" spans="1:39" x14ac:dyDescent="0.2">
      <c r="A225" s="23">
        <v>45511</v>
      </c>
      <c r="B225" s="20">
        <v>31.4</v>
      </c>
      <c r="C225" s="20">
        <v>52.8</v>
      </c>
      <c r="D225" s="20">
        <v>1.7</v>
      </c>
      <c r="E225" s="20">
        <v>36.200000000000003</v>
      </c>
      <c r="F225" s="20">
        <v>55.8333333333333</v>
      </c>
      <c r="G225" s="20">
        <v>4.3416666666666597</v>
      </c>
      <c r="H225" s="20">
        <v>25.8</v>
      </c>
      <c r="I225" s="20">
        <v>32</v>
      </c>
      <c r="J225" s="20">
        <v>0</v>
      </c>
      <c r="K225" s="20">
        <v>0.70206250000000003</v>
      </c>
      <c r="L225" s="20">
        <f t="shared" si="69"/>
        <v>0.32294875000000001</v>
      </c>
      <c r="M225" s="20"/>
      <c r="N225" s="5">
        <f>IF(0&lt;B225&lt;26.5,16*(((10*B225)/#REF!)^#REF!)/30,((-415.85)+(32.24*B225)-(0.43*B225^2))/30)</f>
        <v>5.750773333333334</v>
      </c>
      <c r="O225" s="6">
        <f t="shared" si="70"/>
        <v>5.0312804691293822</v>
      </c>
      <c r="P225" s="20">
        <f t="shared" si="71"/>
        <v>0</v>
      </c>
      <c r="Q225" s="5">
        <f t="shared" si="59"/>
        <v>6.0943315798070596</v>
      </c>
      <c r="R225" s="5">
        <f t="shared" si="72"/>
        <v>3.0502070024228556</v>
      </c>
      <c r="S225" s="5">
        <f t="shared" si="60"/>
        <v>0.27337711982142854</v>
      </c>
      <c r="T225" s="5">
        <f t="shared" si="61"/>
        <v>3.407483106238149</v>
      </c>
      <c r="U225" s="5">
        <f t="shared" si="62"/>
        <v>37.639151246255942</v>
      </c>
      <c r="AB225" s="14"/>
      <c r="AD225" s="5">
        <f t="shared" si="63"/>
        <v>5.2000000000000011</v>
      </c>
      <c r="AE225" s="5">
        <f t="shared" si="64"/>
        <v>11.91666666666665</v>
      </c>
      <c r="AF225" s="5">
        <f t="shared" si="65"/>
        <v>4.605348869744911</v>
      </c>
      <c r="AG225" s="5">
        <f t="shared" si="66"/>
        <v>2.7100795102915933</v>
      </c>
      <c r="AH225" s="5">
        <f t="shared" si="73"/>
        <v>0.94763467972665882</v>
      </c>
      <c r="AI225" s="5">
        <f t="shared" si="67"/>
        <v>6.6037316059429876E-2</v>
      </c>
      <c r="AJ225" s="5">
        <f t="shared" si="74"/>
        <v>0.11292646600076002</v>
      </c>
      <c r="AK225" s="5">
        <f t="shared" si="75"/>
        <v>0.83470821372589876</v>
      </c>
      <c r="AL225" s="5">
        <f t="shared" si="68"/>
        <v>0.79699999999999993</v>
      </c>
      <c r="AM225" s="5">
        <v>16.7</v>
      </c>
    </row>
    <row r="226" spans="1:39" x14ac:dyDescent="0.2">
      <c r="A226" s="23">
        <v>45512</v>
      </c>
      <c r="B226" s="20">
        <v>31.6</v>
      </c>
      <c r="C226" s="20">
        <v>53</v>
      </c>
      <c r="D226" s="20">
        <v>1.7</v>
      </c>
      <c r="E226" s="20">
        <v>35.9</v>
      </c>
      <c r="F226" s="20">
        <v>55.625</v>
      </c>
      <c r="G226" s="20">
        <v>4.11666666666666</v>
      </c>
      <c r="H226" s="20">
        <v>25.4</v>
      </c>
      <c r="I226" s="20">
        <v>36</v>
      </c>
      <c r="J226" s="20">
        <v>0</v>
      </c>
      <c r="K226" s="20">
        <v>0.69059166666666605</v>
      </c>
      <c r="L226" s="20">
        <f t="shared" si="69"/>
        <v>0.31767216666666642</v>
      </c>
      <c r="M226" s="20"/>
      <c r="N226" s="5">
        <f>IF(0&lt;B226&lt;26.5,16*(((10*B226)/#REF!)^#REF!)/30,((-415.85)+(32.24*B226)-(0.43*B226^2))/30)</f>
        <v>5.7851066666666684</v>
      </c>
      <c r="O226" s="6">
        <f t="shared" si="70"/>
        <v>5.0312804691293822</v>
      </c>
      <c r="P226" s="20">
        <f t="shared" si="71"/>
        <v>0</v>
      </c>
      <c r="Q226" s="5">
        <f t="shared" si="59"/>
        <v>6.1484536805783936</v>
      </c>
      <c r="R226" s="5">
        <f t="shared" si="72"/>
        <v>3.0772950609895315</v>
      </c>
      <c r="S226" s="5">
        <f t="shared" si="60"/>
        <v>0.26958528235714257</v>
      </c>
      <c r="T226" s="5">
        <f t="shared" si="61"/>
        <v>3.3686804125804986</v>
      </c>
      <c r="U226" s="5">
        <f t="shared" si="62"/>
        <v>37.63899292630618</v>
      </c>
      <c r="AB226" s="14"/>
      <c r="AD226" s="5">
        <f t="shared" si="63"/>
        <v>5.25</v>
      </c>
      <c r="AE226" s="5">
        <f t="shared" si="64"/>
        <v>9.8125</v>
      </c>
      <c r="AF226" s="5">
        <f t="shared" si="65"/>
        <v>4.5377107798373366</v>
      </c>
      <c r="AG226" s="5">
        <f t="shared" si="66"/>
        <v>2.6534130007609296</v>
      </c>
      <c r="AH226" s="5">
        <f t="shared" si="73"/>
        <v>0.94214888953820353</v>
      </c>
      <c r="AI226" s="5">
        <f t="shared" si="67"/>
        <v>6.5627964835546962E-2</v>
      </c>
      <c r="AJ226" s="5">
        <f t="shared" si="74"/>
        <v>9.2448359785936227E-2</v>
      </c>
      <c r="AK226" s="5">
        <f t="shared" si="75"/>
        <v>0.84970052975226729</v>
      </c>
      <c r="AL226" s="5">
        <f t="shared" si="68"/>
        <v>0.79899999999999993</v>
      </c>
      <c r="AM226" s="5">
        <v>16.7</v>
      </c>
    </row>
    <row r="227" spans="1:39" x14ac:dyDescent="0.2">
      <c r="A227" s="23">
        <v>45513</v>
      </c>
      <c r="B227" s="20">
        <v>31.4</v>
      </c>
      <c r="C227" s="20">
        <v>58.2</v>
      </c>
      <c r="D227" s="20">
        <v>1.5</v>
      </c>
      <c r="E227" s="20">
        <v>35.4</v>
      </c>
      <c r="F227" s="20">
        <v>60.5833333333333</v>
      </c>
      <c r="G227" s="20">
        <v>3.9208333333333298</v>
      </c>
      <c r="H227" s="20">
        <v>26</v>
      </c>
      <c r="I227" s="20">
        <v>39</v>
      </c>
      <c r="J227" s="20">
        <v>0</v>
      </c>
      <c r="K227" s="20">
        <v>0.64832916666666596</v>
      </c>
      <c r="L227" s="20">
        <f t="shared" si="69"/>
        <v>0.29823141666666636</v>
      </c>
      <c r="M227" s="20"/>
      <c r="N227" s="5">
        <f>IF(0&lt;B227&lt;26.5,16*(((10*B227)/#REF!)^#REF!)/30,((-415.85)+(32.24*B227)-(0.43*B227^2))/30)</f>
        <v>5.750773333333334</v>
      </c>
      <c r="O227" s="6">
        <f t="shared" si="70"/>
        <v>5.0312804691293822</v>
      </c>
      <c r="P227" s="20">
        <f t="shared" si="71"/>
        <v>0</v>
      </c>
      <c r="Q227" s="5">
        <f t="shared" si="59"/>
        <v>5.793931238170642</v>
      </c>
      <c r="R227" s="5">
        <f t="shared" si="72"/>
        <v>2.8998569248810249</v>
      </c>
      <c r="S227" s="5">
        <f t="shared" si="60"/>
        <v>0.25245382039285685</v>
      </c>
      <c r="T227" s="5">
        <f t="shared" si="61"/>
        <v>2.9974798750655998</v>
      </c>
      <c r="U227" s="5">
        <f t="shared" si="62"/>
        <v>37.634876607612554</v>
      </c>
      <c r="AB227" s="14"/>
      <c r="AD227" s="5">
        <f t="shared" si="63"/>
        <v>4.6999999999999993</v>
      </c>
      <c r="AE227" s="5">
        <f t="shared" si="64"/>
        <v>10.79166666666665</v>
      </c>
      <c r="AF227" s="5">
        <f t="shared" si="65"/>
        <v>4.4268980382259473</v>
      </c>
      <c r="AG227" s="5">
        <f t="shared" si="66"/>
        <v>2.7388069677329154</v>
      </c>
      <c r="AH227" s="5">
        <f t="shared" si="73"/>
        <v>0.84404553524651593</v>
      </c>
      <c r="AI227" s="5">
        <f t="shared" si="67"/>
        <v>5.9061857172328092E-2</v>
      </c>
      <c r="AJ227" s="5">
        <f t="shared" si="74"/>
        <v>9.1086580678686371E-2</v>
      </c>
      <c r="AK227" s="5">
        <f t="shared" si="75"/>
        <v>0.75295895456782957</v>
      </c>
      <c r="AL227" s="5">
        <f t="shared" si="68"/>
        <v>0.79699999999999993</v>
      </c>
      <c r="AM227" s="5">
        <v>16.7</v>
      </c>
    </row>
    <row r="228" spans="1:39" x14ac:dyDescent="0.2">
      <c r="A228" s="23">
        <v>45514</v>
      </c>
      <c r="B228" s="20">
        <v>31.4</v>
      </c>
      <c r="C228" s="20">
        <v>62.3</v>
      </c>
      <c r="D228" s="20">
        <v>1</v>
      </c>
      <c r="E228" s="20">
        <v>35.799999999999997</v>
      </c>
      <c r="F228" s="20">
        <v>64.625</v>
      </c>
      <c r="G228" s="20">
        <v>3.2166666666666601</v>
      </c>
      <c r="H228" s="20">
        <v>27.1</v>
      </c>
      <c r="I228" s="20">
        <v>42</v>
      </c>
      <c r="J228" s="20">
        <v>0</v>
      </c>
      <c r="K228" s="20">
        <v>0.53176666666666594</v>
      </c>
      <c r="L228" s="20">
        <f t="shared" si="69"/>
        <v>0.24461266666666634</v>
      </c>
      <c r="M228" s="20"/>
      <c r="N228" s="5">
        <f>IF(0&lt;B228&lt;26.5,16*(((10*B228)/#REF!)^#REF!)/30,((-415.85)+(32.24*B228)-(0.43*B228^2))/30)</f>
        <v>5.750773333333334</v>
      </c>
      <c r="O228" s="6">
        <f t="shared" si="70"/>
        <v>5.0312804691293822</v>
      </c>
      <c r="P228" s="20">
        <f t="shared" si="71"/>
        <v>0</v>
      </c>
      <c r="Q228" s="5">
        <f t="shared" si="59"/>
        <v>5.5740265916356009</v>
      </c>
      <c r="R228" s="5">
        <f t="shared" si="72"/>
        <v>2.7897948641049122</v>
      </c>
      <c r="S228" s="5">
        <f t="shared" si="60"/>
        <v>0.20706538199999969</v>
      </c>
      <c r="T228" s="5">
        <f t="shared" si="61"/>
        <v>2.5579892112528531</v>
      </c>
      <c r="U228" s="5">
        <f t="shared" si="62"/>
        <v>37.631631048642575</v>
      </c>
      <c r="AB228" s="14"/>
      <c r="AD228" s="5">
        <f t="shared" si="63"/>
        <v>4.3499999999999979</v>
      </c>
      <c r="AE228" s="5">
        <f t="shared" si="64"/>
        <v>11.3125</v>
      </c>
      <c r="AF228" s="5">
        <f t="shared" si="65"/>
        <v>4.5153574098348344</v>
      </c>
      <c r="AG228" s="5">
        <f t="shared" si="66"/>
        <v>2.9016102701791366</v>
      </c>
      <c r="AH228" s="5">
        <f t="shared" si="73"/>
        <v>0.80687356982784886</v>
      </c>
      <c r="AI228" s="5">
        <f t="shared" si="67"/>
        <v>5.6624430215496346E-2</v>
      </c>
      <c r="AJ228" s="5">
        <f t="shared" si="74"/>
        <v>9.1277572586775407E-2</v>
      </c>
      <c r="AK228" s="5">
        <f t="shared" si="75"/>
        <v>0.71559599724107348</v>
      </c>
      <c r="AL228" s="5">
        <f t="shared" si="68"/>
        <v>0.79699999999999993</v>
      </c>
      <c r="AM228" s="5">
        <v>16.7</v>
      </c>
    </row>
    <row r="229" spans="1:39" x14ac:dyDescent="0.2">
      <c r="A229" s="23">
        <v>45515</v>
      </c>
      <c r="B229" s="20">
        <v>28.3</v>
      </c>
      <c r="C229" s="20">
        <v>70.400000000000006</v>
      </c>
      <c r="D229" s="20">
        <v>1.4</v>
      </c>
      <c r="E229" s="20">
        <v>31.9</v>
      </c>
      <c r="F229" s="20">
        <v>73.1666666666666</v>
      </c>
      <c r="G229" s="20">
        <v>4.3916666666666604</v>
      </c>
      <c r="H229" s="20">
        <v>24.5</v>
      </c>
      <c r="I229" s="20">
        <v>53</v>
      </c>
      <c r="J229" s="20">
        <v>6</v>
      </c>
      <c r="K229" s="20">
        <v>0.415045833333333</v>
      </c>
      <c r="L229" s="20">
        <f t="shared" si="69"/>
        <v>0.19092108333333319</v>
      </c>
      <c r="M229" s="20"/>
      <c r="N229" s="5">
        <f>IF(0&lt;B229&lt;26.5,16*(((10*B229)/#REF!)^#REF!)/30,((-415.85)+(32.24*B229)-(0.43*B229^2))/30)</f>
        <v>5.0719766666666679</v>
      </c>
      <c r="O229" s="6">
        <f t="shared" si="70"/>
        <v>5.0312804691293822</v>
      </c>
      <c r="P229" s="20">
        <f t="shared" si="71"/>
        <v>0</v>
      </c>
      <c r="Q229" s="5">
        <f t="shared" si="59"/>
        <v>4.8168274862576705</v>
      </c>
      <c r="R229" s="5">
        <f t="shared" si="72"/>
        <v>2.4108174515360341</v>
      </c>
      <c r="S229" s="5">
        <f t="shared" si="60"/>
        <v>0.15532912435714272</v>
      </c>
      <c r="T229" s="5">
        <f t="shared" si="61"/>
        <v>2.4450131147194201</v>
      </c>
      <c r="U229" s="5">
        <f t="shared" si="62"/>
        <v>37.625219090677504</v>
      </c>
      <c r="AB229" s="14"/>
      <c r="AD229" s="5">
        <f t="shared" si="63"/>
        <v>3.6999999999999993</v>
      </c>
      <c r="AE229" s="5">
        <f t="shared" si="64"/>
        <v>10.0833333333333</v>
      </c>
      <c r="AF229" s="5">
        <f t="shared" si="65"/>
        <v>3.7149536445295444</v>
      </c>
      <c r="AG229" s="5">
        <f t="shared" si="66"/>
        <v>2.529682749076466</v>
      </c>
      <c r="AH229" s="5">
        <f t="shared" si="73"/>
        <v>0.5926354477265392</v>
      </c>
      <c r="AI229" s="5">
        <f t="shared" si="67"/>
        <v>4.1814363815763457E-2</v>
      </c>
      <c r="AJ229" s="5">
        <f t="shared" si="74"/>
        <v>5.9757407645759174E-2</v>
      </c>
      <c r="AK229" s="5">
        <f t="shared" si="75"/>
        <v>0.53287804008077999</v>
      </c>
      <c r="AL229" s="5">
        <f t="shared" si="68"/>
        <v>0.76600000000000001</v>
      </c>
      <c r="AM229" s="5">
        <v>16.7</v>
      </c>
    </row>
    <row r="230" spans="1:39" x14ac:dyDescent="0.2">
      <c r="A230" s="23">
        <v>45516</v>
      </c>
      <c r="B230" s="20">
        <v>28.4</v>
      </c>
      <c r="C230" s="20">
        <v>69.7</v>
      </c>
      <c r="D230" s="20">
        <v>1.2</v>
      </c>
      <c r="E230" s="20">
        <v>31.9</v>
      </c>
      <c r="F230" s="20">
        <v>71.8333333333333</v>
      </c>
      <c r="G230" s="20">
        <v>3.74583333333333</v>
      </c>
      <c r="H230" s="20">
        <v>25.9</v>
      </c>
      <c r="I230" s="20">
        <v>53</v>
      </c>
      <c r="J230" s="20">
        <v>0</v>
      </c>
      <c r="K230" s="20">
        <v>0.34514583333333299</v>
      </c>
      <c r="L230" s="20">
        <f t="shared" si="69"/>
        <v>0.15876708333333317</v>
      </c>
      <c r="M230" s="20"/>
      <c r="N230" s="5">
        <f>IF(0&lt;B230&lt;26.5,16*(((10*B230)/#REF!)^#REF!)/30,((-415.85)+(32.24*B230)-(0.43*B230^2))/30)</f>
        <v>5.0981733333333334</v>
      </c>
      <c r="O230" s="6">
        <f t="shared" si="70"/>
        <v>5.0312804691293822</v>
      </c>
      <c r="P230" s="20">
        <f t="shared" si="71"/>
        <v>0</v>
      </c>
      <c r="Q230" s="5">
        <f t="shared" si="59"/>
        <v>4.3467224271379461</v>
      </c>
      <c r="R230" s="5">
        <f t="shared" si="72"/>
        <v>2.1755303286704955</v>
      </c>
      <c r="S230" s="5">
        <f t="shared" si="60"/>
        <v>0.1293379773214284</v>
      </c>
      <c r="T230" s="5">
        <f t="shared" si="61"/>
        <v>1.9617006863893791</v>
      </c>
      <c r="U230" s="5">
        <f t="shared" si="62"/>
        <v>37.625773210501642</v>
      </c>
      <c r="AB230" s="14"/>
      <c r="AD230" s="5">
        <f t="shared" si="63"/>
        <v>3</v>
      </c>
      <c r="AE230" s="5">
        <f t="shared" si="64"/>
        <v>9.4166666666666501</v>
      </c>
      <c r="AF230" s="5">
        <f t="shared" si="65"/>
        <v>3.7149536445295444</v>
      </c>
      <c r="AG230" s="5">
        <f t="shared" si="66"/>
        <v>2.7244101754306382</v>
      </c>
      <c r="AH230" s="5">
        <f t="shared" si="73"/>
        <v>0.49527173454945306</v>
      </c>
      <c r="AI230" s="5">
        <f t="shared" si="67"/>
        <v>3.514859387659687E-2</v>
      </c>
      <c r="AJ230" s="5">
        <f t="shared" si="74"/>
        <v>4.6638088336740081E-2</v>
      </c>
      <c r="AK230" s="5">
        <f t="shared" si="75"/>
        <v>0.44863364621271296</v>
      </c>
      <c r="AL230" s="5">
        <f t="shared" si="68"/>
        <v>0.7669999999999999</v>
      </c>
      <c r="AM230" s="5">
        <v>16.7</v>
      </c>
    </row>
    <row r="231" spans="1:39" x14ac:dyDescent="0.2">
      <c r="A231" s="23">
        <v>45517</v>
      </c>
      <c r="B231" s="20">
        <v>28.2</v>
      </c>
      <c r="C231" s="20">
        <v>75.5</v>
      </c>
      <c r="D231" s="20">
        <v>1</v>
      </c>
      <c r="E231" s="20">
        <v>32.5</v>
      </c>
      <c r="F231" s="20">
        <v>78.0416666666666</v>
      </c>
      <c r="G231" s="20">
        <v>3.3458333333333301</v>
      </c>
      <c r="H231" s="20">
        <v>23.8</v>
      </c>
      <c r="I231" s="20">
        <v>53</v>
      </c>
      <c r="J231" s="20">
        <v>9.6</v>
      </c>
      <c r="K231" s="20">
        <v>0.39444166666666597</v>
      </c>
      <c r="L231" s="20">
        <f t="shared" si="69"/>
        <v>0.18144316666666635</v>
      </c>
      <c r="M231" s="20"/>
      <c r="N231" s="5">
        <f>IF(0&lt;B231&lt;26.5,16*(((10*B231)/#REF!)^#REF!)/30,((-415.85)+(32.24*B231)-(0.43*B231^2))/30)</f>
        <v>5.0454933333333338</v>
      </c>
      <c r="O231" s="6">
        <f t="shared" si="70"/>
        <v>5.0312804691293822</v>
      </c>
      <c r="P231" s="20">
        <f t="shared" si="71"/>
        <v>0</v>
      </c>
      <c r="Q231" s="5">
        <f t="shared" si="59"/>
        <v>5.2114882767324717</v>
      </c>
      <c r="R231" s="5">
        <f t="shared" si="72"/>
        <v>2.608344791642804</v>
      </c>
      <c r="S231" s="5">
        <f t="shared" si="60"/>
        <v>0.14742539035714256</v>
      </c>
      <c r="T231" s="5">
        <f t="shared" si="61"/>
        <v>2.3106199629759745</v>
      </c>
      <c r="U231" s="5">
        <f t="shared" si="62"/>
        <v>37.621181931958745</v>
      </c>
      <c r="AB231" s="14"/>
      <c r="AD231" s="5">
        <f t="shared" si="63"/>
        <v>4.3499999999999996</v>
      </c>
      <c r="AE231" s="5">
        <f t="shared" si="64"/>
        <v>12.5208333333333</v>
      </c>
      <c r="AF231" s="5">
        <f t="shared" si="65"/>
        <v>3.8294006907571303</v>
      </c>
      <c r="AG231" s="5">
        <f t="shared" si="66"/>
        <v>2.4369634693671198</v>
      </c>
      <c r="AH231" s="5">
        <f t="shared" si="73"/>
        <v>0.69621861069500524</v>
      </c>
      <c r="AI231" s="5">
        <f t="shared" si="67"/>
        <v>4.8858933555650193E-2</v>
      </c>
      <c r="AJ231" s="5">
        <f t="shared" si="74"/>
        <v>8.7172371880770219E-2</v>
      </c>
      <c r="AK231" s="5">
        <f t="shared" si="75"/>
        <v>0.60904623881423503</v>
      </c>
      <c r="AL231" s="5">
        <f t="shared" si="68"/>
        <v>0.7649999999999999</v>
      </c>
      <c r="AM231" s="5">
        <v>16.7</v>
      </c>
    </row>
    <row r="232" spans="1:39" x14ac:dyDescent="0.2">
      <c r="A232" s="23">
        <v>45518</v>
      </c>
      <c r="B232" s="20">
        <v>27.5</v>
      </c>
      <c r="C232" s="20">
        <v>80</v>
      </c>
      <c r="D232" s="20">
        <v>1.1000000000000001</v>
      </c>
      <c r="E232" s="20">
        <v>33.9</v>
      </c>
      <c r="F232" s="20">
        <v>82.125</v>
      </c>
      <c r="G232" s="20">
        <v>3.5416666666666599</v>
      </c>
      <c r="H232" s="20">
        <v>25.3</v>
      </c>
      <c r="I232" s="20">
        <v>54</v>
      </c>
      <c r="J232" s="20">
        <v>0</v>
      </c>
      <c r="K232" s="20">
        <v>0.53380416666666597</v>
      </c>
      <c r="L232" s="20">
        <f t="shared" si="69"/>
        <v>0.24554991666666637</v>
      </c>
      <c r="M232" s="20"/>
      <c r="N232" s="5">
        <f>IF(0&lt;B232&lt;26.5,16*(((10*B232)/#REF!)^#REF!)/30,((-415.85)+(32.24*B232)-(0.43*B232^2))/30)</f>
        <v>4.8520833333333337</v>
      </c>
      <c r="O232" s="6">
        <f t="shared" si="70"/>
        <v>5.0312804691293822</v>
      </c>
      <c r="P232" s="20">
        <f t="shared" si="71"/>
        <v>0</v>
      </c>
      <c r="Q232" s="5">
        <f t="shared" si="59"/>
        <v>5.1026024683752693</v>
      </c>
      <c r="R232" s="5">
        <f t="shared" si="72"/>
        <v>2.5538475509255329</v>
      </c>
      <c r="S232" s="5">
        <f t="shared" si="60"/>
        <v>0.19768750992857115</v>
      </c>
      <c r="T232" s="5">
        <f t="shared" si="61"/>
        <v>2.4564659012291044</v>
      </c>
      <c r="U232" s="5">
        <f t="shared" si="62"/>
        <v>37.617619733089263</v>
      </c>
      <c r="AB232" s="14"/>
      <c r="AD232" s="5">
        <f t="shared" si="63"/>
        <v>4.2999999999999989</v>
      </c>
      <c r="AE232" s="5">
        <f t="shared" si="64"/>
        <v>14.0625</v>
      </c>
      <c r="AF232" s="5">
        <f t="shared" si="65"/>
        <v>4.108449271877344</v>
      </c>
      <c r="AG232" s="5">
        <f t="shared" si="66"/>
        <v>2.6394091379090368</v>
      </c>
      <c r="AH232" s="5">
        <f t="shared" si="73"/>
        <v>0.73452006698415362</v>
      </c>
      <c r="AI232" s="5">
        <f t="shared" si="67"/>
        <v>5.1568174684311081E-2</v>
      </c>
      <c r="AJ232" s="5">
        <f t="shared" si="74"/>
        <v>0.10329188441964661</v>
      </c>
      <c r="AK232" s="5">
        <f t="shared" si="75"/>
        <v>0.63122818256450697</v>
      </c>
      <c r="AL232" s="5">
        <f t="shared" si="68"/>
        <v>0.75800000000000001</v>
      </c>
      <c r="AM232" s="5">
        <v>16.7</v>
      </c>
    </row>
    <row r="233" spans="1:39" x14ac:dyDescent="0.2">
      <c r="A233" s="23">
        <v>45519</v>
      </c>
      <c r="B233" s="20">
        <v>28.5</v>
      </c>
      <c r="C233" s="20">
        <v>72</v>
      </c>
      <c r="D233" s="20">
        <v>1.3</v>
      </c>
      <c r="E233" s="20">
        <v>34</v>
      </c>
      <c r="F233" s="20">
        <v>76.7083333333333</v>
      </c>
      <c r="G233" s="20">
        <v>3.5249999999999999</v>
      </c>
      <c r="H233" s="20">
        <v>23.9</v>
      </c>
      <c r="I233" s="20">
        <v>47</v>
      </c>
      <c r="J233" s="20">
        <v>1.4</v>
      </c>
      <c r="K233" s="20">
        <v>0.66902916666666601</v>
      </c>
      <c r="L233" s="20">
        <f t="shared" si="69"/>
        <v>0.30775341666666639</v>
      </c>
      <c r="M233" s="20"/>
      <c r="N233" s="5">
        <f>IF(0&lt;B233&lt;26.5,16*(((10*B233)/#REF!)^#REF!)/30,((-415.85)+(32.24*B233)-(0.43*B233^2))/30)</f>
        <v>5.124083333333334</v>
      </c>
      <c r="O233" s="6">
        <f t="shared" si="70"/>
        <v>5.0312804691293822</v>
      </c>
      <c r="P233" s="20">
        <f t="shared" si="71"/>
        <v>0</v>
      </c>
      <c r="Q233" s="5">
        <f t="shared" si="59"/>
        <v>5.6517895888257286</v>
      </c>
      <c r="R233" s="5">
        <f t="shared" si="72"/>
        <v>2.828715168235497</v>
      </c>
      <c r="S233" s="5">
        <f t="shared" si="60"/>
        <v>0.25103503542857114</v>
      </c>
      <c r="T233" s="5">
        <f t="shared" si="61"/>
        <v>2.6842126413843514</v>
      </c>
      <c r="U233" s="5">
        <f t="shared" si="62"/>
        <v>37.62395253107946</v>
      </c>
      <c r="AB233" s="14"/>
      <c r="AD233" s="5">
        <f t="shared" si="63"/>
        <v>5.0500000000000007</v>
      </c>
      <c r="AE233" s="5">
        <f t="shared" si="64"/>
        <v>14.85416666666665</v>
      </c>
      <c r="AF233" s="5">
        <f t="shared" si="65"/>
        <v>4.1290411916108773</v>
      </c>
      <c r="AG233" s="5">
        <f t="shared" si="66"/>
        <v>2.4500244372500051</v>
      </c>
      <c r="AH233" s="5">
        <f t="shared" si="73"/>
        <v>0.83950837718043614</v>
      </c>
      <c r="AI233" s="5">
        <f t="shared" si="67"/>
        <v>5.8574816957137663E-2</v>
      </c>
      <c r="AJ233" s="5">
        <f t="shared" si="74"/>
        <v>0.12470197352701047</v>
      </c>
      <c r="AK233" s="5">
        <f t="shared" si="75"/>
        <v>0.71480640365342563</v>
      </c>
      <c r="AL233" s="5">
        <f t="shared" si="68"/>
        <v>0.76800000000000002</v>
      </c>
      <c r="AM233" s="5">
        <v>16.7</v>
      </c>
    </row>
    <row r="234" spans="1:39" x14ac:dyDescent="0.2">
      <c r="A234" s="23">
        <v>45520</v>
      </c>
      <c r="B234" s="20">
        <v>30.6</v>
      </c>
      <c r="C234" s="20">
        <v>59.9</v>
      </c>
      <c r="D234" s="20">
        <v>1.8</v>
      </c>
      <c r="E234" s="20">
        <v>35.1</v>
      </c>
      <c r="F234" s="20">
        <v>62.875</v>
      </c>
      <c r="G234" s="20">
        <v>4.1583333333333297</v>
      </c>
      <c r="H234" s="20">
        <v>25.8</v>
      </c>
      <c r="I234" s="20">
        <v>40</v>
      </c>
      <c r="J234" s="20">
        <v>0</v>
      </c>
      <c r="K234" s="20">
        <v>0.64788750000000006</v>
      </c>
      <c r="L234" s="20">
        <f t="shared" si="69"/>
        <v>0.29802825000000005</v>
      </c>
      <c r="M234" s="20"/>
      <c r="N234" s="5">
        <f>IF(0&lt;B234&lt;26.5,16*(((10*B234)/#REF!)^#REF!)/30,((-415.85)+(32.24*B234)-(0.43*B234^2))/30)</f>
        <v>5.6019733333333344</v>
      </c>
      <c r="O234" s="6">
        <f t="shared" si="70"/>
        <v>5.0312804691293822</v>
      </c>
      <c r="P234" s="20">
        <f t="shared" si="71"/>
        <v>0</v>
      </c>
      <c r="Q234" s="5">
        <f t="shared" si="59"/>
        <v>5.6693222455250156</v>
      </c>
      <c r="R234" s="5">
        <f t="shared" si="72"/>
        <v>2.8374902457866487</v>
      </c>
      <c r="S234" s="5">
        <f t="shared" si="60"/>
        <v>0.24974952460714281</v>
      </c>
      <c r="T234" s="5">
        <f t="shared" si="61"/>
        <v>3.0280746088239319</v>
      </c>
      <c r="U234" s="5">
        <f t="shared" si="62"/>
        <v>37.633530888039637</v>
      </c>
      <c r="AB234" s="14"/>
      <c r="AD234" s="5">
        <f t="shared" si="63"/>
        <v>4.6500000000000004</v>
      </c>
      <c r="AE234" s="5">
        <f t="shared" si="64"/>
        <v>11.4375</v>
      </c>
      <c r="AF234" s="5">
        <f t="shared" si="65"/>
        <v>4.3615457470670798</v>
      </c>
      <c r="AG234" s="5">
        <f t="shared" si="66"/>
        <v>2.7100795102915933</v>
      </c>
      <c r="AH234" s="5">
        <f t="shared" si="73"/>
        <v>0.82573311838774321</v>
      </c>
      <c r="AI234" s="5">
        <f t="shared" si="67"/>
        <v>5.7804334395439264E-2</v>
      </c>
      <c r="AJ234" s="5">
        <f t="shared" si="74"/>
        <v>9.4443225415598131E-2</v>
      </c>
      <c r="AK234" s="5">
        <f t="shared" si="75"/>
        <v>0.73128989297214508</v>
      </c>
      <c r="AL234" s="5">
        <f t="shared" si="68"/>
        <v>0.78899999999999992</v>
      </c>
      <c r="AM234" s="5">
        <v>16.7</v>
      </c>
    </row>
    <row r="235" spans="1:39" x14ac:dyDescent="0.2">
      <c r="A235" s="23">
        <v>45521</v>
      </c>
      <c r="B235" s="20">
        <v>31</v>
      </c>
      <c r="C235" s="20">
        <v>59.3</v>
      </c>
      <c r="D235" s="20">
        <v>1.3</v>
      </c>
      <c r="E235" s="20">
        <v>35.6</v>
      </c>
      <c r="F235" s="20">
        <v>62.1666666666666</v>
      </c>
      <c r="G235" s="20">
        <v>3.6583333333333301</v>
      </c>
      <c r="H235" s="20">
        <v>25.8</v>
      </c>
      <c r="I235" s="20">
        <v>36</v>
      </c>
      <c r="J235" s="20">
        <v>0</v>
      </c>
      <c r="K235" s="20">
        <v>0.6282875</v>
      </c>
      <c r="L235" s="20">
        <f t="shared" si="69"/>
        <v>0.28901225000000003</v>
      </c>
      <c r="M235" s="20"/>
      <c r="N235" s="5">
        <f>IF(0&lt;B235&lt;26.5,16*(((10*B235)/#REF!)^#REF!)/30,((-415.85)+(32.24*B235)-(0.43*B235^2))/30)</f>
        <v>5.6786666666666674</v>
      </c>
      <c r="O235" s="6">
        <f t="shared" si="70"/>
        <v>5.0312804691293822</v>
      </c>
      <c r="P235" s="20">
        <f t="shared" si="71"/>
        <v>0</v>
      </c>
      <c r="Q235" s="5">
        <f t="shared" si="59"/>
        <v>5.8678251877971954</v>
      </c>
      <c r="R235" s="5">
        <f t="shared" si="72"/>
        <v>2.9368407744855336</v>
      </c>
      <c r="S235" s="5">
        <f t="shared" si="60"/>
        <v>0.24342191389285711</v>
      </c>
      <c r="T235" s="5">
        <f t="shared" si="61"/>
        <v>2.8893780834774718</v>
      </c>
      <c r="U235" s="5">
        <f t="shared" si="62"/>
        <v>37.634005847888901</v>
      </c>
      <c r="AB235" s="14"/>
      <c r="AD235" s="5">
        <f t="shared" si="63"/>
        <v>4.9000000000000004</v>
      </c>
      <c r="AE235" s="5">
        <f t="shared" si="64"/>
        <v>13.0833333333333</v>
      </c>
      <c r="AF235" s="5">
        <f t="shared" si="65"/>
        <v>4.4709375887904494</v>
      </c>
      <c r="AG235" s="5">
        <f t="shared" si="66"/>
        <v>2.7100795102915933</v>
      </c>
      <c r="AH235" s="5">
        <f t="shared" si="73"/>
        <v>0.88042903924942806</v>
      </c>
      <c r="AI235" s="5">
        <f t="shared" si="67"/>
        <v>6.1506078038503297E-2</v>
      </c>
      <c r="AJ235" s="5">
        <f t="shared" si="74"/>
        <v>0.11518946596846655</v>
      </c>
      <c r="AK235" s="5">
        <f t="shared" si="75"/>
        <v>0.76523957328096148</v>
      </c>
      <c r="AL235" s="5">
        <f t="shared" si="68"/>
        <v>0.79299999999999993</v>
      </c>
      <c r="AM235" s="5">
        <v>16.7</v>
      </c>
    </row>
    <row r="236" spans="1:39" x14ac:dyDescent="0.2">
      <c r="A236" s="23">
        <v>45522</v>
      </c>
      <c r="B236" s="20">
        <v>30.9</v>
      </c>
      <c r="C236" s="20">
        <v>59.6</v>
      </c>
      <c r="D236" s="20">
        <v>1</v>
      </c>
      <c r="E236" s="20">
        <v>36.700000000000003</v>
      </c>
      <c r="F236" s="20">
        <v>62.75</v>
      </c>
      <c r="G236" s="20">
        <v>2.8</v>
      </c>
      <c r="H236" s="20">
        <v>25.2</v>
      </c>
      <c r="I236" s="20">
        <v>40</v>
      </c>
      <c r="J236" s="20">
        <v>0</v>
      </c>
      <c r="K236" s="20">
        <v>0.57646666666666602</v>
      </c>
      <c r="L236" s="20">
        <f t="shared" si="69"/>
        <v>0.26517466666666639</v>
      </c>
      <c r="M236" s="20"/>
      <c r="N236" s="5">
        <f>IF(0&lt;B236&lt;26.5,16*(((10*B236)/#REF!)^#REF!)/30,((-415.85)+(32.24*B236)-(0.43*B236^2))/30)</f>
        <v>5.6599233333333343</v>
      </c>
      <c r="O236" s="6">
        <f t="shared" si="70"/>
        <v>5.0312804691293822</v>
      </c>
      <c r="P236" s="20">
        <f t="shared" si="71"/>
        <v>0</v>
      </c>
      <c r="Q236" s="5">
        <f t="shared" si="59"/>
        <v>6.3434013247723424</v>
      </c>
      <c r="R236" s="5">
        <f t="shared" si="72"/>
        <v>3.1748661664732682</v>
      </c>
      <c r="S236" s="5">
        <f t="shared" si="60"/>
        <v>0.22306295314285687</v>
      </c>
      <c r="T236" s="5">
        <f t="shared" si="61"/>
        <v>2.7851661655548279</v>
      </c>
      <c r="U236" s="5">
        <f t="shared" si="62"/>
        <v>37.633768367964272</v>
      </c>
      <c r="AB236" s="14"/>
      <c r="AD236" s="5">
        <f t="shared" si="63"/>
        <v>5.7500000000000018</v>
      </c>
      <c r="AE236" s="5">
        <f t="shared" si="64"/>
        <v>11.375</v>
      </c>
      <c r="AF236" s="5">
        <f t="shared" si="65"/>
        <v>4.7200264903911453</v>
      </c>
      <c r="AG236" s="5">
        <f t="shared" si="66"/>
        <v>2.625469874340034</v>
      </c>
      <c r="AH236" s="5">
        <f t="shared" si="73"/>
        <v>1.0472783080255557</v>
      </c>
      <c r="AI236" s="5">
        <f t="shared" si="67"/>
        <v>7.265120324513305E-2</v>
      </c>
      <c r="AJ236" s="5">
        <f t="shared" si="74"/>
        <v>0.11912790753790695</v>
      </c>
      <c r="AK236" s="5">
        <f t="shared" si="75"/>
        <v>0.92815040048764874</v>
      </c>
      <c r="AL236" s="5">
        <f t="shared" si="68"/>
        <v>0.79200000000000004</v>
      </c>
      <c r="AM236" s="5">
        <v>16.7</v>
      </c>
    </row>
    <row r="237" spans="1:39" x14ac:dyDescent="0.2">
      <c r="A237" s="23">
        <v>45523</v>
      </c>
      <c r="B237" s="20">
        <v>31.5</v>
      </c>
      <c r="C237" s="20">
        <v>57</v>
      </c>
      <c r="D237" s="20">
        <v>1.3</v>
      </c>
      <c r="E237" s="20">
        <v>36</v>
      </c>
      <c r="F237" s="20">
        <v>59.5416666666666</v>
      </c>
      <c r="G237" s="20">
        <v>3.7083333333333299</v>
      </c>
      <c r="H237" s="20">
        <v>26.6</v>
      </c>
      <c r="I237" s="20">
        <v>38</v>
      </c>
      <c r="J237" s="20">
        <v>0</v>
      </c>
      <c r="K237" s="20">
        <v>0.58817916666666603</v>
      </c>
      <c r="L237" s="20">
        <f t="shared" si="69"/>
        <v>0.27056241666666636</v>
      </c>
      <c r="M237" s="20"/>
      <c r="N237" s="5">
        <f>IF(0&lt;B237&lt;26.5,16*(((10*B237)/#REF!)^#REF!)/30,((-415.85)+(32.24*B237)-(0.43*B237^2))/30)</f>
        <v>5.7680833333333341</v>
      </c>
      <c r="O237" s="6">
        <f t="shared" si="70"/>
        <v>5.0312804691293822</v>
      </c>
      <c r="P237" s="20">
        <f t="shared" si="71"/>
        <v>0</v>
      </c>
      <c r="Q237" s="5">
        <f t="shared" si="59"/>
        <v>5.8057075211750533</v>
      </c>
      <c r="R237" s="5">
        <f t="shared" si="72"/>
        <v>2.9057509430210264</v>
      </c>
      <c r="S237" s="5">
        <f t="shared" si="60"/>
        <v>0.22931929349999974</v>
      </c>
      <c r="T237" s="5">
        <f t="shared" si="61"/>
        <v>2.9516212288065895</v>
      </c>
      <c r="U237" s="5">
        <f t="shared" si="62"/>
        <v>37.635826527311082</v>
      </c>
      <c r="AB237" s="14"/>
      <c r="AD237" s="5">
        <f t="shared" si="63"/>
        <v>4.6999999999999993</v>
      </c>
      <c r="AE237" s="5">
        <f t="shared" si="64"/>
        <v>10.7708333333333</v>
      </c>
      <c r="AF237" s="5">
        <f t="shared" si="65"/>
        <v>4.5601602490635109</v>
      </c>
      <c r="AG237" s="5">
        <f t="shared" si="66"/>
        <v>2.8265908634063468</v>
      </c>
      <c r="AH237" s="5">
        <f t="shared" si="73"/>
        <v>0.86678469282858206</v>
      </c>
      <c r="AI237" s="5">
        <f t="shared" si="67"/>
        <v>6.0653023550500805E-2</v>
      </c>
      <c r="AJ237" s="5">
        <f t="shared" si="74"/>
        <v>9.3359934623411578E-2</v>
      </c>
      <c r="AK237" s="5">
        <f t="shared" si="75"/>
        <v>0.77342475820517054</v>
      </c>
      <c r="AL237" s="5">
        <f t="shared" si="68"/>
        <v>0.79800000000000004</v>
      </c>
      <c r="AM237" s="5">
        <v>16.7</v>
      </c>
    </row>
    <row r="238" spans="1:39" x14ac:dyDescent="0.2">
      <c r="A238" s="23">
        <v>45524</v>
      </c>
      <c r="B238" s="20">
        <v>31.6</v>
      </c>
      <c r="C238" s="20">
        <v>60.5</v>
      </c>
      <c r="D238" s="20">
        <v>1.9</v>
      </c>
      <c r="E238" s="20">
        <v>36.5</v>
      </c>
      <c r="F238" s="20">
        <v>63</v>
      </c>
      <c r="G238" s="20">
        <v>4.5999999999999996</v>
      </c>
      <c r="H238" s="20">
        <v>27.6</v>
      </c>
      <c r="I238" s="20">
        <v>38</v>
      </c>
      <c r="J238" s="20">
        <v>0</v>
      </c>
      <c r="K238" s="20">
        <v>0.67855416666666601</v>
      </c>
      <c r="L238" s="20">
        <f t="shared" si="69"/>
        <v>0.31213491666666637</v>
      </c>
      <c r="M238" s="20"/>
      <c r="N238" s="5">
        <f>IF(0&lt;B238&lt;26.5,16*(((10*B238)/#REF!)^#REF!)/30,((-415.85)+(32.24*B238)-(0.43*B238^2))/30)</f>
        <v>5.7851066666666684</v>
      </c>
      <c r="O238" s="6">
        <f t="shared" si="70"/>
        <v>5.0312804691293822</v>
      </c>
      <c r="P238" s="20">
        <f t="shared" si="71"/>
        <v>0</v>
      </c>
      <c r="Q238" s="5">
        <f t="shared" si="59"/>
        <v>5.6606494301301158</v>
      </c>
      <c r="R238" s="5">
        <f t="shared" si="72"/>
        <v>2.8331495101535737</v>
      </c>
      <c r="S238" s="5">
        <f t="shared" si="60"/>
        <v>0.26488622067857115</v>
      </c>
      <c r="T238" s="5">
        <f t="shared" si="61"/>
        <v>3.2263887606471515</v>
      </c>
      <c r="U238" s="5">
        <f t="shared" si="62"/>
        <v>37.633055928190373</v>
      </c>
      <c r="AB238" s="14"/>
      <c r="AD238" s="5">
        <f t="shared" si="63"/>
        <v>4.4499999999999993</v>
      </c>
      <c r="AE238" s="5">
        <f t="shared" si="64"/>
        <v>12.5</v>
      </c>
      <c r="AF238" s="5">
        <f t="shared" si="65"/>
        <v>4.6738612241034652</v>
      </c>
      <c r="AG238" s="5">
        <f t="shared" si="66"/>
        <v>2.9783614476047857</v>
      </c>
      <c r="AH238" s="5">
        <f t="shared" si="73"/>
        <v>0.84774988824933972</v>
      </c>
      <c r="AI238" s="5">
        <f t="shared" si="67"/>
        <v>5.9443822644403586E-2</v>
      </c>
      <c r="AJ238" s="5">
        <f t="shared" si="74"/>
        <v>0.10596873603116747</v>
      </c>
      <c r="AK238" s="5">
        <f t="shared" si="75"/>
        <v>0.74178115221817231</v>
      </c>
      <c r="AL238" s="5">
        <f t="shared" si="68"/>
        <v>0.79899999999999993</v>
      </c>
      <c r="AM238" s="5">
        <v>16.7</v>
      </c>
    </row>
    <row r="239" spans="1:39" x14ac:dyDescent="0.2">
      <c r="A239" s="23">
        <v>45525</v>
      </c>
      <c r="B239" s="20">
        <v>31.7</v>
      </c>
      <c r="C239" s="20">
        <v>55.7</v>
      </c>
      <c r="D239" s="20">
        <v>1.7</v>
      </c>
      <c r="E239" s="20">
        <v>36.299999999999997</v>
      </c>
      <c r="F239" s="20">
        <v>58.7083333333333</v>
      </c>
      <c r="G239" s="20">
        <v>4.37083333333333</v>
      </c>
      <c r="H239" s="20">
        <v>26.2</v>
      </c>
      <c r="I239" s="20">
        <v>37</v>
      </c>
      <c r="J239" s="20">
        <v>0</v>
      </c>
      <c r="K239" s="20">
        <v>0.71316666666666595</v>
      </c>
      <c r="L239" s="20">
        <f t="shared" si="69"/>
        <v>0.32805666666666633</v>
      </c>
      <c r="M239" s="20"/>
      <c r="N239" s="5">
        <f>IF(0&lt;B239&lt;26.5,16*(((10*B239)/#REF!)^#REF!)/30,((-415.85)+(32.24*B239)-(0.43*B239^2))/30)</f>
        <v>5.801843333333335</v>
      </c>
      <c r="O239" s="6">
        <f t="shared" si="70"/>
        <v>5.0312804691293822</v>
      </c>
      <c r="P239" s="20">
        <f t="shared" si="71"/>
        <v>0</v>
      </c>
      <c r="Q239" s="5">
        <f t="shared" si="59"/>
        <v>6.0424100355696231</v>
      </c>
      <c r="R239" s="5">
        <f t="shared" si="72"/>
        <v>3.0242203202517728</v>
      </c>
      <c r="S239" s="5">
        <f t="shared" si="60"/>
        <v>0.27874628571428539</v>
      </c>
      <c r="T239" s="5">
        <f t="shared" si="61"/>
        <v>3.4172360415404928</v>
      </c>
      <c r="U239" s="5">
        <f t="shared" si="62"/>
        <v>37.636855606984497</v>
      </c>
      <c r="AB239" s="14"/>
      <c r="AD239" s="5">
        <f t="shared" si="63"/>
        <v>5.0499999999999989</v>
      </c>
      <c r="AE239" s="5">
        <f t="shared" si="64"/>
        <v>10.85416666666665</v>
      </c>
      <c r="AF239" s="5">
        <f t="shared" si="65"/>
        <v>4.6280887159221713</v>
      </c>
      <c r="AG239" s="5">
        <f t="shared" si="66"/>
        <v>2.7677999643057292</v>
      </c>
      <c r="AH239" s="5">
        <f t="shared" si="73"/>
        <v>0.93014437580822107</v>
      </c>
      <c r="AI239" s="5">
        <f t="shared" si="67"/>
        <v>6.4898740784057163E-2</v>
      </c>
      <c r="AJ239" s="5">
        <f t="shared" si="74"/>
        <v>0.1009594207908505</v>
      </c>
      <c r="AK239" s="5">
        <f t="shared" si="75"/>
        <v>0.82918495501737055</v>
      </c>
      <c r="AL239" s="5">
        <f t="shared" si="68"/>
        <v>0.8</v>
      </c>
      <c r="AM239" s="5">
        <v>16.7</v>
      </c>
    </row>
    <row r="240" spans="1:39" x14ac:dyDescent="0.2">
      <c r="A240" s="23">
        <v>45526</v>
      </c>
      <c r="B240" s="20">
        <v>32.1</v>
      </c>
      <c r="C240" s="20">
        <v>54.5</v>
      </c>
      <c r="D240" s="20">
        <v>2.1</v>
      </c>
      <c r="E240" s="20">
        <v>36.5</v>
      </c>
      <c r="F240" s="20">
        <v>57.0416666666666</v>
      </c>
      <c r="G240" s="20">
        <v>4.92916666666666</v>
      </c>
      <c r="H240" s="20">
        <v>27.4</v>
      </c>
      <c r="I240" s="20">
        <v>33</v>
      </c>
      <c r="J240" s="20">
        <v>0</v>
      </c>
      <c r="K240" s="20">
        <v>0.74363333333333304</v>
      </c>
      <c r="L240" s="20">
        <f t="shared" si="69"/>
        <v>0.34207133333333323</v>
      </c>
      <c r="M240" s="20"/>
      <c r="N240" s="5">
        <f>IF(0&lt;B240&lt;26.5,16*(((10*B240)/#REF!)^#REF!)/30,((-415.85)+(32.24*B240)-(0.43*B240^2))/30)</f>
        <v>5.865923333333332</v>
      </c>
      <c r="O240" s="6">
        <f t="shared" si="70"/>
        <v>5.0312804691293822</v>
      </c>
      <c r="P240" s="20">
        <f t="shared" si="71"/>
        <v>0</v>
      </c>
      <c r="Q240" s="5">
        <f t="shared" si="59"/>
        <v>5.7818330720245719</v>
      </c>
      <c r="R240" s="5">
        <f t="shared" si="72"/>
        <v>2.8938018045430556</v>
      </c>
      <c r="S240" s="5">
        <f t="shared" si="60"/>
        <v>0.29210767199999993</v>
      </c>
      <c r="T240" s="5">
        <f t="shared" si="61"/>
        <v>3.4146624419863807</v>
      </c>
      <c r="U240" s="5">
        <f t="shared" si="62"/>
        <v>37.637805526683024</v>
      </c>
      <c r="AB240" s="14"/>
      <c r="AD240" s="5">
        <f t="shared" si="63"/>
        <v>4.5500000000000007</v>
      </c>
      <c r="AE240" s="5">
        <f t="shared" si="64"/>
        <v>12.0208333333333</v>
      </c>
      <c r="AF240" s="5">
        <f t="shared" si="65"/>
        <v>4.6738612241034652</v>
      </c>
      <c r="AG240" s="5">
        <f t="shared" si="66"/>
        <v>2.9474510257097273</v>
      </c>
      <c r="AH240" s="5">
        <f t="shared" si="73"/>
        <v>0.86320509919686894</v>
      </c>
      <c r="AI240" s="5">
        <f t="shared" si="67"/>
        <v>6.0477491319496778E-2</v>
      </c>
      <c r="AJ240" s="5">
        <f t="shared" si="74"/>
        <v>0.10376444629929001</v>
      </c>
      <c r="AK240" s="5">
        <f t="shared" si="75"/>
        <v>0.75944065289757889</v>
      </c>
      <c r="AL240" s="5">
        <f t="shared" si="68"/>
        <v>0.80400000000000005</v>
      </c>
      <c r="AM240" s="5">
        <v>16.7</v>
      </c>
    </row>
    <row r="241" spans="1:39" x14ac:dyDescent="0.2">
      <c r="A241" s="23">
        <v>45527</v>
      </c>
      <c r="B241" s="20">
        <v>31.9</v>
      </c>
      <c r="C241" s="20">
        <v>51</v>
      </c>
      <c r="D241" s="20">
        <v>2</v>
      </c>
      <c r="E241" s="20">
        <v>36.6</v>
      </c>
      <c r="F241" s="20">
        <v>52.6666666666666</v>
      </c>
      <c r="G241" s="20">
        <v>4.875</v>
      </c>
      <c r="H241" s="20">
        <v>26.1</v>
      </c>
      <c r="I241" s="20">
        <v>34</v>
      </c>
      <c r="J241" s="20">
        <v>0</v>
      </c>
      <c r="K241" s="20">
        <v>0.76479583333333301</v>
      </c>
      <c r="L241" s="20">
        <f t="shared" si="69"/>
        <v>0.35180608333333319</v>
      </c>
      <c r="M241" s="20"/>
      <c r="N241" s="5">
        <f>IF(0&lt;B241&lt;26.5,16*(((10*B241)/#REF!)^#REF!)/30,((-415.85)+(32.24*B241)-(0.43*B241^2))/30)</f>
        <v>5.8344566666666724</v>
      </c>
      <c r="O241" s="6">
        <f t="shared" si="70"/>
        <v>5.0312804691293822</v>
      </c>
      <c r="P241" s="20">
        <f t="shared" si="71"/>
        <v>0</v>
      </c>
      <c r="Q241" s="5">
        <f t="shared" si="59"/>
        <v>6.1857924681122709</v>
      </c>
      <c r="R241" s="5">
        <f t="shared" si="72"/>
        <v>3.0959830876757031</v>
      </c>
      <c r="S241" s="5">
        <f t="shared" si="60"/>
        <v>0.2996732290714284</v>
      </c>
      <c r="T241" s="5">
        <f t="shared" si="61"/>
        <v>3.8081423348632377</v>
      </c>
      <c r="U241" s="5">
        <f t="shared" si="62"/>
        <v>37.640576125803733</v>
      </c>
      <c r="AB241" s="14"/>
      <c r="AD241" s="5">
        <f t="shared" si="63"/>
        <v>5.25</v>
      </c>
      <c r="AE241" s="5">
        <f t="shared" si="64"/>
        <v>9.3333333333333002</v>
      </c>
      <c r="AF241" s="5">
        <f t="shared" si="65"/>
        <v>4.6968945867161951</v>
      </c>
      <c r="AG241" s="5">
        <f t="shared" si="66"/>
        <v>2.7532701446187993</v>
      </c>
      <c r="AH241" s="5">
        <f t="shared" si="73"/>
        <v>0.97181222104869791</v>
      </c>
      <c r="AI241" s="5">
        <f t="shared" si="67"/>
        <v>6.7694245546475892E-2</v>
      </c>
      <c r="AJ241" s="5">
        <f t="shared" si="74"/>
        <v>9.0702473964544825E-2</v>
      </c>
      <c r="AK241" s="5">
        <f t="shared" si="75"/>
        <v>0.88110974708415313</v>
      </c>
      <c r="AL241" s="5">
        <f t="shared" si="68"/>
        <v>0.80200000000000005</v>
      </c>
      <c r="AM241" s="5">
        <v>16.7</v>
      </c>
    </row>
    <row r="242" spans="1:39" x14ac:dyDescent="0.2">
      <c r="A242" s="23">
        <v>45528</v>
      </c>
      <c r="B242" s="20">
        <v>31.4</v>
      </c>
      <c r="C242" s="20">
        <v>58.6</v>
      </c>
      <c r="D242" s="20">
        <v>2.2000000000000002</v>
      </c>
      <c r="E242" s="20">
        <v>35.700000000000003</v>
      </c>
      <c r="F242" s="20">
        <v>60.625</v>
      </c>
      <c r="G242" s="20">
        <v>5.0208333333333304</v>
      </c>
      <c r="H242" s="20">
        <v>27.8</v>
      </c>
      <c r="I242" s="20">
        <v>42</v>
      </c>
      <c r="J242" s="20">
        <v>0</v>
      </c>
      <c r="K242" s="20">
        <v>0.68220416666666595</v>
      </c>
      <c r="L242" s="20">
        <f t="shared" si="69"/>
        <v>0.31381391666666636</v>
      </c>
      <c r="M242" s="20"/>
      <c r="N242" s="5">
        <f>IF(0&lt;B242&lt;26.5,16*(((10*B242)/#REF!)^#REF!)/30,((-415.85)+(32.24*B242)-(0.43*B242^2))/30)</f>
        <v>5.750773333333334</v>
      </c>
      <c r="O242" s="6">
        <f t="shared" si="70"/>
        <v>5.0312804691293822</v>
      </c>
      <c r="P242" s="20">
        <f t="shared" si="71"/>
        <v>0</v>
      </c>
      <c r="Q242" s="5">
        <f t="shared" si="59"/>
        <v>5.3115705657247574</v>
      </c>
      <c r="R242" s="5">
        <f t="shared" si="72"/>
        <v>2.6584358795176848</v>
      </c>
      <c r="S242" s="5">
        <f t="shared" si="60"/>
        <v>0.26564445503571393</v>
      </c>
      <c r="T242" s="5">
        <f t="shared" si="61"/>
        <v>3.1659066514568677</v>
      </c>
      <c r="U242" s="5">
        <f t="shared" si="62"/>
        <v>37.634559967713045</v>
      </c>
      <c r="AB242" s="14"/>
      <c r="AD242" s="5">
        <f t="shared" si="63"/>
        <v>3.9500000000000011</v>
      </c>
      <c r="AE242" s="5">
        <f t="shared" si="64"/>
        <v>9.3125</v>
      </c>
      <c r="AF242" s="5">
        <f t="shared" si="65"/>
        <v>4.4930997941352171</v>
      </c>
      <c r="AG242" s="5">
        <f t="shared" si="66"/>
        <v>3.0095543218692162</v>
      </c>
      <c r="AH242" s="5">
        <f t="shared" si="73"/>
        <v>0.74177273613300043</v>
      </c>
      <c r="AI242" s="5">
        <f t="shared" si="67"/>
        <v>5.2228575009013477E-2</v>
      </c>
      <c r="AJ242" s="5">
        <f t="shared" si="74"/>
        <v>6.9077586052385662E-2</v>
      </c>
      <c r="AK242" s="5">
        <f t="shared" si="75"/>
        <v>0.67269515008061476</v>
      </c>
      <c r="AL242" s="5">
        <f t="shared" si="68"/>
        <v>0.79699999999999993</v>
      </c>
      <c r="AM242" s="5">
        <v>16.7</v>
      </c>
    </row>
    <row r="243" spans="1:39" x14ac:dyDescent="0.2">
      <c r="A243" s="23">
        <v>45529</v>
      </c>
      <c r="B243" s="20">
        <v>31.6</v>
      </c>
      <c r="C243" s="20">
        <v>60.2</v>
      </c>
      <c r="D243" s="20">
        <v>2.1</v>
      </c>
      <c r="E243" s="20">
        <v>36.299999999999997</v>
      </c>
      <c r="F243" s="20">
        <v>62.1666666666666</v>
      </c>
      <c r="G243" s="20">
        <v>5.3125</v>
      </c>
      <c r="H243" s="20">
        <v>27.9</v>
      </c>
      <c r="I243" s="20">
        <v>42</v>
      </c>
      <c r="J243" s="20">
        <v>0</v>
      </c>
      <c r="K243" s="20">
        <v>0.72136249999999991</v>
      </c>
      <c r="L243" s="20">
        <f t="shared" si="69"/>
        <v>0.33182674999999995</v>
      </c>
      <c r="M243" s="20"/>
      <c r="N243" s="5">
        <f>IF(0&lt;B243&lt;26.5,16*(((10*B243)/#REF!)^#REF!)/30,((-415.85)+(32.24*B243)-(0.43*B243^2))/30)</f>
        <v>5.7851066666666684</v>
      </c>
      <c r="O243" s="6">
        <f t="shared" si="70"/>
        <v>5.0312804691293822</v>
      </c>
      <c r="P243" s="20">
        <f t="shared" si="71"/>
        <v>0</v>
      </c>
      <c r="Q243" s="5">
        <f t="shared" si="59"/>
        <v>5.4993441545128263</v>
      </c>
      <c r="R243" s="5">
        <f t="shared" si="72"/>
        <v>2.7524163772787813</v>
      </c>
      <c r="S243" s="5">
        <f t="shared" si="60"/>
        <v>0.2815972486071428</v>
      </c>
      <c r="T243" s="5">
        <f t="shared" si="61"/>
        <v>3.4267375147439605</v>
      </c>
      <c r="U243" s="5">
        <f t="shared" si="62"/>
        <v>37.633293408115001</v>
      </c>
      <c r="AB243" s="14"/>
      <c r="AD243" s="5">
        <f t="shared" si="63"/>
        <v>4.1999999999999993</v>
      </c>
      <c r="AE243" s="5">
        <f t="shared" si="64"/>
        <v>10.0833333333333</v>
      </c>
      <c r="AF243" s="5">
        <f t="shared" si="65"/>
        <v>4.6280887159221713</v>
      </c>
      <c r="AG243" s="5">
        <f t="shared" si="66"/>
        <v>3.0252573571721371</v>
      </c>
      <c r="AH243" s="5">
        <f t="shared" si="73"/>
        <v>0.80141567937501712</v>
      </c>
      <c r="AI243" s="5">
        <f t="shared" si="67"/>
        <v>5.6311295501782252E-2</v>
      </c>
      <c r="AJ243" s="5">
        <f t="shared" si="74"/>
        <v>8.0809414336980634E-2</v>
      </c>
      <c r="AK243" s="5">
        <f t="shared" si="75"/>
        <v>0.72060626503803649</v>
      </c>
      <c r="AL243" s="5">
        <f t="shared" si="68"/>
        <v>0.79899999999999993</v>
      </c>
      <c r="AM243" s="5">
        <v>16.7</v>
      </c>
    </row>
    <row r="244" spans="1:39" x14ac:dyDescent="0.2">
      <c r="A244" s="23">
        <v>45530</v>
      </c>
      <c r="B244" s="20">
        <v>31.2</v>
      </c>
      <c r="C244" s="20">
        <v>61.5</v>
      </c>
      <c r="D244" s="20">
        <v>1.6</v>
      </c>
      <c r="E244" s="20">
        <v>35.1</v>
      </c>
      <c r="F244" s="20">
        <v>63.0208333333333</v>
      </c>
      <c r="G244" s="20">
        <v>4.7874999999999996</v>
      </c>
      <c r="H244" s="20">
        <v>27.7</v>
      </c>
      <c r="I244" s="20">
        <v>46</v>
      </c>
      <c r="J244" s="20">
        <v>0</v>
      </c>
      <c r="K244" s="20">
        <v>0.54779583333333304</v>
      </c>
      <c r="L244" s="20">
        <f t="shared" si="69"/>
        <v>0.25198608333333322</v>
      </c>
      <c r="M244" s="20"/>
      <c r="N244" s="5">
        <f>IF(0&lt;B244&lt;26.5,16*(((10*B244)/#REF!)^#REF!)/30,((-415.85)+(32.24*B244)-(0.43*B244^2))/30)</f>
        <v>5.7152933333333351</v>
      </c>
      <c r="O244" s="6">
        <f t="shared" si="70"/>
        <v>5.0312804691293822</v>
      </c>
      <c r="P244" s="20">
        <f t="shared" si="71"/>
        <v>0</v>
      </c>
      <c r="Q244" s="5">
        <f t="shared" si="59"/>
        <v>5.1198383259571791</v>
      </c>
      <c r="R244" s="5">
        <f t="shared" si="72"/>
        <v>2.562474080808367</v>
      </c>
      <c r="S244" s="5">
        <f t="shared" si="60"/>
        <v>0.21277172732142838</v>
      </c>
      <c r="T244" s="5">
        <f t="shared" si="61"/>
        <v>2.9186425275392351</v>
      </c>
      <c r="U244" s="5">
        <f t="shared" si="62"/>
        <v>37.6322643284416</v>
      </c>
      <c r="AB244" s="14"/>
      <c r="AD244" s="5">
        <f t="shared" si="63"/>
        <v>3.7000000000000011</v>
      </c>
      <c r="AE244" s="5">
        <f t="shared" si="64"/>
        <v>8.5104166666666501</v>
      </c>
      <c r="AF244" s="5">
        <f t="shared" si="65"/>
        <v>4.3615457470670798</v>
      </c>
      <c r="AG244" s="5">
        <f t="shared" si="66"/>
        <v>2.9939224426909505</v>
      </c>
      <c r="AH244" s="5">
        <f t="shared" si="73"/>
        <v>0.68381165218806461</v>
      </c>
      <c r="AI244" s="5">
        <f t="shared" si="67"/>
        <v>4.8247450124252148E-2</v>
      </c>
      <c r="AJ244" s="5">
        <f t="shared" si="74"/>
        <v>5.8195220816421631E-2</v>
      </c>
      <c r="AK244" s="5">
        <f t="shared" si="75"/>
        <v>0.62561643137164302</v>
      </c>
      <c r="AL244" s="5">
        <f t="shared" si="68"/>
        <v>0.79499999999999993</v>
      </c>
      <c r="AM244" s="5">
        <v>16.7</v>
      </c>
    </row>
    <row r="245" spans="1:39" x14ac:dyDescent="0.2">
      <c r="A245" s="23">
        <v>45531</v>
      </c>
      <c r="B245" s="20">
        <v>29.7</v>
      </c>
      <c r="C245" s="20">
        <v>66.5</v>
      </c>
      <c r="D245" s="20">
        <v>1.6</v>
      </c>
      <c r="E245" s="20">
        <v>34.4</v>
      </c>
      <c r="F245" s="20">
        <v>68.8333333333333</v>
      </c>
      <c r="G245" s="20">
        <v>4.8458333333333297</v>
      </c>
      <c r="H245" s="20">
        <v>26.1</v>
      </c>
      <c r="I245" s="20">
        <v>47</v>
      </c>
      <c r="J245" s="20">
        <v>0</v>
      </c>
      <c r="K245" s="20">
        <v>0.56786666666666596</v>
      </c>
      <c r="L245" s="20">
        <f t="shared" si="69"/>
        <v>0.26121866666666638</v>
      </c>
      <c r="M245" s="20"/>
      <c r="N245" s="5">
        <f>IF(0&lt;B245&lt;26.5,16*(((10*B245)/#REF!)^#REF!)/30,((-415.85)+(32.24*B245)-(0.43*B245^2))/30)</f>
        <v>5.4126433333333352</v>
      </c>
      <c r="O245" s="6">
        <f t="shared" si="70"/>
        <v>5.0312804691293822</v>
      </c>
      <c r="P245" s="20">
        <f t="shared" si="71"/>
        <v>0</v>
      </c>
      <c r="Q245" s="5">
        <f t="shared" si="59"/>
        <v>5.2562614958435514</v>
      </c>
      <c r="R245" s="5">
        <f t="shared" si="72"/>
        <v>2.6307537440710127</v>
      </c>
      <c r="S245" s="5">
        <f t="shared" si="60"/>
        <v>0.21640587428571401</v>
      </c>
      <c r="T245" s="5">
        <f t="shared" si="61"/>
        <v>3.0060748369900931</v>
      </c>
      <c r="U245" s="5">
        <f t="shared" si="62"/>
        <v>37.628306329697722</v>
      </c>
      <c r="AB245" s="14"/>
      <c r="AD245" s="5">
        <f t="shared" si="63"/>
        <v>4.1499999999999986</v>
      </c>
      <c r="AE245" s="5">
        <f t="shared" si="64"/>
        <v>10.91666666666665</v>
      </c>
      <c r="AF245" s="5">
        <f t="shared" si="65"/>
        <v>4.2123092549600285</v>
      </c>
      <c r="AG245" s="5">
        <f t="shared" si="66"/>
        <v>2.7532701446187993</v>
      </c>
      <c r="AH245" s="5">
        <f t="shared" si="73"/>
        <v>0.72951955517061462</v>
      </c>
      <c r="AI245" s="5">
        <f t="shared" si="67"/>
        <v>5.1280762304213558E-2</v>
      </c>
      <c r="AJ245" s="5">
        <f t="shared" si="74"/>
        <v>7.9639218106125315E-2</v>
      </c>
      <c r="AK245" s="5">
        <f t="shared" si="75"/>
        <v>0.64988033706448933</v>
      </c>
      <c r="AL245" s="5">
        <f t="shared" si="68"/>
        <v>0.78</v>
      </c>
      <c r="AM245" s="5">
        <v>16.7</v>
      </c>
    </row>
    <row r="246" spans="1:39" x14ac:dyDescent="0.2">
      <c r="A246" s="23">
        <v>45532</v>
      </c>
      <c r="B246" s="20">
        <v>27.6</v>
      </c>
      <c r="C246" s="20">
        <v>73.900000000000006</v>
      </c>
      <c r="D246" s="20">
        <v>1.3</v>
      </c>
      <c r="E246" s="20">
        <v>32.1</v>
      </c>
      <c r="F246" s="20">
        <v>75</v>
      </c>
      <c r="G246" s="20">
        <v>4.7124999999999897</v>
      </c>
      <c r="H246" s="20">
        <v>24.4</v>
      </c>
      <c r="I246" s="20">
        <v>57</v>
      </c>
      <c r="J246" s="20">
        <v>0</v>
      </c>
      <c r="K246" s="20">
        <v>0.31913333333333299</v>
      </c>
      <c r="L246" s="20">
        <f t="shared" si="69"/>
        <v>0.14680133333333317</v>
      </c>
      <c r="M246" s="20"/>
      <c r="N246" s="5">
        <f>IF(0&lt;B246&lt;26.5,16*(((10*B246)/#REF!)^#REF!)/30,((-415.85)+(32.24*B246)-(0.43*B246^2))/30)</f>
        <v>4.8805733333333325</v>
      </c>
      <c r="O246" s="6">
        <f t="shared" si="70"/>
        <v>5.0312804691293822</v>
      </c>
      <c r="P246" s="20">
        <f t="shared" si="71"/>
        <v>0</v>
      </c>
      <c r="Q246" s="5">
        <f t="shared" si="59"/>
        <v>4.8388874705648206</v>
      </c>
      <c r="R246" s="5">
        <f t="shared" si="72"/>
        <v>2.4218584521323843</v>
      </c>
      <c r="S246" s="5">
        <f t="shared" si="60"/>
        <v>0.11834284628571413</v>
      </c>
      <c r="T246" s="5">
        <f t="shared" si="61"/>
        <v>2.642722946064461</v>
      </c>
      <c r="U246" s="5">
        <f t="shared" si="62"/>
        <v>37.622448491556788</v>
      </c>
      <c r="AB246" s="14"/>
      <c r="AD246" s="5">
        <f t="shared" si="63"/>
        <v>3.8500000000000014</v>
      </c>
      <c r="AE246" s="5">
        <f t="shared" si="64"/>
        <v>9</v>
      </c>
      <c r="AF246" s="5">
        <f t="shared" si="65"/>
        <v>3.752767188668011</v>
      </c>
      <c r="AG246" s="5">
        <f t="shared" si="66"/>
        <v>2.5162512773466017</v>
      </c>
      <c r="AH246" s="5">
        <f t="shared" si="73"/>
        <v>0.61825795566070463</v>
      </c>
      <c r="AI246" s="5">
        <f t="shared" si="67"/>
        <v>4.3567950950654064E-2</v>
      </c>
      <c r="AJ246" s="5">
        <f t="shared" si="74"/>
        <v>5.5643216009463412E-2</v>
      </c>
      <c r="AK246" s="5">
        <f t="shared" si="75"/>
        <v>0.5626147396512412</v>
      </c>
      <c r="AL246" s="5">
        <f t="shared" si="68"/>
        <v>0.75900000000000001</v>
      </c>
      <c r="AM246" s="5">
        <v>16.7</v>
      </c>
    </row>
    <row r="247" spans="1:39" x14ac:dyDescent="0.2">
      <c r="A247" s="23">
        <v>45533</v>
      </c>
      <c r="B247" s="20">
        <v>29.5</v>
      </c>
      <c r="C247" s="20">
        <v>67.599999999999994</v>
      </c>
      <c r="D247" s="20">
        <v>1.3</v>
      </c>
      <c r="E247" s="20">
        <v>35.9</v>
      </c>
      <c r="F247" s="20">
        <v>70.5416666666666</v>
      </c>
      <c r="G247" s="20">
        <v>3.6749999999999998</v>
      </c>
      <c r="H247" s="20">
        <v>25.4</v>
      </c>
      <c r="I247" s="20">
        <v>46</v>
      </c>
      <c r="J247" s="20">
        <v>0</v>
      </c>
      <c r="K247" s="20">
        <v>0.54745833333333305</v>
      </c>
      <c r="L247" s="20">
        <f t="shared" si="69"/>
        <v>0.25183083333333323</v>
      </c>
      <c r="M247" s="20"/>
      <c r="N247" s="5">
        <f>IF(0&lt;B247&lt;26.5,16*(((10*B247)/#REF!)^#REF!)/30,((-415.85)+(32.24*B247)-(0.43*B247^2))/30)</f>
        <v>5.3674166666666681</v>
      </c>
      <c r="O247" s="6">
        <f t="shared" si="70"/>
        <v>5.0312804691293822</v>
      </c>
      <c r="P247" s="20">
        <f t="shared" si="71"/>
        <v>0</v>
      </c>
      <c r="Q247" s="5">
        <f t="shared" si="59"/>
        <v>5.8870821678412542</v>
      </c>
      <c r="R247" s="5">
        <f t="shared" si="72"/>
        <v>2.9464788741863321</v>
      </c>
      <c r="S247" s="5">
        <f t="shared" si="60"/>
        <v>0.20809360499999988</v>
      </c>
      <c r="T247" s="5">
        <f t="shared" si="61"/>
        <v>3.0523536481450573</v>
      </c>
      <c r="U247" s="5">
        <f t="shared" si="62"/>
        <v>37.627435569974075</v>
      </c>
      <c r="AB247" s="14"/>
      <c r="AD247" s="5">
        <f t="shared" si="63"/>
        <v>5.25</v>
      </c>
      <c r="AE247" s="5">
        <f t="shared" si="64"/>
        <v>12.2708333333333</v>
      </c>
      <c r="AF247" s="5">
        <f t="shared" si="65"/>
        <v>4.5377107798373366</v>
      </c>
      <c r="AG247" s="5">
        <f t="shared" si="66"/>
        <v>2.6534130007609296</v>
      </c>
      <c r="AH247" s="5">
        <f t="shared" si="73"/>
        <v>0.94214888953820353</v>
      </c>
      <c r="AI247" s="5">
        <f t="shared" si="67"/>
        <v>6.5627964835546962E-2</v>
      </c>
      <c r="AJ247" s="5">
        <f t="shared" si="74"/>
        <v>0.11560951998708342</v>
      </c>
      <c r="AK247" s="5">
        <f t="shared" si="75"/>
        <v>0.82653936955112006</v>
      </c>
      <c r="AL247" s="5">
        <f t="shared" si="68"/>
        <v>0.77800000000000002</v>
      </c>
      <c r="AM247" s="5">
        <v>16.7</v>
      </c>
    </row>
    <row r="248" spans="1:39" x14ac:dyDescent="0.2">
      <c r="A248" s="23">
        <v>45534</v>
      </c>
      <c r="B248" s="20">
        <v>30.3</v>
      </c>
      <c r="C248" s="20">
        <v>62.8</v>
      </c>
      <c r="D248" s="20">
        <v>1.3</v>
      </c>
      <c r="E248" s="20">
        <v>36.1</v>
      </c>
      <c r="F248" s="20">
        <v>66.7916666666666</v>
      </c>
      <c r="G248" s="20">
        <v>3.8416666666666601</v>
      </c>
      <c r="H248" s="20">
        <v>25</v>
      </c>
      <c r="I248" s="20">
        <v>34</v>
      </c>
      <c r="J248" s="20">
        <v>0</v>
      </c>
      <c r="K248" s="20">
        <v>0.672875</v>
      </c>
      <c r="L248" s="20">
        <f t="shared" si="69"/>
        <v>0.30952250000000003</v>
      </c>
      <c r="M248" s="20"/>
      <c r="N248" s="5">
        <f>IF(0&lt;B248&lt;26.5,16*(((10*B248)/#REF!)^#REF!)/30,((-415.85)+(32.24*B248)-(0.43*B248^2))/30)</f>
        <v>5.5414433333333344</v>
      </c>
      <c r="O248" s="6">
        <f t="shared" si="70"/>
        <v>5.0312804691293822</v>
      </c>
      <c r="P248" s="20">
        <f t="shared" si="71"/>
        <v>0</v>
      </c>
      <c r="Q248" s="5">
        <f t="shared" si="59"/>
        <v>6.1553233614811091</v>
      </c>
      <c r="R248" s="5">
        <f t="shared" si="72"/>
        <v>3.0807333295706671</v>
      </c>
      <c r="S248" s="5">
        <f t="shared" si="60"/>
        <v>0.25839553499999995</v>
      </c>
      <c r="T248" s="5">
        <f t="shared" si="61"/>
        <v>3.1123895155080272</v>
      </c>
      <c r="U248" s="5">
        <f t="shared" si="62"/>
        <v>37.631235248768185</v>
      </c>
      <c r="AB248" s="14"/>
      <c r="AD248" s="5">
        <f t="shared" si="63"/>
        <v>5.5500000000000007</v>
      </c>
      <c r="AE248" s="5">
        <f t="shared" si="64"/>
        <v>16.3958333333333</v>
      </c>
      <c r="AF248" s="5">
        <f t="shared" si="65"/>
        <v>4.5827061634087478</v>
      </c>
      <c r="AG248" s="5">
        <f t="shared" si="66"/>
        <v>2.5977841382776066</v>
      </c>
      <c r="AH248" s="5">
        <f t="shared" si="73"/>
        <v>0.99246101256557062</v>
      </c>
      <c r="AI248" s="5">
        <f t="shared" si="67"/>
        <v>6.896189605367338E-2</v>
      </c>
      <c r="AJ248" s="5">
        <f t="shared" si="74"/>
        <v>0.16272225351856304</v>
      </c>
      <c r="AK248" s="5">
        <f t="shared" si="75"/>
        <v>0.82973875904700756</v>
      </c>
      <c r="AL248" s="5">
        <f t="shared" si="68"/>
        <v>0.78600000000000003</v>
      </c>
      <c r="AM248" s="5">
        <v>16.7</v>
      </c>
    </row>
    <row r="249" spans="1:39" x14ac:dyDescent="0.2">
      <c r="A249" s="23">
        <v>45535</v>
      </c>
      <c r="B249" s="20">
        <v>31.8</v>
      </c>
      <c r="C249" s="20">
        <v>57</v>
      </c>
      <c r="D249" s="20">
        <v>1.4</v>
      </c>
      <c r="E249" s="20">
        <v>37.5</v>
      </c>
      <c r="F249" s="20">
        <v>60.125</v>
      </c>
      <c r="G249" s="20">
        <v>3.8583333333333298</v>
      </c>
      <c r="H249" s="20">
        <v>27.4</v>
      </c>
      <c r="I249" s="20">
        <v>33</v>
      </c>
      <c r="J249" s="20">
        <v>0</v>
      </c>
      <c r="K249" s="20">
        <v>0.72719583333333293</v>
      </c>
      <c r="L249" s="20">
        <f t="shared" si="69"/>
        <v>0.33451008333333315</v>
      </c>
      <c r="M249" s="20"/>
      <c r="N249" s="5">
        <f>IF(0&lt;B249&lt;26.5,16*(((10*B249)/#REF!)^#REF!)/30,((-415.85)+(32.24*B249)-(0.43*B249^2))/30)</f>
        <v>5.8182933333333402</v>
      </c>
      <c r="O249" s="6">
        <f t="shared" si="70"/>
        <v>5.0312804691293822</v>
      </c>
      <c r="P249" s="20">
        <f t="shared" si="71"/>
        <v>0</v>
      </c>
      <c r="Q249" s="5">
        <f t="shared" si="59"/>
        <v>6.0546169245303716</v>
      </c>
      <c r="R249" s="5">
        <f t="shared" si="72"/>
        <v>3.0303298562522825</v>
      </c>
      <c r="S249" s="5">
        <f t="shared" si="60"/>
        <v>0.28458497282142836</v>
      </c>
      <c r="T249" s="5">
        <f t="shared" si="61"/>
        <v>3.2054766780710731</v>
      </c>
      <c r="U249" s="5">
        <f t="shared" si="62"/>
        <v>37.635826527311082</v>
      </c>
      <c r="AB249" s="14"/>
      <c r="AD249" s="5">
        <f t="shared" si="63"/>
        <v>5.0500000000000007</v>
      </c>
      <c r="AE249" s="5">
        <f t="shared" si="64"/>
        <v>13.5625</v>
      </c>
      <c r="AF249" s="5">
        <f t="shared" si="65"/>
        <v>4.9086717386569525</v>
      </c>
      <c r="AG249" s="5">
        <f t="shared" si="66"/>
        <v>2.9474510257097273</v>
      </c>
      <c r="AH249" s="5">
        <f t="shared" si="73"/>
        <v>0.98061035647361261</v>
      </c>
      <c r="AI249" s="5">
        <f t="shared" si="67"/>
        <v>6.8419891567526259E-2</v>
      </c>
      <c r="AJ249" s="5">
        <f t="shared" si="74"/>
        <v>0.13299527959673371</v>
      </c>
      <c r="AK249" s="5">
        <f t="shared" si="75"/>
        <v>0.84761507687687887</v>
      </c>
      <c r="AL249" s="5">
        <f t="shared" si="68"/>
        <v>0.80099999999999993</v>
      </c>
      <c r="AM249" s="5">
        <v>16.7</v>
      </c>
    </row>
    <row r="250" spans="1:39" x14ac:dyDescent="0.2">
      <c r="A250" s="23">
        <v>45536</v>
      </c>
      <c r="B250" s="20">
        <v>31.2</v>
      </c>
      <c r="C250" s="20">
        <v>60.2</v>
      </c>
      <c r="D250" s="20">
        <v>1.1000000000000001</v>
      </c>
      <c r="E250" s="20">
        <v>36.4</v>
      </c>
      <c r="F250" s="20">
        <v>63.7916666666666</v>
      </c>
      <c r="G250" s="20">
        <v>2.9791666666666599</v>
      </c>
      <c r="H250" s="20">
        <v>26.3</v>
      </c>
      <c r="I250" s="20">
        <v>37</v>
      </c>
      <c r="J250" s="20">
        <v>0</v>
      </c>
      <c r="K250" s="20">
        <v>0.64453333333333296</v>
      </c>
      <c r="L250" s="20">
        <f t="shared" si="69"/>
        <v>0.29648533333333316</v>
      </c>
      <c r="M250" s="20"/>
      <c r="N250" s="5">
        <f>IF(0&lt;B250&lt;26.5,16*(((10*B250)/#REF!)^#REF!)/30,((-415.85)+(32.24*B250)-(0.43*B250^2))/30)</f>
        <v>5.7152933333333351</v>
      </c>
      <c r="O250" s="6">
        <f t="shared" si="70"/>
        <v>5.0312804691293822</v>
      </c>
      <c r="P250" s="20">
        <f t="shared" si="71"/>
        <v>0</v>
      </c>
      <c r="Q250" s="5">
        <f t="shared" si="59"/>
        <v>5.9813755907658894</v>
      </c>
      <c r="R250" s="5">
        <f t="shared" si="72"/>
        <v>2.9936726402492297</v>
      </c>
      <c r="S250" s="5">
        <f t="shared" si="60"/>
        <v>0.2503459542857141</v>
      </c>
      <c r="T250" s="5">
        <f t="shared" si="61"/>
        <v>2.6449500383709403</v>
      </c>
      <c r="U250" s="5">
        <f t="shared" si="62"/>
        <v>37.633293408115001</v>
      </c>
      <c r="AB250" s="14"/>
      <c r="AD250" s="5">
        <f t="shared" si="63"/>
        <v>5.0499999999999989</v>
      </c>
      <c r="AE250" s="5">
        <f t="shared" si="64"/>
        <v>13.3958333333333</v>
      </c>
      <c r="AF250" s="5">
        <f t="shared" si="65"/>
        <v>4.6509260507708925</v>
      </c>
      <c r="AG250" s="5">
        <f t="shared" si="66"/>
        <v>2.7823966858099221</v>
      </c>
      <c r="AH250" s="5">
        <f t="shared" si="73"/>
        <v>0.93426468248048522</v>
      </c>
      <c r="AI250" s="5">
        <f t="shared" si="67"/>
        <v>6.5186225954777827E-2</v>
      </c>
      <c r="AJ250" s="5">
        <f t="shared" si="74"/>
        <v>0.12515253975728136</v>
      </c>
      <c r="AK250" s="5">
        <f t="shared" si="75"/>
        <v>0.80911214272320386</v>
      </c>
      <c r="AL250" s="5">
        <f t="shared" si="68"/>
        <v>0.79499999999999993</v>
      </c>
      <c r="AM250" s="5">
        <v>16.7</v>
      </c>
    </row>
    <row r="251" spans="1:39" x14ac:dyDescent="0.2">
      <c r="A251" s="23">
        <v>45537</v>
      </c>
      <c r="B251" s="20">
        <v>32.1</v>
      </c>
      <c r="C251" s="20">
        <v>57.4</v>
      </c>
      <c r="D251" s="20">
        <v>1.3</v>
      </c>
      <c r="E251" s="20">
        <v>37.700000000000003</v>
      </c>
      <c r="F251" s="20">
        <v>59.5416666666666</v>
      </c>
      <c r="G251" s="20">
        <v>3.7666666666666599</v>
      </c>
      <c r="H251" s="20">
        <v>27.4</v>
      </c>
      <c r="I251" s="20">
        <v>39</v>
      </c>
      <c r="J251" s="20">
        <v>0</v>
      </c>
      <c r="K251" s="20">
        <v>0.60709583333333295</v>
      </c>
      <c r="L251" s="20">
        <f t="shared" si="69"/>
        <v>0.27926408333333319</v>
      </c>
      <c r="M251" s="20"/>
      <c r="N251" s="5">
        <f>IF(0&lt;B251&lt;26.5,16*(((10*B251)/#REF!)^#REF!)/30,((-415.85)+(32.24*B251)-(0.43*B251^2))/30)</f>
        <v>5.865923333333332</v>
      </c>
      <c r="O251" s="6">
        <f t="shared" si="70"/>
        <v>5.0312804691293822</v>
      </c>
      <c r="P251" s="20">
        <f t="shared" si="71"/>
        <v>0</v>
      </c>
      <c r="Q251" s="5">
        <f t="shared" si="59"/>
        <v>6.1512512336511111</v>
      </c>
      <c r="R251" s="5">
        <f t="shared" si="72"/>
        <v>3.0786952335696265</v>
      </c>
      <c r="S251" s="5">
        <f t="shared" si="60"/>
        <v>0.23847418157142841</v>
      </c>
      <c r="T251" s="5">
        <f t="shared" si="61"/>
        <v>3.3158489224694199</v>
      </c>
      <c r="U251" s="5">
        <f t="shared" si="62"/>
        <v>37.635509887411573</v>
      </c>
      <c r="AB251" s="14"/>
      <c r="AD251" s="5">
        <f t="shared" si="63"/>
        <v>5.1500000000000021</v>
      </c>
      <c r="AE251" s="5">
        <f t="shared" si="64"/>
        <v>10.2708333333333</v>
      </c>
      <c r="AF251" s="5">
        <f t="shared" si="65"/>
        <v>4.9568433861712355</v>
      </c>
      <c r="AG251" s="5">
        <f t="shared" si="66"/>
        <v>2.9474510257097273</v>
      </c>
      <c r="AH251" s="5">
        <f t="shared" si="73"/>
        <v>1.0046961802307541</v>
      </c>
      <c r="AI251" s="5">
        <f t="shared" si="67"/>
        <v>7.0042611198650989E-2</v>
      </c>
      <c r="AJ251" s="5">
        <f t="shared" si="74"/>
        <v>0.10319067017786671</v>
      </c>
      <c r="AK251" s="5">
        <f t="shared" si="75"/>
        <v>0.90150551005288748</v>
      </c>
      <c r="AL251" s="5">
        <f t="shared" si="68"/>
        <v>0.80400000000000005</v>
      </c>
      <c r="AM251" s="5">
        <v>16.7</v>
      </c>
    </row>
    <row r="252" spans="1:39" x14ac:dyDescent="0.2">
      <c r="A252" s="23">
        <v>45538</v>
      </c>
      <c r="B252" s="20">
        <v>31.8</v>
      </c>
      <c r="C252" s="20">
        <v>61.5</v>
      </c>
      <c r="D252" s="20">
        <v>0.9</v>
      </c>
      <c r="E252" s="20">
        <v>37.299999999999997</v>
      </c>
      <c r="F252" s="20">
        <v>65.2083333333333</v>
      </c>
      <c r="G252" s="20">
        <v>2.8624999999999998</v>
      </c>
      <c r="H252" s="20">
        <v>27.3</v>
      </c>
      <c r="I252" s="20">
        <v>42</v>
      </c>
      <c r="J252" s="20">
        <v>0</v>
      </c>
      <c r="K252" s="20">
        <v>0.53925833333333295</v>
      </c>
      <c r="L252" s="20">
        <f t="shared" si="69"/>
        <v>0.24805883333333317</v>
      </c>
      <c r="M252" s="20"/>
      <c r="N252" s="5">
        <f>IF(0&lt;B252&lt;26.5,16*(((10*B252)/#REF!)^#REF!)/30,((-415.85)+(32.24*B252)-(0.43*B252^2))/30)</f>
        <v>5.8182933333333402</v>
      </c>
      <c r="O252" s="6">
        <f t="shared" si="70"/>
        <v>5.0312804691293822</v>
      </c>
      <c r="P252" s="20">
        <f t="shared" si="71"/>
        <v>0</v>
      </c>
      <c r="Q252" s="5">
        <f t="shared" si="59"/>
        <v>6.0245690123825444</v>
      </c>
      <c r="R252" s="5">
        <f t="shared" si="72"/>
        <v>3.0152909055747101</v>
      </c>
      <c r="S252" s="5">
        <f t="shared" si="60"/>
        <v>0.2110364376428569</v>
      </c>
      <c r="T252" s="5">
        <f t="shared" si="61"/>
        <v>2.6706336048531956</v>
      </c>
      <c r="U252" s="5">
        <f t="shared" si="62"/>
        <v>37.6322643284416</v>
      </c>
      <c r="AB252" s="14"/>
      <c r="AD252" s="5">
        <f t="shared" si="63"/>
        <v>4.9999999999999982</v>
      </c>
      <c r="AE252" s="5">
        <f t="shared" si="64"/>
        <v>11.60416666666665</v>
      </c>
      <c r="AF252" s="5">
        <f t="shared" si="65"/>
        <v>4.8609070992189674</v>
      </c>
      <c r="AG252" s="5">
        <f t="shared" si="66"/>
        <v>2.9321010589616519</v>
      </c>
      <c r="AH252" s="5">
        <f t="shared" si="73"/>
        <v>0.96440302012865775</v>
      </c>
      <c r="AI252" s="5">
        <f t="shared" si="67"/>
        <v>6.7316834805654077E-2</v>
      </c>
      <c r="AJ252" s="5">
        <f t="shared" si="74"/>
        <v>0.11191093379409617</v>
      </c>
      <c r="AK252" s="5">
        <f t="shared" si="75"/>
        <v>0.85249208633456153</v>
      </c>
      <c r="AL252" s="5">
        <f t="shared" si="68"/>
        <v>0.80099999999999993</v>
      </c>
      <c r="AM252" s="5">
        <v>16.7</v>
      </c>
    </row>
    <row r="253" spans="1:39" x14ac:dyDescent="0.2">
      <c r="A253" s="23">
        <v>45539</v>
      </c>
      <c r="B253" s="20">
        <v>32.6</v>
      </c>
      <c r="C253" s="20">
        <v>58.1</v>
      </c>
      <c r="D253" s="20">
        <v>1.5</v>
      </c>
      <c r="E253" s="20">
        <v>37.799999999999997</v>
      </c>
      <c r="F253" s="20">
        <v>62.375</v>
      </c>
      <c r="G253" s="20">
        <v>3.7208333333333301</v>
      </c>
      <c r="H253" s="20">
        <v>27.7</v>
      </c>
      <c r="I253" s="20">
        <v>34</v>
      </c>
      <c r="J253" s="20">
        <v>0</v>
      </c>
      <c r="K253" s="20">
        <v>0.8006041666666659</v>
      </c>
      <c r="L253" s="20">
        <f t="shared" si="69"/>
        <v>0.36827791666666632</v>
      </c>
      <c r="M253" s="20"/>
      <c r="N253" s="5">
        <f>IF(0&lt;B253&lt;26.5,16*(((10*B253)/#REF!)^#REF!)/30,((-415.85)+(32.24*B253)-(0.43*B253^2))/30)</f>
        <v>5.9395733333333363</v>
      </c>
      <c r="O253" s="6">
        <f t="shared" si="70"/>
        <v>5.0312804691293822</v>
      </c>
      <c r="P253" s="20">
        <f t="shared" si="71"/>
        <v>0</v>
      </c>
      <c r="Q253" s="5">
        <f t="shared" si="59"/>
        <v>6.1522720362163437</v>
      </c>
      <c r="R253" s="5">
        <f t="shared" si="72"/>
        <v>3.0792061442563505</v>
      </c>
      <c r="S253" s="5">
        <f t="shared" si="60"/>
        <v>0.31644222803571392</v>
      </c>
      <c r="T253" s="5">
        <f t="shared" si="61"/>
        <v>3.1526333285521795</v>
      </c>
      <c r="U253" s="5">
        <f t="shared" si="62"/>
        <v>37.634955767587428</v>
      </c>
      <c r="AB253" s="14"/>
      <c r="AD253" s="5">
        <f t="shared" si="63"/>
        <v>5.0499999999999989</v>
      </c>
      <c r="AE253" s="5">
        <f t="shared" si="64"/>
        <v>14.1875</v>
      </c>
      <c r="AF253" s="5">
        <f t="shared" si="65"/>
        <v>4.9810827429425473</v>
      </c>
      <c r="AG253" s="5">
        <f t="shared" si="66"/>
        <v>2.9939224426909505</v>
      </c>
      <c r="AH253" s="5">
        <f t="shared" si="73"/>
        <v>0.99358015012579837</v>
      </c>
      <c r="AI253" s="5">
        <f t="shared" si="67"/>
        <v>6.9324829874038638E-2</v>
      </c>
      <c r="AJ253" s="5">
        <f t="shared" si="74"/>
        <v>0.14096418379909764</v>
      </c>
      <c r="AK253" s="5">
        <f t="shared" si="75"/>
        <v>0.85261596632670078</v>
      </c>
      <c r="AL253" s="5">
        <f t="shared" si="68"/>
        <v>0.80899999999999994</v>
      </c>
      <c r="AM253" s="5">
        <v>16.7</v>
      </c>
    </row>
    <row r="254" spans="1:39" x14ac:dyDescent="0.2">
      <c r="A254" s="23">
        <v>45540</v>
      </c>
      <c r="B254" s="20">
        <v>32.700000000000003</v>
      </c>
      <c r="C254" s="20">
        <v>54.5</v>
      </c>
      <c r="D254" s="20">
        <v>1.4</v>
      </c>
      <c r="E254" s="20">
        <v>37.5</v>
      </c>
      <c r="F254" s="20">
        <v>56.125</v>
      </c>
      <c r="G254" s="20">
        <v>3.7333333333333298</v>
      </c>
      <c r="H254" s="20">
        <v>28.3</v>
      </c>
      <c r="I254" s="20">
        <v>38</v>
      </c>
      <c r="J254" s="20">
        <v>0</v>
      </c>
      <c r="K254" s="20">
        <v>0.58632083333333296</v>
      </c>
      <c r="L254" s="20">
        <f t="shared" si="69"/>
        <v>0.26970758333333317</v>
      </c>
      <c r="M254" s="20"/>
      <c r="N254" s="5">
        <f>IF(0&lt;B254&lt;26.5,16*(((10*B254)/#REF!)^#REF!)/30,((-415.85)+(32.24*B254)-(0.43*B254^2))/30)</f>
        <v>5.9534433333333308</v>
      </c>
      <c r="O254" s="6">
        <f t="shared" si="70"/>
        <v>5.0312804691293822</v>
      </c>
      <c r="P254" s="20">
        <f t="shared" si="71"/>
        <v>0</v>
      </c>
      <c r="Q254" s="5">
        <f t="shared" si="59"/>
        <v>5.8834165652816042</v>
      </c>
      <c r="R254" s="5">
        <f t="shared" si="72"/>
        <v>2.944644243685985</v>
      </c>
      <c r="S254" s="5">
        <f t="shared" si="60"/>
        <v>0.23203228178571414</v>
      </c>
      <c r="T254" s="5">
        <f t="shared" si="61"/>
        <v>3.1228089188449268</v>
      </c>
      <c r="U254" s="5">
        <f t="shared" si="62"/>
        <v>37.637805526683024</v>
      </c>
      <c r="AB254" s="14"/>
      <c r="AD254" s="5">
        <f t="shared" si="63"/>
        <v>4.5999999999999996</v>
      </c>
      <c r="AE254" s="5">
        <f t="shared" si="64"/>
        <v>9.0625</v>
      </c>
      <c r="AF254" s="5">
        <f t="shared" si="65"/>
        <v>4.9086717386569525</v>
      </c>
      <c r="AG254" s="5">
        <f t="shared" si="66"/>
        <v>3.0887865293097794</v>
      </c>
      <c r="AH254" s="5">
        <f t="shared" si="73"/>
        <v>0.90994260467358656</v>
      </c>
      <c r="AI254" s="5">
        <f t="shared" si="67"/>
        <v>6.372564165275485E-2</v>
      </c>
      <c r="AJ254" s="5">
        <f t="shared" si="74"/>
        <v>8.2463548548543777E-2</v>
      </c>
      <c r="AK254" s="5">
        <f t="shared" si="75"/>
        <v>0.8274790561250428</v>
      </c>
      <c r="AL254" s="5">
        <f t="shared" si="68"/>
        <v>0.81</v>
      </c>
      <c r="AM254" s="5">
        <v>16.7</v>
      </c>
    </row>
    <row r="255" spans="1:39" x14ac:dyDescent="0.2">
      <c r="A255" s="23">
        <v>45541</v>
      </c>
      <c r="B255" s="20">
        <v>29.9</v>
      </c>
      <c r="C255" s="20">
        <v>65.5</v>
      </c>
      <c r="D255" s="20">
        <v>1.4</v>
      </c>
      <c r="E255" s="20">
        <v>35.700000000000003</v>
      </c>
      <c r="F255" s="20">
        <v>68.3125</v>
      </c>
      <c r="G255" s="20">
        <v>4.6645833333333302</v>
      </c>
      <c r="H255" s="20">
        <v>24</v>
      </c>
      <c r="I255" s="20">
        <v>41</v>
      </c>
      <c r="J255" s="20">
        <v>0.8</v>
      </c>
      <c r="K255" s="20">
        <v>0.59552499999999997</v>
      </c>
      <c r="L255" s="20">
        <f t="shared" si="69"/>
        <v>0.2739415</v>
      </c>
      <c r="M255" s="20"/>
      <c r="N255" s="5">
        <f>IF(0&lt;B255&lt;26.5,16*(((10*B255)/#REF!)^#REF!)/30,((-415.85)+(32.24*B255)-(0.43*B255^2))/30)</f>
        <v>5.4567233333333336</v>
      </c>
      <c r="O255" s="6">
        <f t="shared" si="70"/>
        <v>5.0312804691293822</v>
      </c>
      <c r="P255" s="20">
        <f t="shared" si="71"/>
        <v>0</v>
      </c>
      <c r="Q255" s="5">
        <f t="shared" si="59"/>
        <v>6.2669411589700843</v>
      </c>
      <c r="R255" s="5">
        <f t="shared" si="72"/>
        <v>3.1365979281796368</v>
      </c>
      <c r="S255" s="5">
        <f t="shared" si="60"/>
        <v>0.22752798299999996</v>
      </c>
      <c r="T255" s="5">
        <f t="shared" si="61"/>
        <v>3.6329562323991818</v>
      </c>
      <c r="U255" s="5">
        <f t="shared" si="62"/>
        <v>37.629097929446502</v>
      </c>
      <c r="AB255" s="14"/>
      <c r="AD255" s="5">
        <f t="shared" si="63"/>
        <v>5.8500000000000014</v>
      </c>
      <c r="AE255" s="5">
        <f t="shared" si="64"/>
        <v>13.65625</v>
      </c>
      <c r="AF255" s="5">
        <f t="shared" si="65"/>
        <v>4.4930997941352171</v>
      </c>
      <c r="AG255" s="5">
        <f t="shared" si="66"/>
        <v>2.4631465486296187</v>
      </c>
      <c r="AH255" s="5">
        <f t="shared" si="73"/>
        <v>1.0149766227527992</v>
      </c>
      <c r="AI255" s="5">
        <f t="shared" si="67"/>
        <v>7.0352485578272103E-2</v>
      </c>
      <c r="AJ255" s="5">
        <f t="shared" si="74"/>
        <v>0.13860774504467913</v>
      </c>
      <c r="AK255" s="5">
        <f t="shared" si="75"/>
        <v>0.87636887770812011</v>
      </c>
      <c r="AL255" s="5">
        <f t="shared" si="68"/>
        <v>0.78200000000000003</v>
      </c>
      <c r="AM255" s="5">
        <v>16.7</v>
      </c>
    </row>
    <row r="256" spans="1:39" x14ac:dyDescent="0.2">
      <c r="A256" s="23">
        <v>45542</v>
      </c>
      <c r="B256" s="20">
        <v>30.7</v>
      </c>
      <c r="C256" s="20">
        <v>65.900000000000006</v>
      </c>
      <c r="D256" s="20">
        <v>1.6</v>
      </c>
      <c r="E256" s="20">
        <v>36.9</v>
      </c>
      <c r="F256" s="20">
        <v>70.2083333333333</v>
      </c>
      <c r="G256" s="20">
        <v>4.05</v>
      </c>
      <c r="H256" s="20">
        <v>25.6</v>
      </c>
      <c r="I256" s="20">
        <v>35</v>
      </c>
      <c r="J256" s="20">
        <v>0.8</v>
      </c>
      <c r="K256" s="20">
        <v>0.78673333333333306</v>
      </c>
      <c r="L256" s="20">
        <f t="shared" si="69"/>
        <v>0.36189733333333324</v>
      </c>
      <c r="M256" s="20"/>
      <c r="N256" s="5">
        <f>IF(0&lt;B256&lt;26.5,16*(((10*B256)/#REF!)^#REF!)/30,((-415.85)+(32.24*B256)-(0.43*B256^2))/30)</f>
        <v>5.6215766666666678</v>
      </c>
      <c r="O256" s="6">
        <f t="shared" si="70"/>
        <v>5.0312804691293822</v>
      </c>
      <c r="P256" s="20">
        <f t="shared" si="71"/>
        <v>0</v>
      </c>
      <c r="Q256" s="5">
        <f t="shared" si="59"/>
        <v>6.2621759726506001</v>
      </c>
      <c r="R256" s="5">
        <f t="shared" si="72"/>
        <v>3.1342129570816248</v>
      </c>
      <c r="S256" s="5">
        <f t="shared" si="60"/>
        <v>0.30365658857142847</v>
      </c>
      <c r="T256" s="5">
        <f t="shared" si="61"/>
        <v>3.2861152484544647</v>
      </c>
      <c r="U256" s="5">
        <f t="shared" si="62"/>
        <v>37.628781289546986</v>
      </c>
      <c r="AB256" s="14"/>
      <c r="AD256" s="5">
        <f t="shared" si="63"/>
        <v>5.6499999999999986</v>
      </c>
      <c r="AE256" s="5">
        <f t="shared" si="64"/>
        <v>17.60416666666665</v>
      </c>
      <c r="AF256" s="5">
        <f t="shared" si="65"/>
        <v>4.7665873329959485</v>
      </c>
      <c r="AG256" s="5">
        <f t="shared" si="66"/>
        <v>2.6816155357966691</v>
      </c>
      <c r="AH256" s="5">
        <f t="shared" si="73"/>
        <v>1.0424858985996397</v>
      </c>
      <c r="AI256" s="5">
        <f t="shared" si="67"/>
        <v>7.2378293011495037E-2</v>
      </c>
      <c r="AJ256" s="5">
        <f t="shared" si="74"/>
        <v>0.18352095506597807</v>
      </c>
      <c r="AK256" s="5">
        <f t="shared" si="75"/>
        <v>0.8589649435336616</v>
      </c>
      <c r="AL256" s="5">
        <f t="shared" si="68"/>
        <v>0.79</v>
      </c>
      <c r="AM256" s="5">
        <v>16.7</v>
      </c>
    </row>
    <row r="257" spans="1:39" x14ac:dyDescent="0.2">
      <c r="A257" s="23">
        <v>45543</v>
      </c>
      <c r="B257" s="20">
        <v>32.6</v>
      </c>
      <c r="C257" s="20">
        <v>49.5</v>
      </c>
      <c r="D257" s="20">
        <v>1.7</v>
      </c>
      <c r="E257" s="20">
        <v>37.799999999999997</v>
      </c>
      <c r="F257" s="20">
        <v>52.1666666666666</v>
      </c>
      <c r="G257" s="20">
        <v>4.2916666666666599</v>
      </c>
      <c r="H257" s="20">
        <v>27.5</v>
      </c>
      <c r="I257" s="20">
        <v>24</v>
      </c>
      <c r="J257" s="20">
        <v>0</v>
      </c>
      <c r="K257" s="20">
        <v>0.85203333333333298</v>
      </c>
      <c r="L257" s="20">
        <f t="shared" si="69"/>
        <v>0.39193533333333319</v>
      </c>
      <c r="M257" s="20"/>
      <c r="N257" s="5">
        <f>IF(0&lt;B257&lt;26.5,16*(((10*B257)/#REF!)^#REF!)/30,((-415.85)+(32.24*B257)-(0.43*B257^2))/30)</f>
        <v>5.9395733333333363</v>
      </c>
      <c r="O257" s="6">
        <f t="shared" si="70"/>
        <v>5.0312804691293822</v>
      </c>
      <c r="P257" s="20">
        <f t="shared" si="71"/>
        <v>0</v>
      </c>
      <c r="Q257" s="5">
        <f t="shared" si="59"/>
        <v>6.2128870175554285</v>
      </c>
      <c r="R257" s="5">
        <f t="shared" si="72"/>
        <v>3.1095438832045916</v>
      </c>
      <c r="S257" s="5">
        <f t="shared" si="60"/>
        <v>0.33676982657142834</v>
      </c>
      <c r="T257" s="5">
        <f t="shared" si="61"/>
        <v>3.4699995582239032</v>
      </c>
      <c r="U257" s="5">
        <f t="shared" si="62"/>
        <v>37.641763525426896</v>
      </c>
      <c r="AB257" s="14"/>
      <c r="AD257" s="5">
        <f t="shared" si="63"/>
        <v>5.1499999999999986</v>
      </c>
      <c r="AE257" s="5">
        <f t="shared" si="64"/>
        <v>14.0833333333333</v>
      </c>
      <c r="AF257" s="5">
        <f t="shared" si="65"/>
        <v>4.9810827429425473</v>
      </c>
      <c r="AG257" s="5">
        <f t="shared" si="66"/>
        <v>2.9628710654047565</v>
      </c>
      <c r="AH257" s="5">
        <f t="shared" si="73"/>
        <v>1.0091058387688954</v>
      </c>
      <c r="AI257" s="5">
        <f t="shared" si="67"/>
        <v>7.0350031496033708E-2</v>
      </c>
      <c r="AJ257" s="5">
        <f t="shared" si="74"/>
        <v>0.14211573895995244</v>
      </c>
      <c r="AK257" s="5">
        <f t="shared" si="75"/>
        <v>0.86699009980894293</v>
      </c>
      <c r="AL257" s="5">
        <f t="shared" si="68"/>
        <v>0.80899999999999994</v>
      </c>
      <c r="AM257" s="5">
        <v>16.7</v>
      </c>
    </row>
    <row r="258" spans="1:39" x14ac:dyDescent="0.2">
      <c r="A258" s="23">
        <v>45544</v>
      </c>
      <c r="B258" s="20">
        <v>32.299999999999997</v>
      </c>
      <c r="C258" s="20">
        <v>57.8</v>
      </c>
      <c r="D258" s="20">
        <v>1.8</v>
      </c>
      <c r="E258" s="20">
        <v>36.700000000000003</v>
      </c>
      <c r="F258" s="20">
        <v>59.2916666666666</v>
      </c>
      <c r="G258" s="20">
        <v>4.5416666666666599</v>
      </c>
      <c r="H258" s="20">
        <v>28.3</v>
      </c>
      <c r="I258" s="20">
        <v>42</v>
      </c>
      <c r="J258" s="20">
        <v>0</v>
      </c>
      <c r="K258" s="20">
        <v>0.65094166666666609</v>
      </c>
      <c r="L258" s="20">
        <f t="shared" si="69"/>
        <v>0.29943316666666642</v>
      </c>
      <c r="M258" s="20"/>
      <c r="N258" s="5">
        <f>IF(0&lt;B258&lt;26.5,16*(((10*B258)/#REF!)^#REF!)/30,((-415.85)+(32.24*B258)-(0.43*B258^2))/30)</f>
        <v>5.8962433333333326</v>
      </c>
      <c r="O258" s="6">
        <f t="shared" si="70"/>
        <v>5.0312804691293822</v>
      </c>
      <c r="P258" s="20">
        <f t="shared" si="71"/>
        <v>0</v>
      </c>
      <c r="Q258" s="5">
        <f t="shared" si="59"/>
        <v>5.5772700838277851</v>
      </c>
      <c r="R258" s="5">
        <f t="shared" si="72"/>
        <v>2.7914182287786828</v>
      </c>
      <c r="S258" s="5">
        <f t="shared" si="60"/>
        <v>0.25633338899999975</v>
      </c>
      <c r="T258" s="5">
        <f t="shared" si="61"/>
        <v>3.2475619519681915</v>
      </c>
      <c r="U258" s="5">
        <f t="shared" si="62"/>
        <v>37.635193247512071</v>
      </c>
      <c r="AB258" s="14"/>
      <c r="AD258" s="5">
        <f t="shared" si="63"/>
        <v>4.2000000000000011</v>
      </c>
      <c r="AE258" s="5">
        <f t="shared" si="64"/>
        <v>8.6458333333333002</v>
      </c>
      <c r="AF258" s="5">
        <f t="shared" si="65"/>
        <v>4.7200264903911453</v>
      </c>
      <c r="AG258" s="5">
        <f t="shared" si="66"/>
        <v>3.0887865293097794</v>
      </c>
      <c r="AH258" s="5">
        <f t="shared" si="73"/>
        <v>0.81561998054068297</v>
      </c>
      <c r="AI258" s="5">
        <f t="shared" si="67"/>
        <v>5.7309357582324395E-2</v>
      </c>
      <c r="AJ258" s="5">
        <f t="shared" si="74"/>
        <v>7.0517144150912939E-2</v>
      </c>
      <c r="AK258" s="5">
        <f t="shared" si="75"/>
        <v>0.74510283638977004</v>
      </c>
      <c r="AL258" s="5">
        <f t="shared" si="68"/>
        <v>0.80599999999999994</v>
      </c>
      <c r="AM258" s="5">
        <v>16.7</v>
      </c>
    </row>
    <row r="259" spans="1:39" x14ac:dyDescent="0.2">
      <c r="A259" s="23">
        <v>45545</v>
      </c>
      <c r="B259" s="20">
        <v>32.1</v>
      </c>
      <c r="C259" s="20">
        <v>60.8</v>
      </c>
      <c r="D259" s="20">
        <v>1.6</v>
      </c>
      <c r="E259" s="20">
        <v>37.200000000000003</v>
      </c>
      <c r="F259" s="20">
        <v>63.5416666666666</v>
      </c>
      <c r="G259" s="20">
        <v>3.99166666666666</v>
      </c>
      <c r="H259" s="20">
        <v>27.6</v>
      </c>
      <c r="I259" s="20">
        <v>37</v>
      </c>
      <c r="J259" s="20">
        <v>0</v>
      </c>
      <c r="K259" s="20">
        <v>0.73224166666666601</v>
      </c>
      <c r="L259" s="20">
        <f t="shared" si="69"/>
        <v>0.3368311666666664</v>
      </c>
      <c r="M259" s="20"/>
      <c r="N259" s="5">
        <f>IF(0&lt;B259&lt;26.5,16*(((10*B259)/#REF!)^#REF!)/30,((-415.85)+(32.24*B259)-(0.43*B259^2))/30)</f>
        <v>5.865923333333332</v>
      </c>
      <c r="O259" s="6">
        <f t="shared" si="70"/>
        <v>5.0312804691293822</v>
      </c>
      <c r="P259" s="20">
        <f t="shared" si="71"/>
        <v>0</v>
      </c>
      <c r="Q259" s="5">
        <f t="shared" si="59"/>
        <v>5.93855070988685</v>
      </c>
      <c r="R259" s="5">
        <f t="shared" si="72"/>
        <v>2.9722388292029152</v>
      </c>
      <c r="S259" s="5">
        <f t="shared" si="60"/>
        <v>0.28763289514285689</v>
      </c>
      <c r="T259" s="5">
        <f t="shared" si="61"/>
        <v>3.1625825347614285</v>
      </c>
      <c r="U259" s="5">
        <f t="shared" si="62"/>
        <v>37.632818448265738</v>
      </c>
      <c r="AB259" s="14"/>
      <c r="AD259" s="5">
        <f t="shared" si="63"/>
        <v>4.8000000000000007</v>
      </c>
      <c r="AE259" s="5">
        <f t="shared" si="64"/>
        <v>13.2708333333333</v>
      </c>
      <c r="AF259" s="5">
        <f t="shared" si="65"/>
        <v>4.8371765063097003</v>
      </c>
      <c r="AG259" s="5">
        <f t="shared" si="66"/>
        <v>2.9783614476047857</v>
      </c>
      <c r="AH259" s="5">
        <f t="shared" si="73"/>
        <v>0.9294075293524573</v>
      </c>
      <c r="AI259" s="5">
        <f t="shared" si="67"/>
        <v>6.4981324864245793E-2</v>
      </c>
      <c r="AJ259" s="5">
        <f t="shared" si="74"/>
        <v>0.12334012420781537</v>
      </c>
      <c r="AK259" s="5">
        <f t="shared" si="75"/>
        <v>0.80606740514464192</v>
      </c>
      <c r="AL259" s="5">
        <f t="shared" si="68"/>
        <v>0.80400000000000005</v>
      </c>
      <c r="AM259" s="5">
        <v>16.7</v>
      </c>
    </row>
    <row r="260" spans="1:39" x14ac:dyDescent="0.2">
      <c r="A260" s="23">
        <v>45546</v>
      </c>
      <c r="B260" s="20">
        <v>32.6</v>
      </c>
      <c r="C260" s="20">
        <v>53</v>
      </c>
      <c r="D260" s="20">
        <v>2.2999999999999998</v>
      </c>
      <c r="E260" s="20">
        <v>38</v>
      </c>
      <c r="F260" s="20">
        <v>55.0416666666666</v>
      </c>
      <c r="G260" s="20">
        <v>5.8541666666666599</v>
      </c>
      <c r="H260" s="20">
        <v>28.4</v>
      </c>
      <c r="I260" s="20">
        <v>29</v>
      </c>
      <c r="J260" s="20">
        <v>0</v>
      </c>
      <c r="K260" s="20">
        <v>0.75646249999999993</v>
      </c>
      <c r="L260" s="20">
        <f t="shared" si="69"/>
        <v>0.34797275</v>
      </c>
      <c r="M260" s="20"/>
      <c r="N260" s="5">
        <f>IF(0&lt;B260&lt;26.5,16*(((10*B260)/#REF!)^#REF!)/30,((-415.85)+(32.24*B260)-(0.43*B260^2))/30)</f>
        <v>5.9395733333333363</v>
      </c>
      <c r="O260" s="6">
        <f t="shared" si="70"/>
        <v>5.0312804691293822</v>
      </c>
      <c r="P260" s="20">
        <f t="shared" si="71"/>
        <v>0</v>
      </c>
      <c r="Q260" s="5">
        <f t="shared" si="59"/>
        <v>5.9980552260179811</v>
      </c>
      <c r="R260" s="5">
        <f t="shared" si="72"/>
        <v>3.0020207813993376</v>
      </c>
      <c r="S260" s="5">
        <f t="shared" si="60"/>
        <v>0.29899504510714275</v>
      </c>
      <c r="T260" s="5">
        <f t="shared" si="61"/>
        <v>3.9893539870390722</v>
      </c>
      <c r="U260" s="5">
        <f t="shared" si="62"/>
        <v>37.63899292630618</v>
      </c>
      <c r="AB260" s="14"/>
      <c r="AD260" s="5">
        <f t="shared" si="63"/>
        <v>4.8000000000000007</v>
      </c>
      <c r="AE260" s="5">
        <f t="shared" si="64"/>
        <v>13.0208333333333</v>
      </c>
      <c r="AF260" s="5">
        <f t="shared" si="65"/>
        <v>5.0298703412997856</v>
      </c>
      <c r="AG260" s="5">
        <f t="shared" si="66"/>
        <v>3.1048494547771921</v>
      </c>
      <c r="AH260" s="5">
        <f t="shared" si="73"/>
        <v>0.96251044326129676</v>
      </c>
      <c r="AI260" s="5">
        <f t="shared" si="67"/>
        <v>6.7295779110341888E-2</v>
      </c>
      <c r="AJ260" s="5">
        <f t="shared" si="74"/>
        <v>0.12532688063298103</v>
      </c>
      <c r="AK260" s="5">
        <f t="shared" si="75"/>
        <v>0.83718356262831573</v>
      </c>
      <c r="AL260" s="5">
        <f t="shared" si="68"/>
        <v>0.80899999999999994</v>
      </c>
      <c r="AM260" s="5">
        <v>16.7</v>
      </c>
    </row>
    <row r="261" spans="1:39" x14ac:dyDescent="0.2">
      <c r="A261" s="23">
        <v>45547</v>
      </c>
      <c r="B261" s="20">
        <v>32.9</v>
      </c>
      <c r="C261" s="20">
        <v>50</v>
      </c>
      <c r="D261" s="20">
        <v>2.5</v>
      </c>
      <c r="E261" s="20">
        <v>37.9</v>
      </c>
      <c r="F261" s="20">
        <v>52.3333333333333</v>
      </c>
      <c r="G261" s="20">
        <v>6.0166666666666604</v>
      </c>
      <c r="H261" s="20">
        <v>27.8</v>
      </c>
      <c r="I261" s="20">
        <v>27</v>
      </c>
      <c r="J261" s="20">
        <v>0</v>
      </c>
      <c r="K261" s="20">
        <v>0.87366250000000001</v>
      </c>
      <c r="L261" s="20">
        <f t="shared" si="69"/>
        <v>0.40188475000000001</v>
      </c>
      <c r="M261" s="20"/>
      <c r="N261" s="5">
        <f>IF(0&lt;B261&lt;26.5,16*(((10*B261)/#REF!)^#REF!)/30,((-415.85)+(32.24*B261)-(0.43*B261^2))/30)</f>
        <v>5.9803233333333328</v>
      </c>
      <c r="O261" s="6">
        <f t="shared" si="70"/>
        <v>5.0312804691293822</v>
      </c>
      <c r="P261" s="20">
        <f t="shared" si="71"/>
        <v>0</v>
      </c>
      <c r="Q261" s="5">
        <f t="shared" si="59"/>
        <v>6.188892703098583</v>
      </c>
      <c r="R261" s="5">
        <f t="shared" si="72"/>
        <v>3.097534752257876</v>
      </c>
      <c r="S261" s="5">
        <f t="shared" si="60"/>
        <v>0.34659938699999998</v>
      </c>
      <c r="T261" s="5">
        <f t="shared" si="61"/>
        <v>4.1791667853826757</v>
      </c>
      <c r="U261" s="5">
        <f t="shared" si="62"/>
        <v>37.641367725552513</v>
      </c>
      <c r="AB261" s="14"/>
      <c r="AD261" s="5">
        <f t="shared" si="63"/>
        <v>5.0499999999999989</v>
      </c>
      <c r="AE261" s="5">
        <f t="shared" si="64"/>
        <v>12.66666666666665</v>
      </c>
      <c r="AF261" s="5">
        <f t="shared" si="65"/>
        <v>5.0054249397297497</v>
      </c>
      <c r="AG261" s="5">
        <f t="shared" si="66"/>
        <v>3.0095543218692162</v>
      </c>
      <c r="AH261" s="5">
        <f t="shared" si="73"/>
        <v>0.99793530893026672</v>
      </c>
      <c r="AI261" s="5">
        <f t="shared" si="67"/>
        <v>6.9628701326337639E-2</v>
      </c>
      <c r="AJ261" s="5">
        <f t="shared" si="74"/>
        <v>0.12640513913116697</v>
      </c>
      <c r="AK261" s="5">
        <f t="shared" si="75"/>
        <v>0.87153016979909981</v>
      </c>
      <c r="AL261" s="5">
        <f t="shared" si="68"/>
        <v>0.81200000000000006</v>
      </c>
      <c r="AM261" s="5">
        <v>16.7</v>
      </c>
    </row>
    <row r="262" spans="1:39" x14ac:dyDescent="0.2">
      <c r="A262" s="23">
        <v>45548</v>
      </c>
      <c r="B262" s="20">
        <v>33.200000000000003</v>
      </c>
      <c r="C262" s="20">
        <v>48.1</v>
      </c>
      <c r="D262" s="20">
        <v>2.2000000000000002</v>
      </c>
      <c r="E262" s="20">
        <v>37.799999999999997</v>
      </c>
      <c r="F262" s="20">
        <v>49.5833333333333</v>
      </c>
      <c r="G262" s="20">
        <v>5.42916666666666</v>
      </c>
      <c r="H262" s="20">
        <v>29.2</v>
      </c>
      <c r="I262" s="20">
        <v>31</v>
      </c>
      <c r="J262" s="20">
        <v>0</v>
      </c>
      <c r="K262" s="20">
        <v>0.80938749999999904</v>
      </c>
      <c r="L262" s="20">
        <f t="shared" si="69"/>
        <v>0.37231824999999957</v>
      </c>
      <c r="M262" s="20"/>
      <c r="N262" s="5">
        <f>IF(0&lt;B262&lt;26.5,16*(((10*B262)/#REF!)^#REF!)/30,((-415.85)+(32.24*B262)-(0.43*B262^2))/30)</f>
        <v>6.0184933333333355</v>
      </c>
      <c r="O262" s="6">
        <f t="shared" si="70"/>
        <v>5.0312804691293822</v>
      </c>
      <c r="P262" s="20">
        <f t="shared" si="71"/>
        <v>0</v>
      </c>
      <c r="Q262" s="5">
        <f t="shared" ref="Q262:Q325" si="76">0.0023*(SQRT(E262-H262))*(17.8+B262)*AM262</f>
        <v>5.7446517855880517</v>
      </c>
      <c r="R262" s="5">
        <f t="shared" si="72"/>
        <v>2.8751926070022558</v>
      </c>
      <c r="S262" s="5">
        <f t="shared" ref="S262:S325" si="77">1.26*AL262*((K262*0.95)/2.45)</f>
        <v>0.32228653982142808</v>
      </c>
      <c r="T262" s="5">
        <f t="shared" ref="T262:T325" si="78">((0.408*AI262)*(K262*0.95) + ((0.063*900*G262*AK262)/((AD262+273))))/(AI262+0.063*(1+0.34*G262))</f>
        <v>3.7324145771385409</v>
      </c>
      <c r="U262" s="5">
        <f t="shared" ref="U262:U325" si="79">1.21*(10^((7.45*$X$19)/(234.7+$X$19)))*((1-0.01*(C262/100))+(0.21*$X$19)-2.3)</f>
        <v>37.642871765075178</v>
      </c>
      <c r="AB262" s="14"/>
      <c r="AD262" s="5">
        <f t="shared" ref="AD262:AD325" si="80">(E262-H262)/2</f>
        <v>4.2999999999999989</v>
      </c>
      <c r="AE262" s="5">
        <f t="shared" ref="AE262:AE325" si="81">(F262-I262)/2</f>
        <v>9.2916666666666501</v>
      </c>
      <c r="AF262" s="5">
        <f t="shared" ref="AF262:AF325" si="82">0.611*10^((7.5*E262)/(273.3+E262))</f>
        <v>4.9810827429425473</v>
      </c>
      <c r="AG262" s="5">
        <f t="shared" ref="AG262:AG325" si="83">0.611*10^((7.5*H262)/(273.3+H262))</f>
        <v>3.2359973134914912</v>
      </c>
      <c r="AH262" s="5">
        <f t="shared" si="73"/>
        <v>0.87254271472552802</v>
      </c>
      <c r="AI262" s="5">
        <f t="shared" ref="AI262:AI325" si="84">(4098*AH262)/((237.3+AD262)^2)</f>
        <v>6.125827891569334E-2</v>
      </c>
      <c r="AJ262" s="5">
        <f t="shared" si="74"/>
        <v>8.1073760576580167E-2</v>
      </c>
      <c r="AK262" s="5">
        <f t="shared" si="75"/>
        <v>0.79146895414894791</v>
      </c>
      <c r="AL262" s="5">
        <f t="shared" ref="AL262:AL325" si="85">IF(0&lt;B262&lt;16,0.407+0.0145*B262,0.483+0.01*B262)</f>
        <v>0.81499999999999995</v>
      </c>
      <c r="AM262" s="5">
        <v>16.7</v>
      </c>
    </row>
    <row r="263" spans="1:39" x14ac:dyDescent="0.2">
      <c r="A263" s="23">
        <v>45549</v>
      </c>
      <c r="B263" s="20">
        <v>32.700000000000003</v>
      </c>
      <c r="C263" s="20">
        <v>54.6</v>
      </c>
      <c r="D263" s="20">
        <v>2.2999999999999998</v>
      </c>
      <c r="E263" s="20">
        <v>37.299999999999997</v>
      </c>
      <c r="F263" s="20">
        <v>56.1666666666666</v>
      </c>
      <c r="G263" s="20">
        <v>6</v>
      </c>
      <c r="H263" s="20">
        <v>28.7</v>
      </c>
      <c r="I263" s="20">
        <v>39</v>
      </c>
      <c r="J263" s="20">
        <v>0</v>
      </c>
      <c r="K263" s="20">
        <v>0.77762083333333309</v>
      </c>
      <c r="L263" s="20">
        <f t="shared" ref="L263:L326" si="86">K263*0.46</f>
        <v>0.35770558333333324</v>
      </c>
      <c r="M263" s="20"/>
      <c r="N263" s="5">
        <f>IF(0&lt;B263&lt;26.5,16*(((10*B263)/#REF!)^#REF!)/30,((-415.85)+(32.24*B263)-(0.43*B263^2))/30)</f>
        <v>5.9534433333333308</v>
      </c>
      <c r="O263" s="6">
        <f t="shared" ref="O263:O326" si="87">$AC$6</f>
        <v>5.0312804691293822</v>
      </c>
      <c r="P263" s="20">
        <f t="shared" ref="P263:P326" si="88">(0.01*B263*Y263)</f>
        <v>0</v>
      </c>
      <c r="Q263" s="5">
        <f t="shared" si="76"/>
        <v>5.6883316700430706</v>
      </c>
      <c r="R263" s="5">
        <f t="shared" ref="R263:R326" si="89">Q263*$W$1</f>
        <v>2.8470044441885078</v>
      </c>
      <c r="S263" s="5">
        <f t="shared" si="77"/>
        <v>0.30773789035714277</v>
      </c>
      <c r="T263" s="5">
        <f t="shared" si="78"/>
        <v>3.8795195668487277</v>
      </c>
      <c r="U263" s="5">
        <f t="shared" si="79"/>
        <v>37.637726366708144</v>
      </c>
      <c r="AB263" s="14"/>
      <c r="AD263" s="5">
        <f t="shared" si="80"/>
        <v>4.2999999999999989</v>
      </c>
      <c r="AE263" s="5">
        <f t="shared" si="81"/>
        <v>8.5833333333333002</v>
      </c>
      <c r="AF263" s="5">
        <f t="shared" si="82"/>
        <v>4.8609070992189674</v>
      </c>
      <c r="AG263" s="5">
        <f t="shared" si="83"/>
        <v>3.1534761781486544</v>
      </c>
      <c r="AH263" s="5">
        <f t="shared" ref="AH263:AH326" si="90">(AF263-AG263)/2</f>
        <v>0.85371546053515646</v>
      </c>
      <c r="AI263" s="5">
        <f t="shared" si="84"/>
        <v>5.9936480946440641E-2</v>
      </c>
      <c r="AJ263" s="5">
        <f t="shared" ref="AJ263:AJ326" si="91">(AE263*AH263)/100</f>
        <v>7.3277243695933969E-2</v>
      </c>
      <c r="AK263" s="5">
        <f t="shared" ref="AK263:AK326" si="92">AH263-AJ263</f>
        <v>0.78043821683922254</v>
      </c>
      <c r="AL263" s="5">
        <f t="shared" si="85"/>
        <v>0.81</v>
      </c>
      <c r="AM263" s="5">
        <v>16.7</v>
      </c>
    </row>
    <row r="264" spans="1:39" x14ac:dyDescent="0.2">
      <c r="A264" s="23">
        <v>45550</v>
      </c>
      <c r="B264" s="20">
        <v>32.799999999999997</v>
      </c>
      <c r="C264" s="20">
        <v>55</v>
      </c>
      <c r="D264" s="20">
        <v>2.2999999999999998</v>
      </c>
      <c r="E264" s="20">
        <v>37.5</v>
      </c>
      <c r="F264" s="20">
        <v>56.3333333333333</v>
      </c>
      <c r="G264" s="20">
        <v>5.7708333333333304</v>
      </c>
      <c r="H264" s="20">
        <v>29.2</v>
      </c>
      <c r="I264" s="20">
        <v>40</v>
      </c>
      <c r="J264" s="20">
        <v>0</v>
      </c>
      <c r="K264" s="20">
        <v>0.761879166666666</v>
      </c>
      <c r="L264" s="20">
        <f t="shared" si="86"/>
        <v>0.35046441666666639</v>
      </c>
      <c r="M264" s="20"/>
      <c r="N264" s="5">
        <f>IF(0&lt;B264&lt;26.5,16*(((10*B264)/#REF!)^#REF!)/30,((-415.85)+(32.24*B264)-(0.43*B264^2))/30)</f>
        <v>5.9670266666666674</v>
      </c>
      <c r="O264" s="6">
        <f t="shared" si="87"/>
        <v>5.0312804691293822</v>
      </c>
      <c r="P264" s="20">
        <f t="shared" si="88"/>
        <v>0</v>
      </c>
      <c r="Q264" s="5">
        <f t="shared" si="76"/>
        <v>5.5993017197828152</v>
      </c>
      <c r="R264" s="5">
        <f t="shared" si="89"/>
        <v>2.8024450410524895</v>
      </c>
      <c r="S264" s="5">
        <f t="shared" si="77"/>
        <v>0.30188047060714257</v>
      </c>
      <c r="T264" s="5">
        <f t="shared" si="78"/>
        <v>3.7657304753003804</v>
      </c>
      <c r="U264" s="5">
        <f t="shared" si="79"/>
        <v>37.637409726808635</v>
      </c>
      <c r="AB264" s="14"/>
      <c r="AD264" s="5">
        <f t="shared" si="80"/>
        <v>4.1500000000000004</v>
      </c>
      <c r="AE264" s="5">
        <f t="shared" si="81"/>
        <v>8.1666666666666501</v>
      </c>
      <c r="AF264" s="5">
        <f t="shared" si="82"/>
        <v>4.9086717386569525</v>
      </c>
      <c r="AG264" s="5">
        <f t="shared" si="83"/>
        <v>3.2359973134914912</v>
      </c>
      <c r="AH264" s="5">
        <f t="shared" si="90"/>
        <v>0.83633721258273064</v>
      </c>
      <c r="AI264" s="5">
        <f t="shared" si="84"/>
        <v>5.8789390223533085E-2</v>
      </c>
      <c r="AJ264" s="5">
        <f t="shared" si="91"/>
        <v>6.830087236092286E-2</v>
      </c>
      <c r="AK264" s="5">
        <f t="shared" si="92"/>
        <v>0.76803634022180778</v>
      </c>
      <c r="AL264" s="5">
        <f t="shared" si="85"/>
        <v>0.81099999999999994</v>
      </c>
      <c r="AM264" s="5">
        <v>16.7</v>
      </c>
    </row>
    <row r="265" spans="1:39" x14ac:dyDescent="0.2">
      <c r="A265" s="23">
        <v>45551</v>
      </c>
      <c r="B265" s="20">
        <v>32.799999999999997</v>
      </c>
      <c r="C265" s="20">
        <v>55.3</v>
      </c>
      <c r="D265" s="20">
        <v>2.2999999999999998</v>
      </c>
      <c r="E265" s="20">
        <v>37.799999999999997</v>
      </c>
      <c r="F265" s="20">
        <v>57.625</v>
      </c>
      <c r="G265" s="20">
        <v>5.30833333333333</v>
      </c>
      <c r="H265" s="20">
        <v>29</v>
      </c>
      <c r="I265" s="20">
        <v>33</v>
      </c>
      <c r="J265" s="20">
        <v>0</v>
      </c>
      <c r="K265" s="20">
        <v>0.83090833333333292</v>
      </c>
      <c r="L265" s="20">
        <f t="shared" si="86"/>
        <v>0.38221783333333315</v>
      </c>
      <c r="M265" s="20"/>
      <c r="N265" s="5">
        <f>IF(0&lt;B265&lt;26.5,16*(((10*B265)/#REF!)^#REF!)/30,((-415.85)+(32.24*B265)-(0.43*B265^2))/30)</f>
        <v>5.9670266666666674</v>
      </c>
      <c r="O265" s="6">
        <f t="shared" si="87"/>
        <v>5.0312804691293822</v>
      </c>
      <c r="P265" s="20">
        <f t="shared" si="88"/>
        <v>0</v>
      </c>
      <c r="Q265" s="5">
        <f t="shared" si="76"/>
        <v>5.7654891619203292</v>
      </c>
      <c r="R265" s="5">
        <f t="shared" si="89"/>
        <v>2.8856216935014918</v>
      </c>
      <c r="S265" s="5">
        <f t="shared" si="77"/>
        <v>0.32923199592857122</v>
      </c>
      <c r="T265" s="5">
        <f t="shared" si="78"/>
        <v>3.6224691708004353</v>
      </c>
      <c r="U265" s="5">
        <f t="shared" si="79"/>
        <v>37.637172246883999</v>
      </c>
      <c r="AB265" s="14"/>
      <c r="AD265" s="5">
        <f t="shared" si="80"/>
        <v>4.3999999999999986</v>
      </c>
      <c r="AE265" s="5">
        <f t="shared" si="81"/>
        <v>12.3125</v>
      </c>
      <c r="AF265" s="5">
        <f t="shared" si="82"/>
        <v>4.9810827429425473</v>
      </c>
      <c r="AG265" s="5">
        <f t="shared" si="83"/>
        <v>3.2027656837125544</v>
      </c>
      <c r="AH265" s="5">
        <f t="shared" si="90"/>
        <v>0.88915852961499642</v>
      </c>
      <c r="AI265" s="5">
        <f t="shared" si="84"/>
        <v>6.2373175087069528E-2</v>
      </c>
      <c r="AJ265" s="5">
        <f t="shared" si="91"/>
        <v>0.10947764395884643</v>
      </c>
      <c r="AK265" s="5">
        <f t="shared" si="92"/>
        <v>0.77968088565615001</v>
      </c>
      <c r="AL265" s="5">
        <f t="shared" si="85"/>
        <v>0.81099999999999994</v>
      </c>
      <c r="AM265" s="5">
        <v>16.7</v>
      </c>
    </row>
    <row r="266" spans="1:39" x14ac:dyDescent="0.2">
      <c r="A266" s="23">
        <v>45552</v>
      </c>
      <c r="B266" s="20">
        <v>33.4</v>
      </c>
      <c r="C266" s="20">
        <v>51.7</v>
      </c>
      <c r="D266" s="20">
        <v>2</v>
      </c>
      <c r="E266" s="20">
        <v>38.4</v>
      </c>
      <c r="F266" s="20">
        <v>53.2083333333333</v>
      </c>
      <c r="G266" s="20">
        <v>5.0374999999999996</v>
      </c>
      <c r="H266" s="20">
        <v>29.7</v>
      </c>
      <c r="I266" s="20">
        <v>33</v>
      </c>
      <c r="J266" s="20">
        <v>0</v>
      </c>
      <c r="K266" s="20">
        <v>0.72773749999999993</v>
      </c>
      <c r="L266" s="20">
        <f t="shared" si="86"/>
        <v>0.33475925000000001</v>
      </c>
      <c r="M266" s="20"/>
      <c r="N266" s="5">
        <f>IF(0&lt;B266&lt;26.5,16*(((10*B266)/#REF!)^#REF!)/30,((-415.85)+(32.24*B266)-(0.43*B266^2))/30)</f>
        <v>6.042506666666668</v>
      </c>
      <c r="O266" s="6">
        <f t="shared" si="87"/>
        <v>5.0312804691293822</v>
      </c>
      <c r="P266" s="20">
        <f t="shared" si="88"/>
        <v>0</v>
      </c>
      <c r="Q266" s="5">
        <f t="shared" si="76"/>
        <v>5.8006130384500558</v>
      </c>
      <c r="R266" s="5">
        <f t="shared" si="89"/>
        <v>2.9032011593937299</v>
      </c>
      <c r="S266" s="5">
        <f t="shared" si="77"/>
        <v>0.2904857797499999</v>
      </c>
      <c r="T266" s="5">
        <f t="shared" si="78"/>
        <v>3.6480823587634399</v>
      </c>
      <c r="U266" s="5">
        <f t="shared" si="79"/>
        <v>37.640022005979596</v>
      </c>
      <c r="AB266" s="14"/>
      <c r="AD266" s="5">
        <f t="shared" si="80"/>
        <v>4.3499999999999996</v>
      </c>
      <c r="AE266" s="5">
        <f t="shared" si="81"/>
        <v>10.10416666666665</v>
      </c>
      <c r="AF266" s="5">
        <f t="shared" si="82"/>
        <v>5.1286913262049012</v>
      </c>
      <c r="AG266" s="5">
        <f t="shared" si="83"/>
        <v>3.3203948003388764</v>
      </c>
      <c r="AH266" s="5">
        <f t="shared" si="90"/>
        <v>0.90414826293301243</v>
      </c>
      <c r="AI266" s="5">
        <f t="shared" si="84"/>
        <v>6.3450932256754619E-2</v>
      </c>
      <c r="AJ266" s="5">
        <f t="shared" si="91"/>
        <v>9.1356647400522989E-2</v>
      </c>
      <c r="AK266" s="5">
        <f t="shared" si="92"/>
        <v>0.81279161553248946</v>
      </c>
      <c r="AL266" s="5">
        <f t="shared" si="85"/>
        <v>0.81699999999999995</v>
      </c>
      <c r="AM266" s="5">
        <v>16.7</v>
      </c>
    </row>
    <row r="267" spans="1:39" x14ac:dyDescent="0.2">
      <c r="A267" s="23">
        <v>45553</v>
      </c>
      <c r="B267" s="20">
        <v>33.200000000000003</v>
      </c>
      <c r="C267" s="20">
        <v>53.2</v>
      </c>
      <c r="D267" s="20">
        <v>2</v>
      </c>
      <c r="E267" s="20">
        <v>39</v>
      </c>
      <c r="F267" s="20">
        <v>55.1458333333333</v>
      </c>
      <c r="G267" s="20">
        <v>5.1729166666666604</v>
      </c>
      <c r="H267" s="20">
        <v>28.8</v>
      </c>
      <c r="I267" s="20">
        <v>34</v>
      </c>
      <c r="J267" s="20">
        <v>0</v>
      </c>
      <c r="K267" s="20">
        <v>0.73025208333333291</v>
      </c>
      <c r="L267" s="20">
        <f t="shared" si="86"/>
        <v>0.33591595833333315</v>
      </c>
      <c r="M267" s="20"/>
      <c r="N267" s="5">
        <f>IF(0&lt;B267&lt;26.5,16*(((10*B267)/#REF!)^#REF!)/30,((-415.85)+(32.24*B267)-(0.43*B267^2))/30)</f>
        <v>6.0184933333333355</v>
      </c>
      <c r="O267" s="6">
        <f t="shared" si="87"/>
        <v>5.0312804691293822</v>
      </c>
      <c r="P267" s="20">
        <f t="shared" si="88"/>
        <v>0</v>
      </c>
      <c r="Q267" s="5">
        <f t="shared" si="76"/>
        <v>6.2562568328530119</v>
      </c>
      <c r="R267" s="5">
        <f t="shared" si="89"/>
        <v>3.1312504333950661</v>
      </c>
      <c r="S267" s="5">
        <f t="shared" si="77"/>
        <v>0.29077594741071405</v>
      </c>
      <c r="T267" s="5">
        <f t="shared" si="78"/>
        <v>4.1067671390284817</v>
      </c>
      <c r="U267" s="5">
        <f t="shared" si="79"/>
        <v>37.638834606356426</v>
      </c>
      <c r="AB267" s="14"/>
      <c r="AD267" s="5">
        <f t="shared" si="80"/>
        <v>5.0999999999999996</v>
      </c>
      <c r="AE267" s="5">
        <f t="shared" si="81"/>
        <v>10.57291666666665</v>
      </c>
      <c r="AF267" s="5">
        <f t="shared" si="82"/>
        <v>5.2800815947468198</v>
      </c>
      <c r="AG267" s="5">
        <f t="shared" si="83"/>
        <v>3.1698319972917637</v>
      </c>
      <c r="AH267" s="5">
        <f t="shared" si="90"/>
        <v>1.0551247987275281</v>
      </c>
      <c r="AI267" s="5">
        <f t="shared" si="84"/>
        <v>7.3588602172468959E-2</v>
      </c>
      <c r="AJ267" s="5">
        <f t="shared" si="91"/>
        <v>0.11155746569879577</v>
      </c>
      <c r="AK267" s="5">
        <f t="shared" si="92"/>
        <v>0.9435673330287323</v>
      </c>
      <c r="AL267" s="5">
        <f t="shared" si="85"/>
        <v>0.81499999999999995</v>
      </c>
      <c r="AM267" s="5">
        <v>16.7</v>
      </c>
    </row>
    <row r="268" spans="1:39" x14ac:dyDescent="0.2">
      <c r="A268" s="23">
        <v>45554</v>
      </c>
      <c r="B268" s="20">
        <v>30.8</v>
      </c>
      <c r="C268" s="20">
        <v>64</v>
      </c>
      <c r="D268" s="20">
        <v>1.3</v>
      </c>
      <c r="E268" s="20">
        <v>35.5</v>
      </c>
      <c r="F268" s="20">
        <v>67.375</v>
      </c>
      <c r="G268" s="20">
        <v>4.0020833333333297</v>
      </c>
      <c r="H268" s="20">
        <v>27</v>
      </c>
      <c r="I268" s="20">
        <v>43</v>
      </c>
      <c r="J268" s="20">
        <v>0</v>
      </c>
      <c r="K268" s="20">
        <v>0.51652500000000001</v>
      </c>
      <c r="L268" s="20">
        <f t="shared" si="86"/>
        <v>0.23760150000000002</v>
      </c>
      <c r="M268" s="20"/>
      <c r="N268" s="5">
        <f>IF(0&lt;B268&lt;26.5,16*(((10*B268)/#REF!)^#REF!)/30,((-415.85)+(32.24*B268)-(0.43*B268^2))/30)</f>
        <v>5.6408933333333344</v>
      </c>
      <c r="O268" s="6">
        <f t="shared" si="87"/>
        <v>5.0312804691293822</v>
      </c>
      <c r="P268" s="20">
        <f t="shared" si="88"/>
        <v>0</v>
      </c>
      <c r="Q268" s="5">
        <f t="shared" si="76"/>
        <v>5.442394753428494</v>
      </c>
      <c r="R268" s="5">
        <f t="shared" si="89"/>
        <v>2.7239132576673084</v>
      </c>
      <c r="S268" s="5">
        <f t="shared" si="77"/>
        <v>0.19961625149999992</v>
      </c>
      <c r="T268" s="5">
        <f t="shared" si="78"/>
        <v>2.8117008849738179</v>
      </c>
      <c r="U268" s="5">
        <f t="shared" si="79"/>
        <v>37.630285329069658</v>
      </c>
      <c r="AB268" s="14"/>
      <c r="AD268" s="5">
        <f t="shared" si="80"/>
        <v>4.25</v>
      </c>
      <c r="AE268" s="5">
        <f t="shared" si="81"/>
        <v>12.1875</v>
      </c>
      <c r="AF268" s="5">
        <f t="shared" si="82"/>
        <v>4.4488704508233914</v>
      </c>
      <c r="AG268" s="5">
        <f t="shared" si="83"/>
        <v>2.8864689131283341</v>
      </c>
      <c r="AH268" s="5">
        <f t="shared" si="90"/>
        <v>0.78120076884752865</v>
      </c>
      <c r="AI268" s="5">
        <f t="shared" si="84"/>
        <v>5.4868177189453492E-2</v>
      </c>
      <c r="AJ268" s="5">
        <f t="shared" si="91"/>
        <v>9.5208843703292564E-2</v>
      </c>
      <c r="AK268" s="5">
        <f t="shared" si="92"/>
        <v>0.68599192514423613</v>
      </c>
      <c r="AL268" s="5">
        <f t="shared" si="85"/>
        <v>0.79099999999999993</v>
      </c>
      <c r="AM268" s="5">
        <v>16.7</v>
      </c>
    </row>
    <row r="269" spans="1:39" x14ac:dyDescent="0.2">
      <c r="A269" s="23">
        <v>45555</v>
      </c>
      <c r="B269" s="20">
        <v>32.700000000000003</v>
      </c>
      <c r="C269" s="20">
        <v>52.2</v>
      </c>
      <c r="D269" s="20">
        <v>2</v>
      </c>
      <c r="E269" s="20">
        <v>38.200000000000003</v>
      </c>
      <c r="F269" s="20">
        <v>54.2708333333333</v>
      </c>
      <c r="G269" s="20">
        <v>5.0083333333333302</v>
      </c>
      <c r="H269" s="20">
        <v>28.1</v>
      </c>
      <c r="I269" s="20">
        <v>33</v>
      </c>
      <c r="J269" s="20">
        <v>0</v>
      </c>
      <c r="K269" s="20">
        <v>0.90008124999999994</v>
      </c>
      <c r="L269" s="20">
        <f t="shared" si="86"/>
        <v>0.41403737499999999</v>
      </c>
      <c r="M269" s="20"/>
      <c r="N269" s="5">
        <f>IF(0&lt;B269&lt;26.5,16*(((10*B269)/#REF!)^#REF!)/30,((-415.85)+(32.24*B269)-(0.43*B269^2))/30)</f>
        <v>5.9534433333333308</v>
      </c>
      <c r="O269" s="6">
        <f t="shared" si="87"/>
        <v>5.0312804691293822</v>
      </c>
      <c r="P269" s="20">
        <f t="shared" si="88"/>
        <v>0</v>
      </c>
      <c r="Q269" s="5">
        <f t="shared" si="76"/>
        <v>6.1644789251770913</v>
      </c>
      <c r="R269" s="5">
        <f t="shared" si="89"/>
        <v>3.0853156802568598</v>
      </c>
      <c r="S269" s="5">
        <f t="shared" si="77"/>
        <v>0.3562007255357143</v>
      </c>
      <c r="T269" s="5">
        <f t="shared" si="78"/>
        <v>3.9340536203947916</v>
      </c>
      <c r="U269" s="5">
        <f t="shared" si="79"/>
        <v>37.639626206105206</v>
      </c>
      <c r="AB269" s="14"/>
      <c r="AD269" s="5">
        <f t="shared" si="80"/>
        <v>5.0500000000000007</v>
      </c>
      <c r="AE269" s="5">
        <f t="shared" si="81"/>
        <v>10.63541666666665</v>
      </c>
      <c r="AF269" s="5">
        <f t="shared" si="82"/>
        <v>5.0790722229177794</v>
      </c>
      <c r="AG269" s="5">
        <f t="shared" si="83"/>
        <v>3.056877988425549</v>
      </c>
      <c r="AH269" s="5">
        <f t="shared" si="90"/>
        <v>1.0110971172461152</v>
      </c>
      <c r="AI269" s="5">
        <f t="shared" si="84"/>
        <v>7.0547037025994463E-2</v>
      </c>
      <c r="AJ269" s="5">
        <f t="shared" si="91"/>
        <v>0.10753439132377939</v>
      </c>
      <c r="AK269" s="5">
        <f t="shared" si="92"/>
        <v>0.90356272592233577</v>
      </c>
      <c r="AL269" s="5">
        <f t="shared" si="85"/>
        <v>0.81</v>
      </c>
      <c r="AM269" s="5">
        <v>16.7</v>
      </c>
    </row>
    <row r="270" spans="1:39" x14ac:dyDescent="0.2">
      <c r="A270" s="23">
        <v>45556</v>
      </c>
      <c r="B270" s="20">
        <v>33.4</v>
      </c>
      <c r="C270" s="20">
        <v>48.2</v>
      </c>
      <c r="D270" s="20">
        <v>2.5</v>
      </c>
      <c r="E270" s="20">
        <v>38.700000000000003</v>
      </c>
      <c r="F270" s="20">
        <v>49.9375</v>
      </c>
      <c r="G270" s="20">
        <v>6.42916666666666</v>
      </c>
      <c r="H270" s="20">
        <v>28.8</v>
      </c>
      <c r="I270" s="20">
        <v>32</v>
      </c>
      <c r="J270" s="20">
        <v>0</v>
      </c>
      <c r="K270" s="20">
        <v>0.84433333333333305</v>
      </c>
      <c r="L270" s="20">
        <f t="shared" si="86"/>
        <v>0.3883933333333332</v>
      </c>
      <c r="M270" s="20"/>
      <c r="N270" s="5">
        <f>IF(0&lt;B270&lt;26.5,16*(((10*B270)/#REF!)^#REF!)/30,((-415.85)+(32.24*B270)-(0.43*B270^2))/30)</f>
        <v>6.042506666666668</v>
      </c>
      <c r="O270" s="6">
        <f t="shared" si="87"/>
        <v>5.0312804691293822</v>
      </c>
      <c r="P270" s="20">
        <f t="shared" si="88"/>
        <v>0</v>
      </c>
      <c r="Q270" s="5">
        <f t="shared" si="76"/>
        <v>6.1877372710219047</v>
      </c>
      <c r="R270" s="5">
        <f t="shared" si="89"/>
        <v>3.096956459632187</v>
      </c>
      <c r="S270" s="5">
        <f t="shared" si="77"/>
        <v>0.33702650571428555</v>
      </c>
      <c r="T270" s="5">
        <f t="shared" si="78"/>
        <v>4.5539810853649367</v>
      </c>
      <c r="U270" s="5">
        <f t="shared" si="79"/>
        <v>37.642792605100297</v>
      </c>
      <c r="AB270" s="14"/>
      <c r="AD270" s="5">
        <f t="shared" si="80"/>
        <v>4.9500000000000011</v>
      </c>
      <c r="AE270" s="5">
        <f t="shared" si="81"/>
        <v>8.96875</v>
      </c>
      <c r="AF270" s="5">
        <f t="shared" si="82"/>
        <v>5.2039087396157884</v>
      </c>
      <c r="AG270" s="5">
        <f t="shared" si="83"/>
        <v>3.1698319972917637</v>
      </c>
      <c r="AH270" s="5">
        <f t="shared" si="90"/>
        <v>1.0170383711620123</v>
      </c>
      <c r="AI270" s="5">
        <f t="shared" si="84"/>
        <v>7.1020172211999036E-2</v>
      </c>
      <c r="AJ270" s="5">
        <f t="shared" si="91"/>
        <v>9.1215628913592986E-2</v>
      </c>
      <c r="AK270" s="5">
        <f t="shared" si="92"/>
        <v>0.92582274224841932</v>
      </c>
      <c r="AL270" s="5">
        <f t="shared" si="85"/>
        <v>0.81699999999999995</v>
      </c>
      <c r="AM270" s="5">
        <v>16.7</v>
      </c>
    </row>
    <row r="271" spans="1:39" x14ac:dyDescent="0.2">
      <c r="A271" s="23">
        <v>45557</v>
      </c>
      <c r="B271" s="20">
        <v>32.9</v>
      </c>
      <c r="C271" s="20">
        <v>48</v>
      </c>
      <c r="D271" s="20">
        <v>2.2000000000000002</v>
      </c>
      <c r="E271" s="20">
        <v>38.6</v>
      </c>
      <c r="F271" s="20">
        <v>50.2916666666666</v>
      </c>
      <c r="G271" s="20">
        <v>5.3958333333333304</v>
      </c>
      <c r="H271" s="20">
        <v>28.1</v>
      </c>
      <c r="I271" s="20">
        <v>22</v>
      </c>
      <c r="J271" s="20">
        <v>0</v>
      </c>
      <c r="K271" s="20">
        <v>0.79192083333333296</v>
      </c>
      <c r="L271" s="20">
        <f t="shared" si="86"/>
        <v>0.36428358333333316</v>
      </c>
      <c r="M271" s="20"/>
      <c r="N271" s="5">
        <f>IF(0&lt;B271&lt;26.5,16*(((10*B271)/#REF!)^#REF!)/30,((-415.85)+(32.24*B271)-(0.43*B271^2))/30)</f>
        <v>5.9803233333333328</v>
      </c>
      <c r="O271" s="6">
        <f t="shared" si="87"/>
        <v>5.0312804691293822</v>
      </c>
      <c r="P271" s="20">
        <f t="shared" si="88"/>
        <v>0</v>
      </c>
      <c r="Q271" s="5">
        <f t="shared" si="76"/>
        <v>6.3102550932251935</v>
      </c>
      <c r="R271" s="5">
        <f t="shared" si="89"/>
        <v>3.1582765099629402</v>
      </c>
      <c r="S271" s="5">
        <f t="shared" si="77"/>
        <v>0.31417083299999987</v>
      </c>
      <c r="T271" s="5">
        <f t="shared" si="78"/>
        <v>4.0565067020784955</v>
      </c>
      <c r="U271" s="5">
        <f t="shared" si="79"/>
        <v>37.642950925050059</v>
      </c>
      <c r="AB271" s="14"/>
      <c r="AD271" s="5">
        <f t="shared" si="80"/>
        <v>5.25</v>
      </c>
      <c r="AE271" s="5">
        <f t="shared" si="81"/>
        <v>14.1458333333333</v>
      </c>
      <c r="AF271" s="5">
        <f t="shared" si="82"/>
        <v>5.1787306058509035</v>
      </c>
      <c r="AG271" s="5">
        <f t="shared" si="83"/>
        <v>3.056877988425549</v>
      </c>
      <c r="AH271" s="5">
        <f t="shared" si="90"/>
        <v>1.0609263087126772</v>
      </c>
      <c r="AI271" s="5">
        <f t="shared" si="84"/>
        <v>7.3901731726744149E-2</v>
      </c>
      <c r="AJ271" s="5">
        <f t="shared" si="91"/>
        <v>0.15007686741998044</v>
      </c>
      <c r="AK271" s="5">
        <f t="shared" si="92"/>
        <v>0.91084944129269685</v>
      </c>
      <c r="AL271" s="5">
        <f t="shared" si="85"/>
        <v>0.81200000000000006</v>
      </c>
      <c r="AM271" s="5">
        <v>16.7</v>
      </c>
    </row>
    <row r="272" spans="1:39" x14ac:dyDescent="0.2">
      <c r="A272" s="23">
        <v>45558</v>
      </c>
      <c r="B272" s="20">
        <v>33.299999999999997</v>
      </c>
      <c r="C272" s="20">
        <v>49.5</v>
      </c>
      <c r="D272" s="20">
        <v>1.7</v>
      </c>
      <c r="E272" s="20">
        <v>38.799999999999997</v>
      </c>
      <c r="F272" s="20">
        <v>51.7083333333333</v>
      </c>
      <c r="G272" s="20">
        <v>4.74166666666666</v>
      </c>
      <c r="H272" s="20">
        <v>28.8</v>
      </c>
      <c r="I272" s="20">
        <v>30</v>
      </c>
      <c r="J272" s="20">
        <v>0</v>
      </c>
      <c r="K272" s="20">
        <v>0.76094999999999902</v>
      </c>
      <c r="L272" s="20">
        <f t="shared" si="86"/>
        <v>0.35003699999999954</v>
      </c>
      <c r="M272" s="20"/>
      <c r="N272" s="5">
        <f>IF(0&lt;B272&lt;26.5,16*(((10*B272)/#REF!)^#REF!)/30,((-415.85)+(32.24*B272)-(0.43*B272^2))/30)</f>
        <v>6.0306433333333302</v>
      </c>
      <c r="O272" s="6">
        <f t="shared" si="87"/>
        <v>5.0312804691293822</v>
      </c>
      <c r="P272" s="20">
        <f t="shared" si="88"/>
        <v>0</v>
      </c>
      <c r="Q272" s="5">
        <f t="shared" si="76"/>
        <v>6.2067636397731443</v>
      </c>
      <c r="R272" s="5">
        <f t="shared" si="89"/>
        <v>3.1064791386062027</v>
      </c>
      <c r="S272" s="5">
        <f t="shared" si="77"/>
        <v>0.30337119771428522</v>
      </c>
      <c r="T272" s="5">
        <f t="shared" si="78"/>
        <v>3.8441586429111632</v>
      </c>
      <c r="U272" s="5">
        <f t="shared" si="79"/>
        <v>37.641763525426896</v>
      </c>
      <c r="AB272" s="14"/>
      <c r="AD272" s="5">
        <f t="shared" si="80"/>
        <v>4.9999999999999982</v>
      </c>
      <c r="AE272" s="5">
        <f t="shared" si="81"/>
        <v>10.85416666666665</v>
      </c>
      <c r="AF272" s="5">
        <f t="shared" si="82"/>
        <v>5.2291930328871343</v>
      </c>
      <c r="AG272" s="5">
        <f t="shared" si="83"/>
        <v>3.1698319972917637</v>
      </c>
      <c r="AH272" s="5">
        <f t="shared" si="90"/>
        <v>1.0296805177976853</v>
      </c>
      <c r="AI272" s="5">
        <f t="shared" si="84"/>
        <v>7.1873305944168533E-2</v>
      </c>
      <c r="AJ272" s="5">
        <f t="shared" si="91"/>
        <v>0.11176323953595693</v>
      </c>
      <c r="AK272" s="5">
        <f t="shared" si="92"/>
        <v>0.91791727826172842</v>
      </c>
      <c r="AL272" s="5">
        <f t="shared" si="85"/>
        <v>0.81599999999999995</v>
      </c>
      <c r="AM272" s="5">
        <v>16.7</v>
      </c>
    </row>
    <row r="273" spans="1:39" x14ac:dyDescent="0.2">
      <c r="A273" s="23">
        <v>45559</v>
      </c>
      <c r="B273" s="20">
        <v>28.9</v>
      </c>
      <c r="C273" s="20">
        <v>69.599999999999994</v>
      </c>
      <c r="D273" s="20">
        <v>1.4</v>
      </c>
      <c r="E273" s="20">
        <v>35</v>
      </c>
      <c r="F273" s="20">
        <v>70.9583333333333</v>
      </c>
      <c r="G273" s="20">
        <v>4.7083333333333304</v>
      </c>
      <c r="H273" s="20">
        <v>26.7</v>
      </c>
      <c r="I273" s="20">
        <v>43</v>
      </c>
      <c r="J273" s="20">
        <v>0.4</v>
      </c>
      <c r="K273" s="20">
        <v>0.22965833333333299</v>
      </c>
      <c r="L273" s="20">
        <f t="shared" si="86"/>
        <v>0.10564283333333319</v>
      </c>
      <c r="M273" s="20"/>
      <c r="N273" s="5">
        <f>IF(0&lt;B273&lt;26.5,16*(((10*B273)/#REF!)^#REF!)/30,((-415.85)+(32.24*B273)-(0.43*B273^2))/30)</f>
        <v>5.2248566666666667</v>
      </c>
      <c r="O273" s="6">
        <f t="shared" si="87"/>
        <v>5.0312804691293822</v>
      </c>
      <c r="P273" s="20">
        <f t="shared" si="88"/>
        <v>0</v>
      </c>
      <c r="Q273" s="5">
        <f t="shared" si="76"/>
        <v>5.1677349864398723</v>
      </c>
      <c r="R273" s="5">
        <f t="shared" si="89"/>
        <v>2.586446312591923</v>
      </c>
      <c r="S273" s="5">
        <f t="shared" si="77"/>
        <v>8.6621873999999863E-2</v>
      </c>
      <c r="T273" s="5">
        <f t="shared" si="78"/>
        <v>2.8889015641820128</v>
      </c>
      <c r="U273" s="5">
        <f t="shared" si="79"/>
        <v>37.625852370476515</v>
      </c>
      <c r="AB273" s="14"/>
      <c r="AD273" s="5">
        <f t="shared" si="80"/>
        <v>4.1500000000000004</v>
      </c>
      <c r="AE273" s="5">
        <f t="shared" si="81"/>
        <v>13.97916666666665</v>
      </c>
      <c r="AF273" s="5">
        <f t="shared" si="82"/>
        <v>4.3399488351831801</v>
      </c>
      <c r="AG273" s="5">
        <f t="shared" si="83"/>
        <v>2.8414577983779647</v>
      </c>
      <c r="AH273" s="5">
        <f t="shared" si="90"/>
        <v>0.74924551840260767</v>
      </c>
      <c r="AI273" s="5">
        <f t="shared" si="84"/>
        <v>5.2667376856972072E-2</v>
      </c>
      <c r="AJ273" s="5">
        <f t="shared" si="91"/>
        <v>0.10473827976003108</v>
      </c>
      <c r="AK273" s="5">
        <f t="shared" si="92"/>
        <v>0.64450723864257653</v>
      </c>
      <c r="AL273" s="5">
        <f t="shared" si="85"/>
        <v>0.77200000000000002</v>
      </c>
      <c r="AM273" s="5">
        <v>16.7</v>
      </c>
    </row>
    <row r="274" spans="1:39" x14ac:dyDescent="0.2">
      <c r="A274" s="23">
        <v>45560</v>
      </c>
      <c r="B274" s="20">
        <v>29.4</v>
      </c>
      <c r="C274" s="20">
        <v>70.8</v>
      </c>
      <c r="D274" s="20">
        <v>1.1000000000000001</v>
      </c>
      <c r="E274" s="20">
        <v>35.700000000000003</v>
      </c>
      <c r="F274" s="20">
        <v>74.7916666666666</v>
      </c>
      <c r="G274" s="20">
        <v>3.1333333333333302</v>
      </c>
      <c r="H274" s="20">
        <v>24.2</v>
      </c>
      <c r="I274" s="20">
        <v>46</v>
      </c>
      <c r="J274" s="20">
        <v>19.8</v>
      </c>
      <c r="K274" s="20">
        <v>0.64989583333333301</v>
      </c>
      <c r="L274" s="20">
        <f t="shared" si="86"/>
        <v>0.29895208333333317</v>
      </c>
      <c r="M274" s="20"/>
      <c r="N274" s="5">
        <f>IF(0&lt;B274&lt;26.5,16*(((10*B274)/#REF!)^#REF!)/30,((-415.85)+(32.24*B274)-(0.43*B274^2))/30)</f>
        <v>5.3443733333333343</v>
      </c>
      <c r="O274" s="6">
        <f t="shared" si="87"/>
        <v>5.0312804691293822</v>
      </c>
      <c r="P274" s="20">
        <f t="shared" si="88"/>
        <v>0</v>
      </c>
      <c r="Q274" s="5">
        <f t="shared" si="76"/>
        <v>6.1480193537834618</v>
      </c>
      <c r="R274" s="5">
        <f t="shared" si="89"/>
        <v>3.0770776808529421</v>
      </c>
      <c r="S274" s="5">
        <f t="shared" si="77"/>
        <v>0.24671345624999982</v>
      </c>
      <c r="T274" s="5">
        <f t="shared" si="78"/>
        <v>2.82582002467811</v>
      </c>
      <c r="U274" s="5">
        <f t="shared" si="79"/>
        <v>37.624902450777988</v>
      </c>
      <c r="AB274" s="14"/>
      <c r="AD274" s="5">
        <f t="shared" si="80"/>
        <v>5.7500000000000018</v>
      </c>
      <c r="AE274" s="5">
        <f t="shared" si="81"/>
        <v>14.3958333333333</v>
      </c>
      <c r="AF274" s="5">
        <f t="shared" si="82"/>
        <v>4.4930997941352171</v>
      </c>
      <c r="AG274" s="5">
        <f t="shared" si="83"/>
        <v>2.4895751699974444</v>
      </c>
      <c r="AH274" s="5">
        <f t="shared" si="90"/>
        <v>1.0017623120688863</v>
      </c>
      <c r="AI274" s="5">
        <f t="shared" si="84"/>
        <v>6.9493693108799798E-2</v>
      </c>
      <c r="AJ274" s="5">
        <f t="shared" si="91"/>
        <v>0.1442120328415831</v>
      </c>
      <c r="AK274" s="5">
        <f t="shared" si="92"/>
        <v>0.8575502792273032</v>
      </c>
      <c r="AL274" s="5">
        <f t="shared" si="85"/>
        <v>0.77699999999999991</v>
      </c>
      <c r="AM274" s="5">
        <v>16.7</v>
      </c>
    </row>
    <row r="275" spans="1:39" x14ac:dyDescent="0.2">
      <c r="A275" s="23">
        <v>45561</v>
      </c>
      <c r="B275" s="20">
        <v>30.4</v>
      </c>
      <c r="C275" s="20">
        <v>67.400000000000006</v>
      </c>
      <c r="D275" s="20">
        <v>1</v>
      </c>
      <c r="E275" s="20">
        <v>36.9</v>
      </c>
      <c r="F275" s="20">
        <v>70.2916666666666</v>
      </c>
      <c r="G275" s="20">
        <v>3.3125</v>
      </c>
      <c r="H275" s="20">
        <v>27.1</v>
      </c>
      <c r="I275" s="20">
        <v>43</v>
      </c>
      <c r="J275" s="20">
        <v>0</v>
      </c>
      <c r="K275" s="20">
        <v>0.63522083333333301</v>
      </c>
      <c r="L275" s="20">
        <f t="shared" si="86"/>
        <v>0.29220158333333318</v>
      </c>
      <c r="M275" s="20"/>
      <c r="N275" s="5">
        <f>IF(0&lt;B275&lt;26.5,16*(((10*B275)/#REF!)^#REF!)/30,((-415.85)+(32.24*B275)-(0.43*B275^2))/30)</f>
        <v>5.5619066666666663</v>
      </c>
      <c r="O275" s="6">
        <f t="shared" si="87"/>
        <v>5.0312804691293822</v>
      </c>
      <c r="P275" s="20">
        <f t="shared" si="88"/>
        <v>0</v>
      </c>
      <c r="Q275" s="5">
        <f t="shared" si="76"/>
        <v>5.7956797961439506</v>
      </c>
      <c r="R275" s="5">
        <f t="shared" si="89"/>
        <v>2.90073207643858</v>
      </c>
      <c r="S275" s="5">
        <f t="shared" si="77"/>
        <v>0.24424604024999982</v>
      </c>
      <c r="T275" s="5">
        <f t="shared" si="78"/>
        <v>2.8140216537909009</v>
      </c>
      <c r="U275" s="5">
        <f t="shared" si="79"/>
        <v>37.62759388992383</v>
      </c>
      <c r="AB275" s="14"/>
      <c r="AD275" s="5">
        <f t="shared" si="80"/>
        <v>4.8999999999999986</v>
      </c>
      <c r="AE275" s="5">
        <f t="shared" si="81"/>
        <v>13.6458333333333</v>
      </c>
      <c r="AF275" s="5">
        <f t="shared" si="82"/>
        <v>4.7665873329959485</v>
      </c>
      <c r="AG275" s="5">
        <f t="shared" si="83"/>
        <v>2.9016102701791366</v>
      </c>
      <c r="AH275" s="5">
        <f t="shared" si="90"/>
        <v>0.93248853140840593</v>
      </c>
      <c r="AI275" s="5">
        <f t="shared" si="84"/>
        <v>6.514291308668009E-2</v>
      </c>
      <c r="AJ275" s="5">
        <f t="shared" si="91"/>
        <v>0.12724583084843841</v>
      </c>
      <c r="AK275" s="5">
        <f t="shared" si="92"/>
        <v>0.80524270055996749</v>
      </c>
      <c r="AL275" s="5">
        <f t="shared" si="85"/>
        <v>0.78699999999999992</v>
      </c>
      <c r="AM275" s="5">
        <v>16.7</v>
      </c>
    </row>
    <row r="276" spans="1:39" x14ac:dyDescent="0.2">
      <c r="A276" s="23">
        <v>45562</v>
      </c>
      <c r="B276" s="20">
        <v>31</v>
      </c>
      <c r="C276" s="20">
        <v>62.8</v>
      </c>
      <c r="D276" s="20">
        <v>1.2</v>
      </c>
      <c r="E276" s="20">
        <v>38.200000000000003</v>
      </c>
      <c r="F276" s="20">
        <v>66.75</v>
      </c>
      <c r="G276" s="20">
        <v>3.7166666666666601</v>
      </c>
      <c r="H276" s="20">
        <v>26.7</v>
      </c>
      <c r="I276" s="20">
        <v>38</v>
      </c>
      <c r="J276" s="20">
        <v>0</v>
      </c>
      <c r="K276" s="20">
        <v>0.72963749999999905</v>
      </c>
      <c r="L276" s="20">
        <f t="shared" si="86"/>
        <v>0.33563324999999961</v>
      </c>
      <c r="M276" s="20"/>
      <c r="N276" s="5">
        <f>IF(0&lt;B276&lt;26.5,16*(((10*B276)/#REF!)^#REF!)/30,((-415.85)+(32.24*B276)-(0.43*B276^2))/30)</f>
        <v>5.6786666666666674</v>
      </c>
      <c r="O276" s="6">
        <f t="shared" si="87"/>
        <v>5.0312804691293822</v>
      </c>
      <c r="P276" s="20">
        <f t="shared" si="88"/>
        <v>0</v>
      </c>
      <c r="Q276" s="5">
        <f t="shared" si="76"/>
        <v>6.3564267895049342</v>
      </c>
      <c r="R276" s="5">
        <f t="shared" si="89"/>
        <v>3.1813853988479566</v>
      </c>
      <c r="S276" s="5">
        <f t="shared" si="77"/>
        <v>0.28268866832142819</v>
      </c>
      <c r="T276" s="5">
        <f t="shared" si="78"/>
        <v>3.3882800690391828</v>
      </c>
      <c r="U276" s="5">
        <f t="shared" si="79"/>
        <v>37.631235248768185</v>
      </c>
      <c r="AB276" s="14"/>
      <c r="AD276" s="5">
        <f t="shared" si="80"/>
        <v>5.7500000000000018</v>
      </c>
      <c r="AE276" s="5">
        <f t="shared" si="81"/>
        <v>14.375</v>
      </c>
      <c r="AF276" s="5">
        <f t="shared" si="82"/>
        <v>5.0790722229177794</v>
      </c>
      <c r="AG276" s="5">
        <f t="shared" si="83"/>
        <v>2.8414577983779647</v>
      </c>
      <c r="AH276" s="5">
        <f t="shared" si="90"/>
        <v>1.1188072122699073</v>
      </c>
      <c r="AI276" s="5">
        <f t="shared" si="84"/>
        <v>7.7613266261558345E-2</v>
      </c>
      <c r="AJ276" s="5">
        <f t="shared" si="91"/>
        <v>0.16082853676379918</v>
      </c>
      <c r="AK276" s="5">
        <f t="shared" si="92"/>
        <v>0.95797867550610816</v>
      </c>
      <c r="AL276" s="5">
        <f t="shared" si="85"/>
        <v>0.79299999999999993</v>
      </c>
      <c r="AM276" s="5">
        <v>16.7</v>
      </c>
    </row>
    <row r="277" spans="1:39" x14ac:dyDescent="0.2">
      <c r="A277" s="23">
        <v>45563</v>
      </c>
      <c r="B277" s="20">
        <v>28</v>
      </c>
      <c r="C277" s="20">
        <v>75.3</v>
      </c>
      <c r="D277" s="20">
        <v>1.3</v>
      </c>
      <c r="E277" s="20">
        <v>33.1</v>
      </c>
      <c r="F277" s="20">
        <v>79.0416666666666</v>
      </c>
      <c r="G277" s="20">
        <v>4.5354166666666602</v>
      </c>
      <c r="H277" s="20">
        <v>23.2</v>
      </c>
      <c r="I277" s="20">
        <v>52</v>
      </c>
      <c r="J277" s="20">
        <v>38.200000000000003</v>
      </c>
      <c r="K277" s="20">
        <v>0.54718333333333302</v>
      </c>
      <c r="L277" s="20">
        <f t="shared" si="86"/>
        <v>0.2517043333333332</v>
      </c>
      <c r="M277" s="20"/>
      <c r="N277" s="5">
        <f>IF(0&lt;B277&lt;26.5,16*(((10*B277)/#REF!)^#REF!)/30,((-415.85)+(32.24*B277)-(0.43*B277^2))/30)</f>
        <v>4.9916666666666663</v>
      </c>
      <c r="O277" s="6">
        <f t="shared" si="87"/>
        <v>5.0312804691293822</v>
      </c>
      <c r="P277" s="20">
        <f t="shared" si="88"/>
        <v>0</v>
      </c>
      <c r="Q277" s="5">
        <f t="shared" si="76"/>
        <v>5.5351243557188123</v>
      </c>
      <c r="R277" s="5">
        <f t="shared" si="89"/>
        <v>2.770324333030354</v>
      </c>
      <c r="S277" s="5">
        <f t="shared" si="77"/>
        <v>0.20397900299999983</v>
      </c>
      <c r="T277" s="5">
        <f t="shared" si="78"/>
        <v>2.999843650123275</v>
      </c>
      <c r="U277" s="5">
        <f t="shared" si="79"/>
        <v>37.621340251908507</v>
      </c>
      <c r="AB277" s="14"/>
      <c r="AD277" s="5">
        <f t="shared" si="80"/>
        <v>4.9500000000000011</v>
      </c>
      <c r="AE277" s="5">
        <f t="shared" si="81"/>
        <v>13.5208333333333</v>
      </c>
      <c r="AF277" s="5">
        <f t="shared" si="82"/>
        <v>3.9469044698804279</v>
      </c>
      <c r="AG277" s="5">
        <f t="shared" si="83"/>
        <v>2.3598682282237085</v>
      </c>
      <c r="AH277" s="5">
        <f t="shared" si="90"/>
        <v>0.79351812082835971</v>
      </c>
      <c r="AI277" s="5">
        <f t="shared" si="84"/>
        <v>5.5411669011251684E-2</v>
      </c>
      <c r="AJ277" s="5">
        <f t="shared" si="91"/>
        <v>0.10729026258700086</v>
      </c>
      <c r="AK277" s="5">
        <f t="shared" si="92"/>
        <v>0.68622785824135879</v>
      </c>
      <c r="AL277" s="5">
        <f t="shared" si="85"/>
        <v>0.76300000000000001</v>
      </c>
      <c r="AM277" s="5">
        <v>16.7</v>
      </c>
    </row>
    <row r="278" spans="1:39" x14ac:dyDescent="0.2">
      <c r="A278" s="23">
        <v>45564</v>
      </c>
      <c r="B278" s="20">
        <v>28.3</v>
      </c>
      <c r="C278" s="20">
        <v>79.3</v>
      </c>
      <c r="D278" s="20">
        <v>1</v>
      </c>
      <c r="E278" s="20">
        <v>32.299999999999997</v>
      </c>
      <c r="F278" s="20">
        <v>81.2916666666666</v>
      </c>
      <c r="G278" s="20">
        <v>3.2958333333333298</v>
      </c>
      <c r="H278" s="20">
        <v>25.4</v>
      </c>
      <c r="I278" s="20">
        <v>64</v>
      </c>
      <c r="J278" s="20">
        <v>2</v>
      </c>
      <c r="K278" s="20">
        <v>0.47196249999999995</v>
      </c>
      <c r="L278" s="20">
        <f t="shared" si="86"/>
        <v>0.21710274999999998</v>
      </c>
      <c r="M278" s="20"/>
      <c r="N278" s="5">
        <f>IF(0&lt;B278&lt;26.5,16*(((10*B278)/#REF!)^#REF!)/30,((-415.85)+(32.24*B278)-(0.43*B278^2))/30)</f>
        <v>5.0719766666666679</v>
      </c>
      <c r="O278" s="6">
        <f t="shared" si="87"/>
        <v>5.0312804691293822</v>
      </c>
      <c r="P278" s="20">
        <f t="shared" si="88"/>
        <v>0</v>
      </c>
      <c r="Q278" s="5">
        <f t="shared" si="76"/>
        <v>4.6512510163037737</v>
      </c>
      <c r="R278" s="5">
        <f t="shared" si="89"/>
        <v>2.3279465900681018</v>
      </c>
      <c r="S278" s="5">
        <f t="shared" si="77"/>
        <v>0.1766299429285714</v>
      </c>
      <c r="T278" s="5">
        <f t="shared" si="78"/>
        <v>2.0630583100089139</v>
      </c>
      <c r="U278" s="5">
        <f t="shared" si="79"/>
        <v>37.618173852913408</v>
      </c>
      <c r="AB278" s="14"/>
      <c r="AD278" s="5">
        <f t="shared" si="80"/>
        <v>3.4499999999999993</v>
      </c>
      <c r="AE278" s="5">
        <f t="shared" si="81"/>
        <v>8.6458333333333002</v>
      </c>
      <c r="AF278" s="5">
        <f t="shared" si="82"/>
        <v>3.7909153757869953</v>
      </c>
      <c r="AG278" s="5">
        <f t="shared" si="83"/>
        <v>2.6534130007609296</v>
      </c>
      <c r="AH278" s="5">
        <f t="shared" si="90"/>
        <v>0.56875118751303289</v>
      </c>
      <c r="AI278" s="5">
        <f t="shared" si="84"/>
        <v>4.0212556019076057E-2</v>
      </c>
      <c r="AJ278" s="5">
        <f t="shared" si="91"/>
        <v>4.9173279753730779E-2</v>
      </c>
      <c r="AK278" s="5">
        <f t="shared" si="92"/>
        <v>0.51957790775930213</v>
      </c>
      <c r="AL278" s="5">
        <f t="shared" si="85"/>
        <v>0.76600000000000001</v>
      </c>
      <c r="AM278" s="5">
        <v>16.7</v>
      </c>
    </row>
    <row r="279" spans="1:39" x14ac:dyDescent="0.2">
      <c r="A279" s="23">
        <v>45565</v>
      </c>
      <c r="B279" s="20">
        <v>27.1</v>
      </c>
      <c r="C279" s="20">
        <v>77.5</v>
      </c>
      <c r="D279" s="20">
        <v>1.3</v>
      </c>
      <c r="E279" s="20">
        <v>32.799999999999997</v>
      </c>
      <c r="F279" s="20">
        <v>80.2083333333333</v>
      </c>
      <c r="G279" s="20">
        <v>4.80416666666666</v>
      </c>
      <c r="H279" s="20">
        <v>22.7</v>
      </c>
      <c r="I279" s="20">
        <v>55</v>
      </c>
      <c r="J279" s="20">
        <v>0.2</v>
      </c>
      <c r="K279" s="20">
        <v>0.51447500000000002</v>
      </c>
      <c r="L279" s="20">
        <f t="shared" si="86"/>
        <v>0.23665850000000002</v>
      </c>
      <c r="M279" s="20"/>
      <c r="N279" s="5">
        <f>IF(0&lt;B279&lt;26.5,16*(((10*B279)/#REF!)^#REF!)/30,((-415.85)+(32.24*B279)-(0.43*B279^2))/30)</f>
        <v>4.7352566666666673</v>
      </c>
      <c r="O279" s="6">
        <f t="shared" si="87"/>
        <v>5.0312804691293822</v>
      </c>
      <c r="P279" s="20">
        <f t="shared" si="88"/>
        <v>0</v>
      </c>
      <c r="Q279" s="5">
        <f t="shared" si="76"/>
        <v>5.4808931433752752</v>
      </c>
      <c r="R279" s="5">
        <f t="shared" si="89"/>
        <v>2.7431816642283762</v>
      </c>
      <c r="S279" s="5">
        <f t="shared" si="77"/>
        <v>0.18952377042857141</v>
      </c>
      <c r="T279" s="5">
        <f t="shared" si="78"/>
        <v>3.1254508919817332</v>
      </c>
      <c r="U279" s="5">
        <f t="shared" si="79"/>
        <v>37.619598732461199</v>
      </c>
      <c r="AB279" s="14"/>
      <c r="AD279" s="5">
        <f t="shared" si="80"/>
        <v>5.0499999999999989</v>
      </c>
      <c r="AE279" s="5">
        <f t="shared" si="81"/>
        <v>12.60416666666665</v>
      </c>
      <c r="AF279" s="5">
        <f t="shared" si="82"/>
        <v>3.8877662493760701</v>
      </c>
      <c r="AG279" s="5">
        <f t="shared" si="83"/>
        <v>2.2972598861144444</v>
      </c>
      <c r="AH279" s="5">
        <f t="shared" si="90"/>
        <v>0.79525318163081282</v>
      </c>
      <c r="AI279" s="5">
        <f t="shared" si="84"/>
        <v>5.5487009796204037E-2</v>
      </c>
      <c r="AJ279" s="5">
        <f t="shared" si="91"/>
        <v>0.1002350364347169</v>
      </c>
      <c r="AK279" s="5">
        <f t="shared" si="92"/>
        <v>0.69501814519609595</v>
      </c>
      <c r="AL279" s="5">
        <f t="shared" si="85"/>
        <v>0.754</v>
      </c>
      <c r="AM279" s="5">
        <v>16.7</v>
      </c>
    </row>
    <row r="280" spans="1:39" x14ac:dyDescent="0.2">
      <c r="A280" s="23">
        <v>45566</v>
      </c>
      <c r="B280" s="20">
        <v>28.3</v>
      </c>
      <c r="C280" s="20">
        <v>74.7</v>
      </c>
      <c r="D280" s="20">
        <v>0.9</v>
      </c>
      <c r="E280" s="20">
        <v>32.6</v>
      </c>
      <c r="F280" s="20">
        <v>77.5416666666666</v>
      </c>
      <c r="G280" s="20">
        <v>2.9166666666666599</v>
      </c>
      <c r="H280" s="20">
        <v>23.4</v>
      </c>
      <c r="I280" s="20">
        <v>57</v>
      </c>
      <c r="J280" s="20">
        <v>0</v>
      </c>
      <c r="K280" s="20">
        <v>0.436754166666666</v>
      </c>
      <c r="L280" s="20">
        <f t="shared" si="86"/>
        <v>0.20090691666666638</v>
      </c>
      <c r="M280" s="20"/>
      <c r="N280" s="5">
        <f>IF(0&lt;B280&lt;26.5,16*(((10*B280)/#REF!)^#REF!)/30,((-415.85)+(32.24*B280)-(0.43*B280^2))/30)</f>
        <v>5.0719766666666679</v>
      </c>
      <c r="O280" s="6">
        <f t="shared" si="87"/>
        <v>5.0312804691293822</v>
      </c>
      <c r="P280" s="20">
        <f t="shared" si="88"/>
        <v>0</v>
      </c>
      <c r="Q280" s="5">
        <f t="shared" si="76"/>
        <v>5.3708020526630103</v>
      </c>
      <c r="R280" s="5">
        <f t="shared" si="89"/>
        <v>2.6880811808697809</v>
      </c>
      <c r="S280" s="5">
        <f t="shared" si="77"/>
        <v>0.16345337507142832</v>
      </c>
      <c r="T280" s="5">
        <f t="shared" si="78"/>
        <v>2.2624180368851579</v>
      </c>
      <c r="U280" s="5">
        <f t="shared" si="79"/>
        <v>37.62181521175777</v>
      </c>
      <c r="AB280" s="14"/>
      <c r="AD280" s="5">
        <f t="shared" si="80"/>
        <v>4.6000000000000014</v>
      </c>
      <c r="AE280" s="5">
        <f t="shared" si="81"/>
        <v>10.2708333333333</v>
      </c>
      <c r="AF280" s="5">
        <f t="shared" si="82"/>
        <v>3.8487705516817581</v>
      </c>
      <c r="AG280" s="5">
        <f t="shared" si="83"/>
        <v>2.3853262226321985</v>
      </c>
      <c r="AH280" s="5">
        <f t="shared" si="90"/>
        <v>0.73172216452477978</v>
      </c>
      <c r="AI280" s="5">
        <f t="shared" si="84"/>
        <v>5.1244401796760687E-2</v>
      </c>
      <c r="AJ280" s="5">
        <f t="shared" si="91"/>
        <v>7.5153963981399008E-2</v>
      </c>
      <c r="AK280" s="5">
        <f t="shared" si="92"/>
        <v>0.65656820054338083</v>
      </c>
      <c r="AL280" s="5">
        <f t="shared" si="85"/>
        <v>0.76600000000000001</v>
      </c>
      <c r="AM280" s="5">
        <v>16.7</v>
      </c>
    </row>
    <row r="281" spans="1:39" x14ac:dyDescent="0.2">
      <c r="A281" s="23">
        <v>45567</v>
      </c>
      <c r="B281" s="20">
        <v>30.5</v>
      </c>
      <c r="C281" s="20">
        <v>62.3</v>
      </c>
      <c r="D281" s="20">
        <v>1</v>
      </c>
      <c r="E281" s="20">
        <v>36.299999999999997</v>
      </c>
      <c r="F281" s="20">
        <v>66.5833333333333</v>
      </c>
      <c r="G281" s="20">
        <v>3.1416666666666599</v>
      </c>
      <c r="H281" s="20">
        <v>25.4</v>
      </c>
      <c r="I281" s="20">
        <v>37</v>
      </c>
      <c r="J281" s="20">
        <v>0</v>
      </c>
      <c r="K281" s="20">
        <v>0.88127500000000003</v>
      </c>
      <c r="L281" s="20">
        <f t="shared" si="86"/>
        <v>0.40538650000000004</v>
      </c>
      <c r="M281" s="20"/>
      <c r="N281" s="5">
        <f>IF(0&lt;B281&lt;26.5,16*(((10*B281)/#REF!)^#REF!)/30,((-415.85)+(32.24*B281)-(0.43*B281^2))/30)</f>
        <v>5.5820833333333342</v>
      </c>
      <c r="O281" s="6">
        <f t="shared" si="87"/>
        <v>5.0312804691293822</v>
      </c>
      <c r="P281" s="20">
        <f t="shared" si="88"/>
        <v>0</v>
      </c>
      <c r="Q281" s="5">
        <f t="shared" si="76"/>
        <v>6.1249801686354948</v>
      </c>
      <c r="R281" s="5">
        <f t="shared" si="89"/>
        <v>3.0655465911922986</v>
      </c>
      <c r="S281" s="5">
        <f t="shared" si="77"/>
        <v>0.33928583914285715</v>
      </c>
      <c r="T281" s="5">
        <f t="shared" si="78"/>
        <v>2.8229926868135218</v>
      </c>
      <c r="U281" s="5">
        <f t="shared" si="79"/>
        <v>37.631631048642575</v>
      </c>
      <c r="AB281" s="14"/>
      <c r="AD281" s="5">
        <f t="shared" si="80"/>
        <v>5.4499999999999993</v>
      </c>
      <c r="AE281" s="5">
        <f t="shared" si="81"/>
        <v>14.79166666666665</v>
      </c>
      <c r="AF281" s="5">
        <f t="shared" si="82"/>
        <v>4.6280887159221713</v>
      </c>
      <c r="AG281" s="5">
        <f t="shared" si="83"/>
        <v>2.6534130007609296</v>
      </c>
      <c r="AH281" s="5">
        <f t="shared" si="90"/>
        <v>0.98733785758062087</v>
      </c>
      <c r="AI281" s="5">
        <f t="shared" si="84"/>
        <v>6.86624453601892E-2</v>
      </c>
      <c r="AJ281" s="5">
        <f t="shared" si="91"/>
        <v>0.14604372476713334</v>
      </c>
      <c r="AK281" s="5">
        <f t="shared" si="92"/>
        <v>0.84129413281348753</v>
      </c>
      <c r="AL281" s="5">
        <f t="shared" si="85"/>
        <v>0.78800000000000003</v>
      </c>
      <c r="AM281" s="5">
        <v>16.7</v>
      </c>
    </row>
    <row r="282" spans="1:39" x14ac:dyDescent="0.2">
      <c r="A282" s="23">
        <v>45568</v>
      </c>
      <c r="B282" s="20">
        <v>30.6</v>
      </c>
      <c r="C282" s="20">
        <v>62.1</v>
      </c>
      <c r="D282" s="20">
        <v>1.3</v>
      </c>
      <c r="E282" s="20">
        <v>38.1</v>
      </c>
      <c r="F282" s="20">
        <v>65.2083333333333</v>
      </c>
      <c r="G282" s="20">
        <v>3.87083333333333</v>
      </c>
      <c r="H282" s="20">
        <v>26.5</v>
      </c>
      <c r="I282" s="20">
        <v>38</v>
      </c>
      <c r="J282" s="20">
        <v>0</v>
      </c>
      <c r="K282" s="20">
        <v>0.77583333333333304</v>
      </c>
      <c r="L282" s="20">
        <f t="shared" si="86"/>
        <v>0.35688333333333322</v>
      </c>
      <c r="M282" s="20"/>
      <c r="N282" s="5">
        <f>IF(0&lt;B282&lt;26.5,16*(((10*B282)/#REF!)^#REF!)/30,((-415.85)+(32.24*B282)-(0.43*B282^2))/30)</f>
        <v>5.6019733333333344</v>
      </c>
      <c r="O282" s="6">
        <f t="shared" si="87"/>
        <v>5.0312804691293822</v>
      </c>
      <c r="P282" s="20">
        <f t="shared" si="88"/>
        <v>0</v>
      </c>
      <c r="Q282" s="5">
        <f t="shared" si="76"/>
        <v>6.3316757094514555</v>
      </c>
      <c r="R282" s="5">
        <f t="shared" si="89"/>
        <v>3.1689975074593755</v>
      </c>
      <c r="S282" s="5">
        <f t="shared" si="77"/>
        <v>0.29907044999999982</v>
      </c>
      <c r="T282" s="5">
        <f t="shared" si="78"/>
        <v>3.5141906600717485</v>
      </c>
      <c r="U282" s="5">
        <f t="shared" si="79"/>
        <v>37.631789368592329</v>
      </c>
      <c r="AB282" s="14"/>
      <c r="AD282" s="5">
        <f t="shared" si="80"/>
        <v>5.8000000000000007</v>
      </c>
      <c r="AE282" s="5">
        <f t="shared" si="81"/>
        <v>13.60416666666665</v>
      </c>
      <c r="AF282" s="5">
        <f t="shared" si="82"/>
        <v>5.0544193134315512</v>
      </c>
      <c r="AG282" s="5">
        <f t="shared" si="83"/>
        <v>2.8117918743392765</v>
      </c>
      <c r="AH282" s="5">
        <f t="shared" si="90"/>
        <v>1.1213137195461373</v>
      </c>
      <c r="AI282" s="5">
        <f t="shared" si="84"/>
        <v>7.7755151565352135E-2</v>
      </c>
      <c r="AJ282" s="5">
        <f t="shared" si="91"/>
        <v>0.15254538726325559</v>
      </c>
      <c r="AK282" s="5">
        <f t="shared" si="92"/>
        <v>0.96876833228288173</v>
      </c>
      <c r="AL282" s="5">
        <f t="shared" si="85"/>
        <v>0.78899999999999992</v>
      </c>
      <c r="AM282" s="5">
        <v>16.7</v>
      </c>
    </row>
    <row r="283" spans="1:39" x14ac:dyDescent="0.2">
      <c r="A283" s="23">
        <v>45569</v>
      </c>
      <c r="B283" s="20">
        <v>29.6</v>
      </c>
      <c r="C283" s="20">
        <v>65.5</v>
      </c>
      <c r="D283" s="20">
        <v>1.5</v>
      </c>
      <c r="E283" s="20">
        <v>35.5</v>
      </c>
      <c r="F283" s="20">
        <v>69.4166666666666</v>
      </c>
      <c r="G283" s="20">
        <v>4.5208333333333304</v>
      </c>
      <c r="H283" s="20">
        <v>25</v>
      </c>
      <c r="I283" s="20">
        <v>40</v>
      </c>
      <c r="J283" s="20">
        <v>0</v>
      </c>
      <c r="K283" s="20">
        <v>0.88344999999999907</v>
      </c>
      <c r="L283" s="20">
        <f t="shared" si="86"/>
        <v>0.40638699999999961</v>
      </c>
      <c r="M283" s="20"/>
      <c r="N283" s="5">
        <f>IF(0&lt;B283&lt;26.5,16*(((10*B283)/#REF!)^#REF!)/30,((-415.85)+(32.24*B283)-(0.43*B283^2))/30)</f>
        <v>5.390173333333335</v>
      </c>
      <c r="O283" s="6">
        <f t="shared" si="87"/>
        <v>5.0312804691293822</v>
      </c>
      <c r="P283" s="20">
        <f t="shared" si="88"/>
        <v>0</v>
      </c>
      <c r="Q283" s="5">
        <f t="shared" si="76"/>
        <v>5.8995284303525484</v>
      </c>
      <c r="R283" s="5">
        <f t="shared" si="89"/>
        <v>2.9527082164150569</v>
      </c>
      <c r="S283" s="5">
        <f t="shared" si="77"/>
        <v>0.33623854585714247</v>
      </c>
      <c r="T283" s="5">
        <f t="shared" si="78"/>
        <v>3.340517039921282</v>
      </c>
      <c r="U283" s="5">
        <f t="shared" si="79"/>
        <v>37.629097929446502</v>
      </c>
      <c r="AB283" s="14"/>
      <c r="AD283" s="5">
        <f t="shared" si="80"/>
        <v>5.25</v>
      </c>
      <c r="AE283" s="5">
        <f t="shared" si="81"/>
        <v>14.7083333333333</v>
      </c>
      <c r="AF283" s="5">
        <f t="shared" si="82"/>
        <v>4.4488704508233914</v>
      </c>
      <c r="AG283" s="5">
        <f t="shared" si="83"/>
        <v>2.5977841382776066</v>
      </c>
      <c r="AH283" s="5">
        <f t="shared" si="90"/>
        <v>0.92554315627289241</v>
      </c>
      <c r="AI283" s="5">
        <f t="shared" si="84"/>
        <v>6.4471246942116686E-2</v>
      </c>
      <c r="AJ283" s="5">
        <f t="shared" si="91"/>
        <v>0.13613197256847095</v>
      </c>
      <c r="AK283" s="5">
        <f t="shared" si="92"/>
        <v>0.78941118370442143</v>
      </c>
      <c r="AL283" s="5">
        <f t="shared" si="85"/>
        <v>0.77900000000000003</v>
      </c>
      <c r="AM283" s="5">
        <v>16.7</v>
      </c>
    </row>
    <row r="284" spans="1:39" x14ac:dyDescent="0.2">
      <c r="A284" s="23">
        <v>45570</v>
      </c>
      <c r="B284" s="20">
        <v>30.9</v>
      </c>
      <c r="C284" s="20">
        <v>63</v>
      </c>
      <c r="D284" s="20">
        <v>1.1000000000000001</v>
      </c>
      <c r="E284" s="20">
        <v>36.299999999999997</v>
      </c>
      <c r="F284" s="20">
        <v>64.75</v>
      </c>
      <c r="G284" s="20">
        <v>3.4041666666666601</v>
      </c>
      <c r="H284" s="20">
        <v>26.7</v>
      </c>
      <c r="I284" s="20">
        <v>40</v>
      </c>
      <c r="J284" s="20">
        <v>0</v>
      </c>
      <c r="K284" s="20">
        <v>0.78093749999999995</v>
      </c>
      <c r="L284" s="20">
        <f t="shared" si="86"/>
        <v>0.35923125</v>
      </c>
      <c r="M284" s="20"/>
      <c r="N284" s="5">
        <f>IF(0&lt;B284&lt;26.5,16*(((10*B284)/#REF!)^#REF!)/30,((-415.85)+(32.24*B284)-(0.43*B284^2))/30)</f>
        <v>5.6599233333333343</v>
      </c>
      <c r="O284" s="6">
        <f t="shared" si="87"/>
        <v>5.0312804691293822</v>
      </c>
      <c r="P284" s="20">
        <f t="shared" si="88"/>
        <v>0</v>
      </c>
      <c r="Q284" s="5">
        <f t="shared" si="76"/>
        <v>5.7957398711721346</v>
      </c>
      <c r="R284" s="5">
        <f t="shared" si="89"/>
        <v>2.9007621439315017</v>
      </c>
      <c r="S284" s="5">
        <f t="shared" si="77"/>
        <v>0.30218264999999994</v>
      </c>
      <c r="T284" s="5">
        <f t="shared" si="78"/>
        <v>2.836921779358696</v>
      </c>
      <c r="U284" s="5">
        <f t="shared" si="79"/>
        <v>37.631076928818437</v>
      </c>
      <c r="AB284" s="14"/>
      <c r="AD284" s="5">
        <f t="shared" si="80"/>
        <v>4.7999999999999989</v>
      </c>
      <c r="AE284" s="5">
        <f t="shared" si="81"/>
        <v>12.375</v>
      </c>
      <c r="AF284" s="5">
        <f t="shared" si="82"/>
        <v>4.6280887159221713</v>
      </c>
      <c r="AG284" s="5">
        <f t="shared" si="83"/>
        <v>2.8414577983779647</v>
      </c>
      <c r="AH284" s="5">
        <f t="shared" si="90"/>
        <v>0.89331545877210328</v>
      </c>
      <c r="AI284" s="5">
        <f t="shared" si="84"/>
        <v>6.2457877948510883E-2</v>
      </c>
      <c r="AJ284" s="5">
        <f t="shared" si="91"/>
        <v>0.11054778802304778</v>
      </c>
      <c r="AK284" s="5">
        <f t="shared" si="92"/>
        <v>0.78276767074905551</v>
      </c>
      <c r="AL284" s="5">
        <f t="shared" si="85"/>
        <v>0.79200000000000004</v>
      </c>
      <c r="AM284" s="5">
        <v>16.7</v>
      </c>
    </row>
    <row r="285" spans="1:39" x14ac:dyDescent="0.2">
      <c r="A285" s="23">
        <v>45571</v>
      </c>
      <c r="B285" s="20">
        <v>28</v>
      </c>
      <c r="C285" s="20">
        <v>73.400000000000006</v>
      </c>
      <c r="D285" s="20">
        <v>1.1000000000000001</v>
      </c>
      <c r="E285" s="20">
        <v>35.200000000000003</v>
      </c>
      <c r="F285" s="20">
        <v>76.7083333333333</v>
      </c>
      <c r="G285" s="20">
        <v>4.5104166666666599</v>
      </c>
      <c r="H285" s="20">
        <v>24.9</v>
      </c>
      <c r="I285" s="20">
        <v>51</v>
      </c>
      <c r="J285" s="20">
        <v>0</v>
      </c>
      <c r="K285" s="20">
        <v>0.59540833333333298</v>
      </c>
      <c r="L285" s="20">
        <f t="shared" si="86"/>
        <v>0.27388783333333316</v>
      </c>
      <c r="M285" s="20"/>
      <c r="N285" s="5">
        <f>IF(0&lt;B285&lt;26.5,16*(((10*B285)/#REF!)^#REF!)/30,((-415.85)+(32.24*B285)-(0.43*B285^2))/30)</f>
        <v>4.9916666666666663</v>
      </c>
      <c r="O285" s="6">
        <f t="shared" si="87"/>
        <v>5.0312804691293822</v>
      </c>
      <c r="P285" s="20">
        <f t="shared" si="88"/>
        <v>0</v>
      </c>
      <c r="Q285" s="5">
        <f t="shared" si="76"/>
        <v>5.6458378056356882</v>
      </c>
      <c r="R285" s="5">
        <f t="shared" si="89"/>
        <v>2.8257363065629031</v>
      </c>
      <c r="S285" s="5">
        <f t="shared" si="77"/>
        <v>0.22195631849999983</v>
      </c>
      <c r="T285" s="5">
        <f t="shared" si="78"/>
        <v>3.3071560647689102</v>
      </c>
      <c r="U285" s="5">
        <f t="shared" si="79"/>
        <v>37.622844291431178</v>
      </c>
      <c r="AB285" s="14"/>
      <c r="AD285" s="5">
        <f t="shared" si="80"/>
        <v>5.1500000000000021</v>
      </c>
      <c r="AE285" s="5">
        <f t="shared" si="81"/>
        <v>12.85416666666665</v>
      </c>
      <c r="AF285" s="5">
        <f t="shared" si="82"/>
        <v>4.3832360259416134</v>
      </c>
      <c r="AG285" s="5">
        <f t="shared" si="83"/>
        <v>2.5840371643542337</v>
      </c>
      <c r="AH285" s="5">
        <f t="shared" si="90"/>
        <v>0.89959943079368987</v>
      </c>
      <c r="AI285" s="5">
        <f t="shared" si="84"/>
        <v>6.2715768612893727E-2</v>
      </c>
      <c r="AJ285" s="5">
        <f t="shared" si="91"/>
        <v>0.11563601016660539</v>
      </c>
      <c r="AK285" s="5">
        <f t="shared" si="92"/>
        <v>0.78396342062708446</v>
      </c>
      <c r="AL285" s="5">
        <f t="shared" si="85"/>
        <v>0.76300000000000001</v>
      </c>
      <c r="AM285" s="5">
        <v>16.7</v>
      </c>
    </row>
    <row r="286" spans="1:39" x14ac:dyDescent="0.2">
      <c r="A286" s="23">
        <v>45572</v>
      </c>
      <c r="B286" s="20">
        <v>27.6</v>
      </c>
      <c r="C286" s="20">
        <v>74.599999999999994</v>
      </c>
      <c r="D286" s="20">
        <v>1.4</v>
      </c>
      <c r="E286" s="20">
        <v>31.8</v>
      </c>
      <c r="F286" s="20">
        <v>78.25</v>
      </c>
      <c r="G286" s="20">
        <v>3.8291666666666599</v>
      </c>
      <c r="H286" s="20">
        <v>24.6</v>
      </c>
      <c r="I286" s="20">
        <v>55</v>
      </c>
      <c r="J286" s="20">
        <v>14.8</v>
      </c>
      <c r="K286" s="20">
        <v>0.63424583333333306</v>
      </c>
      <c r="L286" s="20">
        <f t="shared" si="86"/>
        <v>0.29175308333333322</v>
      </c>
      <c r="M286" s="20"/>
      <c r="N286" s="5">
        <f>IF(0&lt;B286&lt;26.5,16*(((10*B286)/#REF!)^#REF!)/30,((-415.85)+(32.24*B286)-(0.43*B286^2))/30)</f>
        <v>4.8805733333333325</v>
      </c>
      <c r="O286" s="6">
        <f t="shared" si="87"/>
        <v>5.0312804691293822</v>
      </c>
      <c r="P286" s="20">
        <f t="shared" si="88"/>
        <v>0</v>
      </c>
      <c r="Q286" s="5">
        <f t="shared" si="76"/>
        <v>4.6791439729389825</v>
      </c>
      <c r="R286" s="5">
        <f t="shared" si="89"/>
        <v>2.3419069876166851</v>
      </c>
      <c r="S286" s="5">
        <f t="shared" si="77"/>
        <v>0.23519466417857129</v>
      </c>
      <c r="T286" s="5">
        <f t="shared" si="78"/>
        <v>2.207058152740625</v>
      </c>
      <c r="U286" s="5">
        <f t="shared" si="79"/>
        <v>37.621894371732644</v>
      </c>
      <c r="AB286" s="14"/>
      <c r="AD286" s="5">
        <f t="shared" si="80"/>
        <v>3.5999999999999996</v>
      </c>
      <c r="AE286" s="5">
        <f t="shared" si="81"/>
        <v>11.625</v>
      </c>
      <c r="AF286" s="5">
        <f t="shared" si="82"/>
        <v>3.6961715910165558</v>
      </c>
      <c r="AG286" s="5">
        <f t="shared" si="83"/>
        <v>2.5431768268137356</v>
      </c>
      <c r="AH286" s="5">
        <f t="shared" si="90"/>
        <v>0.57649738210141011</v>
      </c>
      <c r="AI286" s="5">
        <f t="shared" si="84"/>
        <v>4.0709492989424063E-2</v>
      </c>
      <c r="AJ286" s="5">
        <f t="shared" si="91"/>
        <v>6.7017820669288922E-2</v>
      </c>
      <c r="AK286" s="5">
        <f t="shared" si="92"/>
        <v>0.50947956143212114</v>
      </c>
      <c r="AL286" s="5">
        <f t="shared" si="85"/>
        <v>0.75900000000000001</v>
      </c>
      <c r="AM286" s="5">
        <v>16.7</v>
      </c>
    </row>
    <row r="287" spans="1:39" x14ac:dyDescent="0.2">
      <c r="A287" s="23">
        <v>45573</v>
      </c>
      <c r="B287" s="20">
        <v>30.8</v>
      </c>
      <c r="C287" s="20">
        <v>66</v>
      </c>
      <c r="D287" s="20">
        <v>1.7</v>
      </c>
      <c r="E287" s="20">
        <v>36.1</v>
      </c>
      <c r="F287" s="20">
        <v>69.2916666666666</v>
      </c>
      <c r="G287" s="20">
        <v>4.2749999999999897</v>
      </c>
      <c r="H287" s="20">
        <v>24.8</v>
      </c>
      <c r="I287" s="20">
        <v>44</v>
      </c>
      <c r="J287" s="20">
        <v>1</v>
      </c>
      <c r="K287" s="20">
        <v>0.87775833333333297</v>
      </c>
      <c r="L287" s="20">
        <f t="shared" si="86"/>
        <v>0.40376883333333319</v>
      </c>
      <c r="M287" s="20"/>
      <c r="N287" s="5">
        <f>IF(0&lt;B287&lt;26.5,16*(((10*B287)/#REF!)^#REF!)/30,((-415.85)+(32.24*B287)-(0.43*B287^2))/30)</f>
        <v>5.6408933333333344</v>
      </c>
      <c r="O287" s="6">
        <f t="shared" si="87"/>
        <v>5.0312804691293822</v>
      </c>
      <c r="P287" s="20">
        <f t="shared" si="88"/>
        <v>0</v>
      </c>
      <c r="Q287" s="5">
        <f t="shared" si="76"/>
        <v>6.2750876756869935</v>
      </c>
      <c r="R287" s="5">
        <f t="shared" si="89"/>
        <v>3.1406752518384944</v>
      </c>
      <c r="S287" s="5">
        <f t="shared" si="77"/>
        <v>0.33921848549999978</v>
      </c>
      <c r="T287" s="5">
        <f t="shared" si="78"/>
        <v>3.512655468869271</v>
      </c>
      <c r="U287" s="5">
        <f t="shared" si="79"/>
        <v>37.628702129572112</v>
      </c>
      <c r="AB287" s="14"/>
      <c r="AD287" s="5">
        <f t="shared" si="80"/>
        <v>5.65</v>
      </c>
      <c r="AE287" s="5">
        <f t="shared" si="81"/>
        <v>12.6458333333333</v>
      </c>
      <c r="AF287" s="5">
        <f t="shared" si="82"/>
        <v>4.5827061634087478</v>
      </c>
      <c r="AG287" s="5">
        <f t="shared" si="83"/>
        <v>2.57035378685043</v>
      </c>
      <c r="AH287" s="5">
        <f t="shared" si="90"/>
        <v>1.0061761882791589</v>
      </c>
      <c r="AI287" s="5">
        <f t="shared" si="84"/>
        <v>6.9857362170829967E-2</v>
      </c>
      <c r="AJ287" s="5">
        <f t="shared" si="91"/>
        <v>0.12723936380946829</v>
      </c>
      <c r="AK287" s="5">
        <f t="shared" si="92"/>
        <v>0.87893682446969057</v>
      </c>
      <c r="AL287" s="5">
        <f t="shared" si="85"/>
        <v>0.79099999999999993</v>
      </c>
      <c r="AM287" s="5">
        <v>16.7</v>
      </c>
    </row>
    <row r="288" spans="1:39" x14ac:dyDescent="0.2">
      <c r="A288" s="23">
        <v>45574</v>
      </c>
      <c r="B288" s="20">
        <v>32.299999999999997</v>
      </c>
      <c r="C288" s="20">
        <v>54.7</v>
      </c>
      <c r="D288" s="20">
        <v>2.2000000000000002</v>
      </c>
      <c r="E288" s="20">
        <v>37.299999999999997</v>
      </c>
      <c r="F288" s="20">
        <v>57.5625</v>
      </c>
      <c r="G288" s="20">
        <v>5.3187499999999996</v>
      </c>
      <c r="H288" s="20">
        <v>28.3</v>
      </c>
      <c r="I288" s="20">
        <v>36</v>
      </c>
      <c r="J288" s="20">
        <v>0</v>
      </c>
      <c r="K288" s="20">
        <v>0.89324166666666605</v>
      </c>
      <c r="L288" s="20">
        <f t="shared" si="86"/>
        <v>0.41089116666666642</v>
      </c>
      <c r="M288" s="20"/>
      <c r="N288" s="5">
        <f>IF(0&lt;B288&lt;26.5,16*(((10*B288)/#REF!)^#REF!)/30,((-415.85)+(32.24*B288)-(0.43*B288^2))/30)</f>
        <v>5.8962433333333326</v>
      </c>
      <c r="O288" s="6">
        <f t="shared" si="87"/>
        <v>5.0312804691293822</v>
      </c>
      <c r="P288" s="20">
        <f t="shared" si="88"/>
        <v>0</v>
      </c>
      <c r="Q288" s="5">
        <f t="shared" si="76"/>
        <v>5.7730229999999976</v>
      </c>
      <c r="R288" s="5">
        <f t="shared" si="89"/>
        <v>2.8893923721009078</v>
      </c>
      <c r="S288" s="5">
        <f t="shared" si="77"/>
        <v>0.35174835985714259</v>
      </c>
      <c r="T288" s="5">
        <f t="shared" si="78"/>
        <v>3.684076405114832</v>
      </c>
      <c r="U288" s="5">
        <f t="shared" si="79"/>
        <v>37.63764720673327</v>
      </c>
      <c r="AB288" s="14"/>
      <c r="AD288" s="5">
        <f t="shared" si="80"/>
        <v>4.4999999999999982</v>
      </c>
      <c r="AE288" s="5">
        <f t="shared" si="81"/>
        <v>10.78125</v>
      </c>
      <c r="AF288" s="5">
        <f t="shared" si="82"/>
        <v>4.8609070992189674</v>
      </c>
      <c r="AG288" s="5">
        <f t="shared" si="83"/>
        <v>3.0887865293097794</v>
      </c>
      <c r="AH288" s="5">
        <f t="shared" si="90"/>
        <v>0.88606028495459399</v>
      </c>
      <c r="AI288" s="5">
        <f t="shared" si="84"/>
        <v>6.2104437420749219E-2</v>
      </c>
      <c r="AJ288" s="5">
        <f t="shared" si="91"/>
        <v>9.5528374471667163E-2</v>
      </c>
      <c r="AK288" s="5">
        <f t="shared" si="92"/>
        <v>0.79053191048292681</v>
      </c>
      <c r="AL288" s="5">
        <f t="shared" si="85"/>
        <v>0.80599999999999994</v>
      </c>
      <c r="AM288" s="5">
        <v>16.7</v>
      </c>
    </row>
    <row r="289" spans="1:39" x14ac:dyDescent="0.2">
      <c r="A289" s="23">
        <v>45575</v>
      </c>
      <c r="B289" s="20">
        <v>32.5</v>
      </c>
      <c r="C289" s="20">
        <v>52</v>
      </c>
      <c r="D289" s="20">
        <v>1.5</v>
      </c>
      <c r="E289" s="20">
        <v>37.9</v>
      </c>
      <c r="F289" s="20">
        <v>54.5833333333333</v>
      </c>
      <c r="G289" s="20">
        <v>3.9041666666666601</v>
      </c>
      <c r="H289" s="20">
        <v>28.1</v>
      </c>
      <c r="I289" s="20">
        <v>38</v>
      </c>
      <c r="J289" s="20">
        <v>0</v>
      </c>
      <c r="K289" s="20">
        <v>0.67664999999999997</v>
      </c>
      <c r="L289" s="20">
        <f t="shared" si="86"/>
        <v>0.31125900000000001</v>
      </c>
      <c r="M289" s="20"/>
      <c r="N289" s="5">
        <f>IF(0&lt;B289&lt;26.5,16*(((10*B289)/#REF!)^#REF!)/30,((-415.85)+(32.24*B289)-(0.43*B289^2))/30)</f>
        <v>5.9254166666666643</v>
      </c>
      <c r="O289" s="6">
        <f t="shared" si="87"/>
        <v>5.0312804691293822</v>
      </c>
      <c r="P289" s="20">
        <f t="shared" si="88"/>
        <v>0</v>
      </c>
      <c r="Q289" s="5">
        <f t="shared" si="76"/>
        <v>6.0481886669303044</v>
      </c>
      <c r="R289" s="5">
        <f t="shared" si="89"/>
        <v>3.0271125196029161</v>
      </c>
      <c r="S289" s="5">
        <f t="shared" si="77"/>
        <v>0.26711822057142853</v>
      </c>
      <c r="T289" s="5">
        <f t="shared" si="78"/>
        <v>3.3982893340977691</v>
      </c>
      <c r="U289" s="5">
        <f t="shared" si="79"/>
        <v>37.639784526054953</v>
      </c>
      <c r="AB289" s="14"/>
      <c r="AD289" s="5">
        <f t="shared" si="80"/>
        <v>4.8999999999999986</v>
      </c>
      <c r="AE289" s="5">
        <f t="shared" si="81"/>
        <v>8.2916666666666501</v>
      </c>
      <c r="AF289" s="5">
        <f t="shared" si="82"/>
        <v>5.0054249397297497</v>
      </c>
      <c r="AG289" s="5">
        <f t="shared" si="83"/>
        <v>3.056877988425549</v>
      </c>
      <c r="AH289" s="5">
        <f t="shared" si="90"/>
        <v>0.97427347565210032</v>
      </c>
      <c r="AI289" s="5">
        <f t="shared" si="84"/>
        <v>6.8061976323937845E-2</v>
      </c>
      <c r="AJ289" s="5">
        <f t="shared" si="91"/>
        <v>8.0783509022819833E-2</v>
      </c>
      <c r="AK289" s="5">
        <f t="shared" si="92"/>
        <v>0.89348996662928049</v>
      </c>
      <c r="AL289" s="5">
        <f t="shared" si="85"/>
        <v>0.80800000000000005</v>
      </c>
      <c r="AM289" s="5">
        <v>16.7</v>
      </c>
    </row>
    <row r="290" spans="1:39" x14ac:dyDescent="0.2">
      <c r="A290" s="23">
        <v>45576</v>
      </c>
      <c r="B290" s="20">
        <v>33.1</v>
      </c>
      <c r="C290" s="20">
        <v>48.9</v>
      </c>
      <c r="D290" s="20">
        <v>1.3</v>
      </c>
      <c r="E290" s="20">
        <v>37.6</v>
      </c>
      <c r="F290" s="20">
        <v>52.9583333333333</v>
      </c>
      <c r="G290" s="20">
        <v>3.6749999999999998</v>
      </c>
      <c r="H290" s="20">
        <v>27.9</v>
      </c>
      <c r="I290" s="20">
        <v>34</v>
      </c>
      <c r="J290" s="20">
        <v>0</v>
      </c>
      <c r="K290" s="20">
        <v>0.73584166666666606</v>
      </c>
      <c r="L290" s="20">
        <f t="shared" si="86"/>
        <v>0.33848716666666639</v>
      </c>
      <c r="M290" s="20"/>
      <c r="N290" s="5">
        <f>IF(0&lt;B290&lt;26.5,16*(((10*B290)/#REF!)^#REF!)/30,((-415.85)+(32.24*B290)-(0.43*B290^2))/30)</f>
        <v>6.0060566666666642</v>
      </c>
      <c r="O290" s="6">
        <f t="shared" si="87"/>
        <v>5.0312804691293822</v>
      </c>
      <c r="P290" s="20">
        <f t="shared" si="88"/>
        <v>0</v>
      </c>
      <c r="Q290" s="5">
        <f t="shared" si="76"/>
        <v>6.089027796716131</v>
      </c>
      <c r="R290" s="5">
        <f t="shared" si="89"/>
        <v>3.0475524641668659</v>
      </c>
      <c r="S290" s="5">
        <f t="shared" si="77"/>
        <v>0.29264212842857124</v>
      </c>
      <c r="T290" s="5">
        <f t="shared" si="78"/>
        <v>3.1983760282391587</v>
      </c>
      <c r="U290" s="5">
        <f t="shared" si="79"/>
        <v>37.642238485276167</v>
      </c>
      <c r="AB290" s="14"/>
      <c r="AD290" s="5">
        <f t="shared" si="80"/>
        <v>4.8500000000000014</v>
      </c>
      <c r="AE290" s="5">
        <f t="shared" si="81"/>
        <v>9.4791666666666501</v>
      </c>
      <c r="AF290" s="5">
        <f t="shared" si="82"/>
        <v>4.9327065056589294</v>
      </c>
      <c r="AG290" s="5">
        <f t="shared" si="83"/>
        <v>3.0252573571721371</v>
      </c>
      <c r="AH290" s="5">
        <f t="shared" si="90"/>
        <v>0.95372457424339618</v>
      </c>
      <c r="AI290" s="5">
        <f t="shared" si="84"/>
        <v>6.6653963659817503E-2</v>
      </c>
      <c r="AJ290" s="5">
        <f t="shared" si="91"/>
        <v>9.0405141933488448E-2</v>
      </c>
      <c r="AK290" s="5">
        <f t="shared" si="92"/>
        <v>0.86331943230990771</v>
      </c>
      <c r="AL290" s="5">
        <f t="shared" si="85"/>
        <v>0.81400000000000006</v>
      </c>
      <c r="AM290" s="5">
        <v>16.7</v>
      </c>
    </row>
    <row r="291" spans="1:39" x14ac:dyDescent="0.2">
      <c r="A291" s="23">
        <v>45577</v>
      </c>
      <c r="B291" s="20">
        <v>32.5</v>
      </c>
      <c r="C291" s="20">
        <v>54.8</v>
      </c>
      <c r="D291" s="20">
        <v>1.2</v>
      </c>
      <c r="E291" s="20">
        <v>37.5</v>
      </c>
      <c r="F291" s="20">
        <v>56.9166666666666</v>
      </c>
      <c r="G291" s="20">
        <v>3.5333333333333301</v>
      </c>
      <c r="H291" s="20">
        <v>27.7</v>
      </c>
      <c r="I291" s="20">
        <v>38</v>
      </c>
      <c r="J291" s="20">
        <v>0</v>
      </c>
      <c r="K291" s="20">
        <v>0.88931666666666609</v>
      </c>
      <c r="L291" s="20">
        <f t="shared" si="86"/>
        <v>0.4090856666666664</v>
      </c>
      <c r="M291" s="20"/>
      <c r="N291" s="5">
        <f>IF(0&lt;B291&lt;26.5,16*(((10*B291)/#REF!)^#REF!)/30,((-415.85)+(32.24*B291)-(0.43*B291^2))/30)</f>
        <v>5.9254166666666643</v>
      </c>
      <c r="O291" s="6">
        <f t="shared" si="87"/>
        <v>5.0312804691293822</v>
      </c>
      <c r="P291" s="20">
        <f t="shared" si="88"/>
        <v>0</v>
      </c>
      <c r="Q291" s="5">
        <f t="shared" si="76"/>
        <v>6.0481886669303053</v>
      </c>
      <c r="R291" s="5">
        <f t="shared" si="89"/>
        <v>3.0271125196029165</v>
      </c>
      <c r="S291" s="5">
        <f t="shared" si="77"/>
        <v>0.35107172914285689</v>
      </c>
      <c r="T291" s="5">
        <f t="shared" si="78"/>
        <v>3.1520500268305311</v>
      </c>
      <c r="U291" s="5">
        <f t="shared" si="79"/>
        <v>37.637568046758389</v>
      </c>
      <c r="AB291" s="14"/>
      <c r="AD291" s="5">
        <f t="shared" si="80"/>
        <v>4.9000000000000004</v>
      </c>
      <c r="AE291" s="5">
        <f t="shared" si="81"/>
        <v>9.4583333333333002</v>
      </c>
      <c r="AF291" s="5">
        <f t="shared" si="82"/>
        <v>4.9086717386569525</v>
      </c>
      <c r="AG291" s="5">
        <f t="shared" si="83"/>
        <v>2.9939224426909505</v>
      </c>
      <c r="AH291" s="5">
        <f t="shared" si="90"/>
        <v>0.95737464798300098</v>
      </c>
      <c r="AI291" s="5">
        <f t="shared" si="84"/>
        <v>6.6881437555860734E-2</v>
      </c>
      <c r="AJ291" s="5">
        <f t="shared" si="91"/>
        <v>9.0551685455058525E-2</v>
      </c>
      <c r="AK291" s="5">
        <f t="shared" si="92"/>
        <v>0.86682296252794244</v>
      </c>
      <c r="AL291" s="5">
        <f t="shared" si="85"/>
        <v>0.80800000000000005</v>
      </c>
      <c r="AM291" s="5">
        <v>16.7</v>
      </c>
    </row>
    <row r="292" spans="1:39" x14ac:dyDescent="0.2">
      <c r="A292" s="23">
        <v>45578</v>
      </c>
      <c r="B292" s="20">
        <v>29.5</v>
      </c>
      <c r="C292" s="20">
        <v>68.8</v>
      </c>
      <c r="D292" s="20">
        <v>1.4</v>
      </c>
      <c r="E292" s="20">
        <v>34.700000000000003</v>
      </c>
      <c r="F292" s="20">
        <v>71.4166666666666</v>
      </c>
      <c r="G292" s="20">
        <v>4.9749999999999996</v>
      </c>
      <c r="H292" s="20">
        <v>23.2</v>
      </c>
      <c r="I292" s="20">
        <v>51</v>
      </c>
      <c r="J292" s="20">
        <v>13.4</v>
      </c>
      <c r="K292" s="20">
        <v>0.67782916666666593</v>
      </c>
      <c r="L292" s="20">
        <f t="shared" si="86"/>
        <v>0.31180141666666633</v>
      </c>
      <c r="M292" s="20"/>
      <c r="N292" s="5">
        <f>IF(0&lt;B292&lt;26.5,16*(((10*B292)/#REF!)^#REF!)/30,((-415.85)+(32.24*B292)-(0.43*B292^2))/30)</f>
        <v>5.3674166666666681</v>
      </c>
      <c r="O292" s="6">
        <f t="shared" si="87"/>
        <v>5.0312804691293822</v>
      </c>
      <c r="P292" s="20">
        <f t="shared" si="88"/>
        <v>0</v>
      </c>
      <c r="Q292" s="5">
        <f t="shared" si="76"/>
        <v>6.1610448185160536</v>
      </c>
      <c r="R292" s="5">
        <f t="shared" si="89"/>
        <v>3.0835969132276304</v>
      </c>
      <c r="S292" s="5">
        <f t="shared" si="77"/>
        <v>0.25764867621428544</v>
      </c>
      <c r="T292" s="5">
        <f t="shared" si="78"/>
        <v>3.7619203723248908</v>
      </c>
      <c r="U292" s="5">
        <f t="shared" si="79"/>
        <v>37.626485650275541</v>
      </c>
      <c r="AB292" s="14"/>
      <c r="AD292" s="5">
        <f t="shared" si="80"/>
        <v>5.7500000000000018</v>
      </c>
      <c r="AE292" s="5">
        <f t="shared" si="81"/>
        <v>10.2083333333333</v>
      </c>
      <c r="AF292" s="5">
        <f t="shared" si="82"/>
        <v>4.2757149343567242</v>
      </c>
      <c r="AG292" s="5">
        <f t="shared" si="83"/>
        <v>2.3598682282237085</v>
      </c>
      <c r="AH292" s="5">
        <f t="shared" si="90"/>
        <v>0.95792335306650789</v>
      </c>
      <c r="AI292" s="5">
        <f t="shared" si="84"/>
        <v>6.6452521439216108E-2</v>
      </c>
      <c r="AJ292" s="5">
        <f t="shared" si="91"/>
        <v>9.7788008958872366E-2</v>
      </c>
      <c r="AK292" s="5">
        <f t="shared" si="92"/>
        <v>0.86013534410763548</v>
      </c>
      <c r="AL292" s="5">
        <f t="shared" si="85"/>
        <v>0.77800000000000002</v>
      </c>
      <c r="AM292" s="5">
        <v>16.7</v>
      </c>
    </row>
    <row r="293" spans="1:39" x14ac:dyDescent="0.2">
      <c r="A293" s="23">
        <v>45579</v>
      </c>
      <c r="B293" s="20">
        <v>30.4</v>
      </c>
      <c r="C293" s="20">
        <v>68</v>
      </c>
      <c r="D293" s="20">
        <v>1.1000000000000001</v>
      </c>
      <c r="E293" s="20">
        <v>35.4</v>
      </c>
      <c r="F293" s="20">
        <v>71.2083333333333</v>
      </c>
      <c r="G293" s="20">
        <v>3.4624999999999999</v>
      </c>
      <c r="H293" s="20">
        <v>26.7</v>
      </c>
      <c r="I293" s="20">
        <v>43</v>
      </c>
      <c r="J293" s="20">
        <v>0</v>
      </c>
      <c r="K293" s="20">
        <v>0.74687916666666598</v>
      </c>
      <c r="L293" s="20">
        <f t="shared" si="86"/>
        <v>0.34356441666666637</v>
      </c>
      <c r="M293" s="20"/>
      <c r="N293" s="5">
        <f>IF(0&lt;B293&lt;26.5,16*(((10*B293)/#REF!)^#REF!)/30,((-415.85)+(32.24*B293)-(0.43*B293^2))/30)</f>
        <v>5.5619066666666663</v>
      </c>
      <c r="O293" s="6">
        <f t="shared" si="87"/>
        <v>5.0312804691293822</v>
      </c>
      <c r="P293" s="20">
        <f t="shared" si="88"/>
        <v>0</v>
      </c>
      <c r="Q293" s="5">
        <f t="shared" si="76"/>
        <v>5.4607333682283734</v>
      </c>
      <c r="R293" s="5">
        <f t="shared" si="89"/>
        <v>2.7330917164605038</v>
      </c>
      <c r="S293" s="5">
        <f t="shared" si="77"/>
        <v>0.28717930746428538</v>
      </c>
      <c r="T293" s="5">
        <f t="shared" si="78"/>
        <v>2.5834985421574954</v>
      </c>
      <c r="U293" s="5">
        <f t="shared" si="79"/>
        <v>37.627118930074559</v>
      </c>
      <c r="AB293" s="14"/>
      <c r="AD293" s="5">
        <f t="shared" si="80"/>
        <v>4.3499999999999996</v>
      </c>
      <c r="AE293" s="5">
        <f t="shared" si="81"/>
        <v>14.10416666666665</v>
      </c>
      <c r="AF293" s="5">
        <f t="shared" si="82"/>
        <v>4.4268980382259473</v>
      </c>
      <c r="AG293" s="5">
        <f t="shared" si="83"/>
        <v>2.8414577983779647</v>
      </c>
      <c r="AH293" s="5">
        <f t="shared" si="90"/>
        <v>0.79272011992399127</v>
      </c>
      <c r="AI293" s="5">
        <f t="shared" si="84"/>
        <v>5.5631175427685545E-2</v>
      </c>
      <c r="AJ293" s="5">
        <f t="shared" si="91"/>
        <v>0.11180656691427947</v>
      </c>
      <c r="AK293" s="5">
        <f t="shared" si="92"/>
        <v>0.68091355300971179</v>
      </c>
      <c r="AL293" s="5">
        <f t="shared" si="85"/>
        <v>0.78699999999999992</v>
      </c>
      <c r="AM293" s="5">
        <v>16.7</v>
      </c>
    </row>
    <row r="294" spans="1:39" x14ac:dyDescent="0.2">
      <c r="A294" s="23">
        <v>45580</v>
      </c>
      <c r="B294" s="20">
        <v>29.9</v>
      </c>
      <c r="C294" s="20">
        <v>68.599999999999994</v>
      </c>
      <c r="D294" s="20">
        <v>1.1000000000000001</v>
      </c>
      <c r="E294" s="20">
        <v>36.799999999999997</v>
      </c>
      <c r="F294" s="20">
        <v>72.125</v>
      </c>
      <c r="G294" s="20">
        <v>3.6958333333333302</v>
      </c>
      <c r="H294" s="20">
        <v>26.2</v>
      </c>
      <c r="I294" s="20">
        <v>43</v>
      </c>
      <c r="J294" s="20">
        <v>0</v>
      </c>
      <c r="K294" s="20">
        <v>0.72438333333333293</v>
      </c>
      <c r="L294" s="20">
        <f t="shared" si="86"/>
        <v>0.33321633333333317</v>
      </c>
      <c r="M294" s="20"/>
      <c r="N294" s="5">
        <f>IF(0&lt;B294&lt;26.5,16*(((10*B294)/#REF!)^#REF!)/30,((-415.85)+(32.24*B294)-(0.43*B294^2))/30)</f>
        <v>5.4567233333333336</v>
      </c>
      <c r="O294" s="6">
        <f t="shared" si="87"/>
        <v>5.0312804691293822</v>
      </c>
      <c r="P294" s="20">
        <f t="shared" si="88"/>
        <v>0</v>
      </c>
      <c r="Q294" s="5">
        <f t="shared" si="76"/>
        <v>5.9650710213776499</v>
      </c>
      <c r="R294" s="5">
        <f t="shared" si="89"/>
        <v>2.9855122191975951</v>
      </c>
      <c r="S294" s="5">
        <f t="shared" si="77"/>
        <v>0.27675996599999986</v>
      </c>
      <c r="T294" s="5">
        <f t="shared" si="78"/>
        <v>3.1039299530789464</v>
      </c>
      <c r="U294" s="5">
        <f t="shared" si="79"/>
        <v>37.626643970225295</v>
      </c>
      <c r="AB294" s="14"/>
      <c r="AD294" s="5">
        <f t="shared" si="80"/>
        <v>5.2999999999999989</v>
      </c>
      <c r="AE294" s="5">
        <f t="shared" si="81"/>
        <v>14.5625</v>
      </c>
      <c r="AF294" s="5">
        <f t="shared" si="82"/>
        <v>4.7432572878980013</v>
      </c>
      <c r="AG294" s="5">
        <f t="shared" si="83"/>
        <v>2.7677999643057292</v>
      </c>
      <c r="AH294" s="5">
        <f t="shared" si="90"/>
        <v>0.98772866179613605</v>
      </c>
      <c r="AI294" s="5">
        <f t="shared" si="84"/>
        <v>6.8774591146757963E-2</v>
      </c>
      <c r="AJ294" s="5">
        <f t="shared" si="91"/>
        <v>0.14383798637406231</v>
      </c>
      <c r="AK294" s="5">
        <f t="shared" si="92"/>
        <v>0.84389067542207374</v>
      </c>
      <c r="AL294" s="5">
        <f t="shared" si="85"/>
        <v>0.78200000000000003</v>
      </c>
      <c r="AM294" s="5">
        <v>16.7</v>
      </c>
    </row>
    <row r="295" spans="1:39" x14ac:dyDescent="0.2">
      <c r="A295" s="23">
        <v>45581</v>
      </c>
      <c r="B295" s="20">
        <v>27.9</v>
      </c>
      <c r="C295" s="20">
        <v>76.900000000000006</v>
      </c>
      <c r="D295" s="20">
        <v>1</v>
      </c>
      <c r="E295" s="20">
        <v>30.9</v>
      </c>
      <c r="F295" s="20">
        <v>78.5833333333333</v>
      </c>
      <c r="G295" s="20">
        <v>3.65</v>
      </c>
      <c r="H295" s="20">
        <v>25.4</v>
      </c>
      <c r="I295" s="20">
        <v>63</v>
      </c>
      <c r="J295" s="20">
        <v>0.2</v>
      </c>
      <c r="K295" s="20">
        <v>0.4382625</v>
      </c>
      <c r="L295" s="20">
        <f t="shared" si="86"/>
        <v>0.20160075</v>
      </c>
      <c r="M295" s="20"/>
      <c r="N295" s="5">
        <f>IF(0&lt;B295&lt;26.5,16*(((10*B295)/#REF!)^#REF!)/30,((-415.85)+(32.24*B295)-(0.43*B295^2))/30)</f>
        <v>4.9643233333333319</v>
      </c>
      <c r="O295" s="6">
        <f t="shared" si="87"/>
        <v>5.0312804691293822</v>
      </c>
      <c r="P295" s="20">
        <f t="shared" si="88"/>
        <v>0</v>
      </c>
      <c r="Q295" s="5">
        <f t="shared" si="76"/>
        <v>4.1166301643005898</v>
      </c>
      <c r="R295" s="5">
        <f t="shared" si="89"/>
        <v>2.0603693758868857</v>
      </c>
      <c r="S295" s="5">
        <f t="shared" si="77"/>
        <v>0.16316137221428567</v>
      </c>
      <c r="T295" s="5">
        <f t="shared" si="78"/>
        <v>1.7919488923130336</v>
      </c>
      <c r="U295" s="5">
        <f t="shared" si="79"/>
        <v>37.620073692310463</v>
      </c>
      <c r="AB295" s="14"/>
      <c r="AD295" s="5">
        <f t="shared" si="80"/>
        <v>2.75</v>
      </c>
      <c r="AE295" s="5">
        <f t="shared" si="81"/>
        <v>7.7916666666666501</v>
      </c>
      <c r="AF295" s="5">
        <f t="shared" si="82"/>
        <v>3.5308196083479828</v>
      </c>
      <c r="AG295" s="5">
        <f t="shared" si="83"/>
        <v>2.6534130007609296</v>
      </c>
      <c r="AH295" s="5">
        <f t="shared" si="90"/>
        <v>0.43870330379352662</v>
      </c>
      <c r="AI295" s="5">
        <f t="shared" si="84"/>
        <v>3.1198911234010029E-2</v>
      </c>
      <c r="AJ295" s="5">
        <f t="shared" si="91"/>
        <v>3.4182299087245543E-2</v>
      </c>
      <c r="AK295" s="5">
        <f t="shared" si="92"/>
        <v>0.40452100470628105</v>
      </c>
      <c r="AL295" s="5">
        <f t="shared" si="85"/>
        <v>0.76200000000000001</v>
      </c>
      <c r="AM295" s="5">
        <v>16.7</v>
      </c>
    </row>
    <row r="296" spans="1:39" x14ac:dyDescent="0.2">
      <c r="A296" s="23">
        <v>45582</v>
      </c>
      <c r="B296" s="20">
        <v>28.9</v>
      </c>
      <c r="C296" s="20">
        <v>73.599999999999994</v>
      </c>
      <c r="D296" s="20">
        <v>1</v>
      </c>
      <c r="E296" s="20">
        <v>33.200000000000003</v>
      </c>
      <c r="F296" s="20">
        <v>77.5833333333333</v>
      </c>
      <c r="G296" s="20">
        <v>2.8541666666666599</v>
      </c>
      <c r="H296" s="20">
        <v>25.2</v>
      </c>
      <c r="I296" s="20">
        <v>52</v>
      </c>
      <c r="J296" s="20">
        <v>0.2</v>
      </c>
      <c r="K296" s="20">
        <v>0.55267499999999992</v>
      </c>
      <c r="L296" s="20">
        <f t="shared" si="86"/>
        <v>0.25423049999999997</v>
      </c>
      <c r="M296" s="20"/>
      <c r="N296" s="5">
        <f>IF(0&lt;B296&lt;26.5,16*(((10*B296)/#REF!)^#REF!)/30,((-415.85)+(32.24*B296)-(0.43*B296^2))/30)</f>
        <v>5.2248566666666667</v>
      </c>
      <c r="O296" s="6">
        <f t="shared" si="87"/>
        <v>5.0312804691293822</v>
      </c>
      <c r="P296" s="20">
        <f t="shared" si="88"/>
        <v>0</v>
      </c>
      <c r="Q296" s="5">
        <f t="shared" si="76"/>
        <v>5.0734826697321047</v>
      </c>
      <c r="R296" s="5">
        <f t="shared" si="89"/>
        <v>2.5392731201504133</v>
      </c>
      <c r="S296" s="5">
        <f t="shared" si="77"/>
        <v>0.20845637742857137</v>
      </c>
      <c r="T296" s="5">
        <f t="shared" si="78"/>
        <v>2.0533077107476183</v>
      </c>
      <c r="U296" s="5">
        <f t="shared" si="79"/>
        <v>37.622685971481417</v>
      </c>
      <c r="AB296" s="14"/>
      <c r="AD296" s="5">
        <f t="shared" si="80"/>
        <v>4.0000000000000018</v>
      </c>
      <c r="AE296" s="5">
        <f t="shared" si="81"/>
        <v>12.79166666666665</v>
      </c>
      <c r="AF296" s="5">
        <f t="shared" si="82"/>
        <v>3.9667903920272027</v>
      </c>
      <c r="AG296" s="5">
        <f t="shared" si="83"/>
        <v>2.625469874340034</v>
      </c>
      <c r="AH296" s="5">
        <f t="shared" si="90"/>
        <v>0.67066025884358438</v>
      </c>
      <c r="AI296" s="5">
        <f t="shared" si="84"/>
        <v>4.7201943690852073E-2</v>
      </c>
      <c r="AJ296" s="5">
        <f t="shared" si="91"/>
        <v>8.5788624777075065E-2</v>
      </c>
      <c r="AK296" s="5">
        <f t="shared" si="92"/>
        <v>0.58487163406650933</v>
      </c>
      <c r="AL296" s="5">
        <f t="shared" si="85"/>
        <v>0.77200000000000002</v>
      </c>
      <c r="AM296" s="5">
        <v>16.7</v>
      </c>
    </row>
    <row r="297" spans="1:39" x14ac:dyDescent="0.2">
      <c r="A297" s="23">
        <v>45583</v>
      </c>
      <c r="B297" s="20">
        <v>30.7</v>
      </c>
      <c r="C297" s="20">
        <v>63.3</v>
      </c>
      <c r="D297" s="20">
        <v>1.6</v>
      </c>
      <c r="E297" s="20">
        <v>36.4</v>
      </c>
      <c r="F297" s="20">
        <v>66.2083333333333</v>
      </c>
      <c r="G297" s="20">
        <v>4.6124999999999998</v>
      </c>
      <c r="H297" s="20">
        <v>26.2</v>
      </c>
      <c r="I297" s="20">
        <v>43</v>
      </c>
      <c r="J297" s="20">
        <v>0</v>
      </c>
      <c r="K297" s="20">
        <v>0.80920555555555496</v>
      </c>
      <c r="L297" s="20">
        <f t="shared" si="86"/>
        <v>0.37223455555555529</v>
      </c>
      <c r="M297" s="20"/>
      <c r="N297" s="5">
        <f>IF(0&lt;B297&lt;26.5,16*(((10*B297)/#REF!)^#REF!)/30,((-415.85)+(32.24*B297)-(0.43*B297^2))/30)</f>
        <v>5.6215766666666678</v>
      </c>
      <c r="O297" s="6">
        <f t="shared" si="87"/>
        <v>5.0312804691293822</v>
      </c>
      <c r="P297" s="20">
        <f t="shared" si="88"/>
        <v>0</v>
      </c>
      <c r="Q297" s="5">
        <f t="shared" si="76"/>
        <v>5.9495775763406096</v>
      </c>
      <c r="R297" s="5">
        <f t="shared" si="89"/>
        <v>2.9777577650913862</v>
      </c>
      <c r="S297" s="5">
        <f t="shared" si="77"/>
        <v>0.31233022428571405</v>
      </c>
      <c r="T297" s="5">
        <f t="shared" si="78"/>
        <v>3.5315040424833892</v>
      </c>
      <c r="U297" s="5">
        <f t="shared" si="79"/>
        <v>37.630839448893802</v>
      </c>
      <c r="AB297" s="14"/>
      <c r="AD297" s="5">
        <f t="shared" si="80"/>
        <v>5.0999999999999996</v>
      </c>
      <c r="AE297" s="5">
        <f t="shared" si="81"/>
        <v>11.60416666666665</v>
      </c>
      <c r="AF297" s="5">
        <f t="shared" si="82"/>
        <v>4.6509260507708925</v>
      </c>
      <c r="AG297" s="5">
        <f t="shared" si="83"/>
        <v>2.7677999643057292</v>
      </c>
      <c r="AH297" s="5">
        <f t="shared" si="90"/>
        <v>0.94156304323258166</v>
      </c>
      <c r="AI297" s="5">
        <f t="shared" si="84"/>
        <v>6.5668353442457986E-2</v>
      </c>
      <c r="AJ297" s="5">
        <f t="shared" si="91"/>
        <v>0.10926054480844734</v>
      </c>
      <c r="AK297" s="5">
        <f t="shared" si="92"/>
        <v>0.83230249842413428</v>
      </c>
      <c r="AL297" s="5">
        <f t="shared" si="85"/>
        <v>0.79</v>
      </c>
      <c r="AM297" s="5">
        <v>16.7</v>
      </c>
    </row>
    <row r="298" spans="1:39" x14ac:dyDescent="0.2">
      <c r="A298" s="23">
        <v>45584</v>
      </c>
      <c r="B298" s="20">
        <v>31.5</v>
      </c>
      <c r="C298" s="20">
        <v>64.099999999999994</v>
      </c>
      <c r="D298" s="20">
        <v>1</v>
      </c>
      <c r="E298" s="20">
        <v>37.799999999999997</v>
      </c>
      <c r="F298" s="20">
        <v>67.2083333333333</v>
      </c>
      <c r="G298" s="20">
        <v>3.41874999999999</v>
      </c>
      <c r="H298" s="20">
        <v>27.2</v>
      </c>
      <c r="I298" s="20">
        <v>41</v>
      </c>
      <c r="J298" s="20">
        <v>0</v>
      </c>
      <c r="K298" s="20">
        <v>0.596461111111111</v>
      </c>
      <c r="L298" s="20">
        <f t="shared" si="86"/>
        <v>0.27437211111111109</v>
      </c>
      <c r="M298" s="20"/>
      <c r="N298" s="5">
        <f>IF(0&lt;B298&lt;26.5,16*(((10*B298)/#REF!)^#REF!)/30,((-415.85)+(32.24*B298)-(0.43*B298^2))/30)</f>
        <v>5.7680833333333341</v>
      </c>
      <c r="O298" s="6">
        <f t="shared" si="87"/>
        <v>5.0312804691293822</v>
      </c>
      <c r="P298" s="20">
        <f t="shared" si="88"/>
        <v>0</v>
      </c>
      <c r="Q298" s="5">
        <f t="shared" si="76"/>
        <v>6.1651572610884298</v>
      </c>
      <c r="R298" s="5">
        <f t="shared" si="89"/>
        <v>3.0856551867178497</v>
      </c>
      <c r="S298" s="5">
        <f t="shared" si="77"/>
        <v>0.23254825799999998</v>
      </c>
      <c r="T298" s="5">
        <f t="shared" si="78"/>
        <v>3.0818186245586028</v>
      </c>
      <c r="U298" s="5">
        <f t="shared" si="79"/>
        <v>37.630206169094784</v>
      </c>
      <c r="AB298" s="14"/>
      <c r="AD298" s="5">
        <f t="shared" si="80"/>
        <v>5.2999999999999989</v>
      </c>
      <c r="AE298" s="5">
        <f t="shared" si="81"/>
        <v>13.10416666666665</v>
      </c>
      <c r="AF298" s="5">
        <f t="shared" si="82"/>
        <v>4.9810827429425473</v>
      </c>
      <c r="AG298" s="5">
        <f t="shared" si="83"/>
        <v>2.9168208964238245</v>
      </c>
      <c r="AH298" s="5">
        <f t="shared" si="90"/>
        <v>1.0321309232593614</v>
      </c>
      <c r="AI298" s="5">
        <f t="shared" si="84"/>
        <v>7.1866277655653718E-2</v>
      </c>
      <c r="AJ298" s="5">
        <f t="shared" si="91"/>
        <v>0.13525215640211197</v>
      </c>
      <c r="AK298" s="5">
        <f t="shared" si="92"/>
        <v>0.89687876685724943</v>
      </c>
      <c r="AL298" s="5">
        <f t="shared" si="85"/>
        <v>0.79800000000000004</v>
      </c>
      <c r="AM298" s="5">
        <v>16.7</v>
      </c>
    </row>
    <row r="299" spans="1:39" x14ac:dyDescent="0.2">
      <c r="A299" s="23">
        <v>45585</v>
      </c>
      <c r="B299" s="20">
        <v>28.1</v>
      </c>
      <c r="C299" s="20">
        <v>73</v>
      </c>
      <c r="D299" s="20">
        <v>1.6</v>
      </c>
      <c r="E299" s="20">
        <v>32.200000000000003</v>
      </c>
      <c r="F299" s="20">
        <v>75.0416666666666</v>
      </c>
      <c r="G299" s="20">
        <v>5.0708333333333302</v>
      </c>
      <c r="H299" s="20">
        <v>25.2</v>
      </c>
      <c r="I299" s="20">
        <v>58</v>
      </c>
      <c r="J299" s="20">
        <v>0</v>
      </c>
      <c r="K299" s="20">
        <v>0.52952916666666605</v>
      </c>
      <c r="L299" s="20">
        <f t="shared" si="86"/>
        <v>0.24358341666666639</v>
      </c>
      <c r="M299" s="20"/>
      <c r="N299" s="5">
        <f>IF(0&lt;B299&lt;26.5,16*(((10*B299)/#REF!)^#REF!)/30,((-415.85)+(32.24*B299)-(0.43*B299^2))/30)</f>
        <v>5.0187233333333321</v>
      </c>
      <c r="O299" s="6">
        <f t="shared" si="87"/>
        <v>5.0312804691293822</v>
      </c>
      <c r="P299" s="20">
        <f t="shared" si="88"/>
        <v>0</v>
      </c>
      <c r="Q299" s="5">
        <f t="shared" si="76"/>
        <v>4.6645098306817845</v>
      </c>
      <c r="R299" s="5">
        <f t="shared" si="89"/>
        <v>2.334582613712374</v>
      </c>
      <c r="S299" s="5">
        <f t="shared" si="77"/>
        <v>0.19765659557142834</v>
      </c>
      <c r="T299" s="5">
        <f t="shared" si="78"/>
        <v>2.6094536440537208</v>
      </c>
      <c r="U299" s="5">
        <f t="shared" si="79"/>
        <v>37.623160931330688</v>
      </c>
      <c r="AB299" s="14"/>
      <c r="AD299" s="5">
        <f t="shared" si="80"/>
        <v>3.5000000000000018</v>
      </c>
      <c r="AE299" s="5">
        <f t="shared" si="81"/>
        <v>8.5208333333333002</v>
      </c>
      <c r="AF299" s="5">
        <f t="shared" si="82"/>
        <v>3.7717992968905509</v>
      </c>
      <c r="AG299" s="5">
        <f t="shared" si="83"/>
        <v>2.625469874340034</v>
      </c>
      <c r="AH299" s="5">
        <f t="shared" si="90"/>
        <v>0.57316471127525848</v>
      </c>
      <c r="AI299" s="5">
        <f t="shared" si="84"/>
        <v>4.0507779074010097E-2</v>
      </c>
      <c r="AJ299" s="5">
        <f t="shared" si="91"/>
        <v>4.88384097732458E-2</v>
      </c>
      <c r="AK299" s="5">
        <f t="shared" si="92"/>
        <v>0.52432630150201265</v>
      </c>
      <c r="AL299" s="5">
        <f t="shared" si="85"/>
        <v>0.76400000000000001</v>
      </c>
      <c r="AM299" s="5">
        <v>16.7</v>
      </c>
    </row>
    <row r="300" spans="1:39" x14ac:dyDescent="0.2">
      <c r="A300" s="23">
        <v>45586</v>
      </c>
      <c r="B300" s="20">
        <v>29.4</v>
      </c>
      <c r="C300" s="20">
        <v>73.5</v>
      </c>
      <c r="D300" s="20">
        <v>1.6</v>
      </c>
      <c r="E300" s="20">
        <v>35.5</v>
      </c>
      <c r="F300" s="20">
        <v>76.0208333333333</v>
      </c>
      <c r="G300" s="20">
        <v>4.3645833333333304</v>
      </c>
      <c r="H300" s="20">
        <v>24.2</v>
      </c>
      <c r="I300" s="20">
        <v>50</v>
      </c>
      <c r="J300" s="20">
        <v>0.2</v>
      </c>
      <c r="K300" s="20">
        <v>0.92623541666666598</v>
      </c>
      <c r="L300" s="20">
        <f t="shared" si="86"/>
        <v>0.42606829166666638</v>
      </c>
      <c r="M300" s="20"/>
      <c r="N300" s="5">
        <f>IF(0&lt;B300&lt;26.5,16*(((10*B300)/#REF!)^#REF!)/30,((-415.85)+(32.24*B300)-(0.43*B300^2))/30)</f>
        <v>5.3443733333333343</v>
      </c>
      <c r="O300" s="6">
        <f t="shared" si="87"/>
        <v>5.0312804691293822</v>
      </c>
      <c r="P300" s="20">
        <f t="shared" si="88"/>
        <v>0</v>
      </c>
      <c r="Q300" s="5">
        <f t="shared" si="76"/>
        <v>6.0943238331774916</v>
      </c>
      <c r="R300" s="5">
        <f t="shared" si="89"/>
        <v>3.0502031252423238</v>
      </c>
      <c r="S300" s="5">
        <f t="shared" si="77"/>
        <v>0.35161748887499961</v>
      </c>
      <c r="T300" s="5">
        <f t="shared" si="78"/>
        <v>3.4799149462818937</v>
      </c>
      <c r="U300" s="5">
        <f t="shared" si="79"/>
        <v>37.622765131456298</v>
      </c>
      <c r="AB300" s="14"/>
      <c r="AD300" s="5">
        <f t="shared" si="80"/>
        <v>5.65</v>
      </c>
      <c r="AE300" s="5">
        <f t="shared" si="81"/>
        <v>13.01041666666665</v>
      </c>
      <c r="AF300" s="5">
        <f t="shared" si="82"/>
        <v>4.4488704508233914</v>
      </c>
      <c r="AG300" s="5">
        <f t="shared" si="83"/>
        <v>2.4895751699974444</v>
      </c>
      <c r="AH300" s="5">
        <f t="shared" si="90"/>
        <v>0.97964764041297347</v>
      </c>
      <c r="AI300" s="5">
        <f t="shared" si="84"/>
        <v>6.8015523338086539E-2</v>
      </c>
      <c r="AJ300" s="5">
        <f t="shared" si="91"/>
        <v>0.12745623988289606</v>
      </c>
      <c r="AK300" s="5">
        <f t="shared" si="92"/>
        <v>0.85219140053007747</v>
      </c>
      <c r="AL300" s="5">
        <f t="shared" si="85"/>
        <v>0.77699999999999991</v>
      </c>
      <c r="AM300" s="5">
        <v>16.7</v>
      </c>
    </row>
    <row r="301" spans="1:39" x14ac:dyDescent="0.2">
      <c r="A301" s="23">
        <v>45587</v>
      </c>
      <c r="B301" s="20">
        <v>26</v>
      </c>
      <c r="C301" s="20">
        <v>84</v>
      </c>
      <c r="D301" s="20">
        <v>2</v>
      </c>
      <c r="E301" s="20">
        <v>32.799999999999997</v>
      </c>
      <c r="F301" s="20">
        <v>85.5</v>
      </c>
      <c r="G301" s="20">
        <v>5.9666666666666597</v>
      </c>
      <c r="H301" s="20">
        <v>22.3</v>
      </c>
      <c r="I301" s="20">
        <v>61</v>
      </c>
      <c r="J301" s="20">
        <v>29.6</v>
      </c>
      <c r="K301" s="20">
        <v>0.20851666666666599</v>
      </c>
      <c r="L301" s="20">
        <f t="shared" si="86"/>
        <v>9.591766666666636E-2</v>
      </c>
      <c r="M301" s="20"/>
      <c r="N301" s="5">
        <f>IF(0&lt;B301&lt;26.5,16*(((10*B301)/#REF!)^#REF!)/30,((-415.85)+(32.24*B301)-(0.43*B301^2))/30)</f>
        <v>4.3903333333333325</v>
      </c>
      <c r="O301" s="6">
        <f t="shared" si="87"/>
        <v>5.0312804691293822</v>
      </c>
      <c r="P301" s="20">
        <f t="shared" si="88"/>
        <v>0</v>
      </c>
      <c r="Q301" s="5">
        <f t="shared" si="76"/>
        <v>5.4514629799460241</v>
      </c>
      <c r="R301" s="5">
        <f t="shared" si="89"/>
        <v>2.7284518961810011</v>
      </c>
      <c r="S301" s="5">
        <f t="shared" si="77"/>
        <v>7.5693337285714035E-2</v>
      </c>
      <c r="T301" s="5">
        <f t="shared" si="78"/>
        <v>3.5465985635203903</v>
      </c>
      <c r="U301" s="5">
        <f t="shared" si="79"/>
        <v>37.614453334094165</v>
      </c>
      <c r="AB301" s="14"/>
      <c r="AD301" s="5">
        <f t="shared" si="80"/>
        <v>5.2499999999999982</v>
      </c>
      <c r="AE301" s="5">
        <f t="shared" si="81"/>
        <v>12.25</v>
      </c>
      <c r="AF301" s="5">
        <f t="shared" si="82"/>
        <v>3.8877662493760701</v>
      </c>
      <c r="AG301" s="5">
        <f t="shared" si="83"/>
        <v>2.2482240351524134</v>
      </c>
      <c r="AH301" s="5">
        <f t="shared" si="90"/>
        <v>0.81977110711182832</v>
      </c>
      <c r="AI301" s="5">
        <f t="shared" si="84"/>
        <v>5.7103404767692954E-2</v>
      </c>
      <c r="AJ301" s="5">
        <f t="shared" si="91"/>
        <v>0.10042196062119897</v>
      </c>
      <c r="AK301" s="5">
        <f t="shared" si="92"/>
        <v>0.71934914649062931</v>
      </c>
      <c r="AL301" s="5">
        <f t="shared" si="85"/>
        <v>0.74299999999999999</v>
      </c>
      <c r="AM301" s="5">
        <v>16.7</v>
      </c>
    </row>
    <row r="302" spans="1:39" x14ac:dyDescent="0.2">
      <c r="A302" s="23">
        <v>45588</v>
      </c>
      <c r="B302" s="20">
        <v>28.8</v>
      </c>
      <c r="C302" s="20">
        <v>74.8</v>
      </c>
      <c r="D302" s="20">
        <v>1.1000000000000001</v>
      </c>
      <c r="E302" s="20">
        <v>34.799999999999997</v>
      </c>
      <c r="F302" s="20">
        <v>77.625</v>
      </c>
      <c r="G302" s="20">
        <v>3.25</v>
      </c>
      <c r="H302" s="20">
        <v>24.8</v>
      </c>
      <c r="I302" s="20">
        <v>49</v>
      </c>
      <c r="J302" s="20">
        <v>0.4</v>
      </c>
      <c r="K302" s="20">
        <v>0.66629166666666595</v>
      </c>
      <c r="L302" s="20">
        <f t="shared" si="86"/>
        <v>0.30649416666666635</v>
      </c>
      <c r="M302" s="20"/>
      <c r="N302" s="5">
        <f>IF(0&lt;B302&lt;26.5,16*(((10*B302)/#REF!)^#REF!)/30,((-415.85)+(32.24*B302)-(0.43*B302^2))/30)</f>
        <v>5.2000933333333341</v>
      </c>
      <c r="O302" s="6">
        <f t="shared" si="87"/>
        <v>5.0312804691293822</v>
      </c>
      <c r="P302" s="20">
        <f t="shared" si="88"/>
        <v>0</v>
      </c>
      <c r="Q302" s="5">
        <f t="shared" si="76"/>
        <v>5.660179757601342</v>
      </c>
      <c r="R302" s="5">
        <f t="shared" si="89"/>
        <v>2.8329144395117236</v>
      </c>
      <c r="S302" s="5">
        <f t="shared" si="77"/>
        <v>0.25098445607142827</v>
      </c>
      <c r="T302" s="5">
        <f t="shared" si="78"/>
        <v>2.6230628496726403</v>
      </c>
      <c r="U302" s="5">
        <f t="shared" si="79"/>
        <v>37.621736051782889</v>
      </c>
      <c r="AB302" s="14"/>
      <c r="AD302" s="5">
        <f t="shared" si="80"/>
        <v>4.9999999999999982</v>
      </c>
      <c r="AE302" s="5">
        <f t="shared" si="81"/>
        <v>14.3125</v>
      </c>
      <c r="AF302" s="5">
        <f t="shared" si="82"/>
        <v>4.297033764582646</v>
      </c>
      <c r="AG302" s="5">
        <f t="shared" si="83"/>
        <v>2.57035378685043</v>
      </c>
      <c r="AH302" s="5">
        <f t="shared" si="90"/>
        <v>0.86333998886610797</v>
      </c>
      <c r="AI302" s="5">
        <f t="shared" si="84"/>
        <v>6.0262477614246565E-2</v>
      </c>
      <c r="AJ302" s="5">
        <f t="shared" si="91"/>
        <v>0.1235655359064617</v>
      </c>
      <c r="AK302" s="5">
        <f t="shared" si="92"/>
        <v>0.73977445295964628</v>
      </c>
      <c r="AL302" s="5">
        <f t="shared" si="85"/>
        <v>0.77100000000000002</v>
      </c>
      <c r="AM302" s="5">
        <v>16.7</v>
      </c>
    </row>
    <row r="303" spans="1:39" x14ac:dyDescent="0.2">
      <c r="A303" s="23">
        <v>45589</v>
      </c>
      <c r="B303" s="20">
        <v>30.9</v>
      </c>
      <c r="C303" s="20">
        <v>67</v>
      </c>
      <c r="D303" s="20">
        <v>0.9</v>
      </c>
      <c r="E303" s="20">
        <v>36.5</v>
      </c>
      <c r="F303" s="20">
        <v>70.9583333333333</v>
      </c>
      <c r="G303" s="20">
        <v>2.8583333333333298</v>
      </c>
      <c r="H303" s="20">
        <v>26.5</v>
      </c>
      <c r="I303" s="20">
        <v>42</v>
      </c>
      <c r="J303" s="20">
        <v>0</v>
      </c>
      <c r="K303" s="20">
        <v>0.67782083333333298</v>
      </c>
      <c r="L303" s="20">
        <f t="shared" si="86"/>
        <v>0.31179758333333318</v>
      </c>
      <c r="M303" s="20"/>
      <c r="N303" s="5">
        <f>IF(0&lt;B303&lt;26.5,16*(((10*B303)/#REF!)^#REF!)/30,((-415.85)+(32.24*B303)-(0.43*B303^2))/30)</f>
        <v>5.6599233333333343</v>
      </c>
      <c r="O303" s="6">
        <f t="shared" si="87"/>
        <v>5.0312804691293822</v>
      </c>
      <c r="P303" s="20">
        <f t="shared" si="88"/>
        <v>0</v>
      </c>
      <c r="Q303" s="5">
        <f t="shared" si="76"/>
        <v>5.9152522359481843</v>
      </c>
      <c r="R303" s="5">
        <f t="shared" si="89"/>
        <v>2.9605779657558147</v>
      </c>
      <c r="S303" s="5">
        <f t="shared" si="77"/>
        <v>0.26228180314285698</v>
      </c>
      <c r="T303" s="5">
        <f t="shared" si="78"/>
        <v>2.5434616300753974</v>
      </c>
      <c r="U303" s="5">
        <f t="shared" si="79"/>
        <v>37.627910529823332</v>
      </c>
      <c r="AB303" s="14"/>
      <c r="AD303" s="5">
        <f t="shared" si="80"/>
        <v>5</v>
      </c>
      <c r="AE303" s="5">
        <f t="shared" si="81"/>
        <v>14.47916666666665</v>
      </c>
      <c r="AF303" s="5">
        <f t="shared" si="82"/>
        <v>4.6738612241034652</v>
      </c>
      <c r="AG303" s="5">
        <f t="shared" si="83"/>
        <v>2.8117918743392765</v>
      </c>
      <c r="AH303" s="5">
        <f t="shared" si="90"/>
        <v>0.93103467488209435</v>
      </c>
      <c r="AI303" s="5">
        <f t="shared" si="84"/>
        <v>6.498767226901947E-2</v>
      </c>
      <c r="AJ303" s="5">
        <f t="shared" si="91"/>
        <v>0.13480606230063644</v>
      </c>
      <c r="AK303" s="5">
        <f t="shared" si="92"/>
        <v>0.79622861258145794</v>
      </c>
      <c r="AL303" s="5">
        <f t="shared" si="85"/>
        <v>0.79200000000000004</v>
      </c>
      <c r="AM303" s="5">
        <v>16.7</v>
      </c>
    </row>
    <row r="304" spans="1:39" x14ac:dyDescent="0.2">
      <c r="A304" s="23">
        <v>45590</v>
      </c>
      <c r="B304" s="20">
        <v>32.1</v>
      </c>
      <c r="C304" s="20">
        <v>60.4</v>
      </c>
      <c r="D304" s="20">
        <v>1.4</v>
      </c>
      <c r="E304" s="20">
        <v>37.200000000000003</v>
      </c>
      <c r="F304" s="20">
        <v>63.375</v>
      </c>
      <c r="G304" s="20">
        <v>3.7833333333333301</v>
      </c>
      <c r="H304" s="20">
        <v>27</v>
      </c>
      <c r="I304" s="20">
        <v>44</v>
      </c>
      <c r="J304" s="20">
        <v>0</v>
      </c>
      <c r="K304" s="20">
        <v>0.84382916666666596</v>
      </c>
      <c r="L304" s="20">
        <f t="shared" si="86"/>
        <v>0.38816141666666637</v>
      </c>
      <c r="M304" s="20"/>
      <c r="N304" s="5">
        <f>IF(0&lt;B304&lt;26.5,16*(((10*B304)/#REF!)^#REF!)/30,((-415.85)+(32.24*B304)-(0.43*B304^2))/30)</f>
        <v>5.865923333333332</v>
      </c>
      <c r="O304" s="6">
        <f t="shared" si="87"/>
        <v>5.0312804691293822</v>
      </c>
      <c r="P304" s="20">
        <f t="shared" si="88"/>
        <v>0</v>
      </c>
      <c r="Q304" s="5">
        <f t="shared" si="76"/>
        <v>6.1213179599875556</v>
      </c>
      <c r="R304" s="5">
        <f t="shared" si="89"/>
        <v>3.0637136593414471</v>
      </c>
      <c r="S304" s="5">
        <f t="shared" si="77"/>
        <v>0.33146574042857119</v>
      </c>
      <c r="T304" s="5">
        <f t="shared" si="78"/>
        <v>3.3089683745635203</v>
      </c>
      <c r="U304" s="5">
        <f t="shared" si="79"/>
        <v>37.633135088165247</v>
      </c>
      <c r="AB304" s="14"/>
      <c r="AD304" s="5">
        <f t="shared" si="80"/>
        <v>5.1000000000000014</v>
      </c>
      <c r="AE304" s="5">
        <f t="shared" si="81"/>
        <v>9.6875</v>
      </c>
      <c r="AF304" s="5">
        <f t="shared" si="82"/>
        <v>4.8371765063097003</v>
      </c>
      <c r="AG304" s="5">
        <f t="shared" si="83"/>
        <v>2.8864689131283341</v>
      </c>
      <c r="AH304" s="5">
        <f t="shared" si="90"/>
        <v>0.97535379659068311</v>
      </c>
      <c r="AI304" s="5">
        <f t="shared" si="84"/>
        <v>6.8025055046833288E-2</v>
      </c>
      <c r="AJ304" s="5">
        <f t="shared" si="91"/>
        <v>9.448739904472242E-2</v>
      </c>
      <c r="AK304" s="5">
        <f t="shared" si="92"/>
        <v>0.88086639754596074</v>
      </c>
      <c r="AL304" s="5">
        <f t="shared" si="85"/>
        <v>0.80400000000000005</v>
      </c>
      <c r="AM304" s="5">
        <v>16.7</v>
      </c>
    </row>
    <row r="305" spans="1:39" x14ac:dyDescent="0.2">
      <c r="A305" s="23">
        <v>45591</v>
      </c>
      <c r="B305" s="20">
        <v>31.9</v>
      </c>
      <c r="C305" s="20">
        <v>61.2</v>
      </c>
      <c r="D305" s="20">
        <v>1.5</v>
      </c>
      <c r="E305" s="20">
        <v>36.299999999999997</v>
      </c>
      <c r="F305" s="20">
        <v>63.1875</v>
      </c>
      <c r="G305" s="20">
        <v>3.9666666666666601</v>
      </c>
      <c r="H305" s="20">
        <v>28.2</v>
      </c>
      <c r="I305" s="20">
        <v>46</v>
      </c>
      <c r="J305" s="20">
        <v>0</v>
      </c>
      <c r="K305" s="20">
        <v>0.66819166666666607</v>
      </c>
      <c r="L305" s="20">
        <f t="shared" si="86"/>
        <v>0.30736816666666639</v>
      </c>
      <c r="M305" s="20"/>
      <c r="N305" s="5">
        <f>IF(0&lt;B305&lt;26.5,16*(((10*B305)/#REF!)^#REF!)/30,((-415.85)+(32.24*B305)-(0.43*B305^2))/30)</f>
        <v>5.8344566666666724</v>
      </c>
      <c r="O305" s="6">
        <f t="shared" si="87"/>
        <v>5.0312804691293822</v>
      </c>
      <c r="P305" s="20">
        <f t="shared" si="88"/>
        <v>0</v>
      </c>
      <c r="Q305" s="5">
        <f t="shared" si="76"/>
        <v>5.4330437887877263</v>
      </c>
      <c r="R305" s="5">
        <f t="shared" si="89"/>
        <v>2.7192331089991288</v>
      </c>
      <c r="S305" s="5">
        <f t="shared" si="77"/>
        <v>0.26182040442857124</v>
      </c>
      <c r="T305" s="5">
        <f t="shared" si="78"/>
        <v>2.9170469485099666</v>
      </c>
      <c r="U305" s="5">
        <f t="shared" si="79"/>
        <v>37.632501808366229</v>
      </c>
      <c r="AB305" s="14"/>
      <c r="AD305" s="5">
        <f t="shared" si="80"/>
        <v>4.0499999999999989</v>
      </c>
      <c r="AE305" s="5">
        <f t="shared" si="81"/>
        <v>8.59375</v>
      </c>
      <c r="AF305" s="5">
        <f t="shared" si="82"/>
        <v>4.6280887159221713</v>
      </c>
      <c r="AG305" s="5">
        <f t="shared" si="83"/>
        <v>3.0727961325898137</v>
      </c>
      <c r="AH305" s="5">
        <f t="shared" si="90"/>
        <v>0.77764629166617882</v>
      </c>
      <c r="AI305" s="5">
        <f t="shared" si="84"/>
        <v>5.4709085220783292E-2</v>
      </c>
      <c r="AJ305" s="5">
        <f t="shared" si="91"/>
        <v>6.6828978190062241E-2</v>
      </c>
      <c r="AK305" s="5">
        <f t="shared" si="92"/>
        <v>0.71081731347611654</v>
      </c>
      <c r="AL305" s="5">
        <f t="shared" si="85"/>
        <v>0.80200000000000005</v>
      </c>
      <c r="AM305" s="5">
        <v>16.7</v>
      </c>
    </row>
    <row r="306" spans="1:39" x14ac:dyDescent="0.2">
      <c r="A306" s="23">
        <v>45592</v>
      </c>
      <c r="B306" s="20">
        <v>30.7</v>
      </c>
      <c r="C306" s="20">
        <v>64.400000000000006</v>
      </c>
      <c r="D306" s="20">
        <v>1.6</v>
      </c>
      <c r="E306" s="20">
        <v>33.6</v>
      </c>
      <c r="F306" s="20">
        <v>65</v>
      </c>
      <c r="G306" s="20">
        <v>4.4708333333333297</v>
      </c>
      <c r="H306" s="20">
        <v>28.9</v>
      </c>
      <c r="I306" s="20">
        <v>53</v>
      </c>
      <c r="J306" s="20">
        <v>0</v>
      </c>
      <c r="K306" s="20">
        <v>0.42573749999999999</v>
      </c>
      <c r="L306" s="20">
        <f t="shared" si="86"/>
        <v>0.19583924999999999</v>
      </c>
      <c r="M306" s="20"/>
      <c r="N306" s="5">
        <f>IF(0&lt;B306&lt;26.5,16*(((10*B306)/#REF!)^#REF!)/30,((-415.85)+(32.24*B306)-(0.43*B306^2))/30)</f>
        <v>5.6215766666666678</v>
      </c>
      <c r="O306" s="6">
        <f t="shared" si="87"/>
        <v>5.0312804691293822</v>
      </c>
      <c r="P306" s="20">
        <f t="shared" si="88"/>
        <v>0</v>
      </c>
      <c r="Q306" s="5">
        <f t="shared" si="76"/>
        <v>4.0386384412518916</v>
      </c>
      <c r="R306" s="5">
        <f t="shared" si="89"/>
        <v>2.0213345946875183</v>
      </c>
      <c r="S306" s="5">
        <f t="shared" si="77"/>
        <v>0.16432251107142856</v>
      </c>
      <c r="T306" s="5">
        <f t="shared" si="78"/>
        <v>1.9928000628033189</v>
      </c>
      <c r="U306" s="5">
        <f t="shared" si="79"/>
        <v>37.629968689170155</v>
      </c>
      <c r="AB306" s="14"/>
      <c r="AD306" s="5">
        <f t="shared" si="80"/>
        <v>2.3500000000000014</v>
      </c>
      <c r="AE306" s="5">
        <f t="shared" si="81"/>
        <v>6</v>
      </c>
      <c r="AF306" s="5">
        <f t="shared" si="82"/>
        <v>4.0472085114775638</v>
      </c>
      <c r="AG306" s="5">
        <f t="shared" si="83"/>
        <v>3.1862617387328025</v>
      </c>
      <c r="AH306" s="5">
        <f t="shared" si="90"/>
        <v>0.43047338637238064</v>
      </c>
      <c r="AI306" s="5">
        <f t="shared" si="84"/>
        <v>3.071591054908367E-2</v>
      </c>
      <c r="AJ306" s="5">
        <f t="shared" si="91"/>
        <v>2.5828403182342839E-2</v>
      </c>
      <c r="AK306" s="5">
        <f t="shared" si="92"/>
        <v>0.40464498319003778</v>
      </c>
      <c r="AL306" s="5">
        <f t="shared" si="85"/>
        <v>0.79</v>
      </c>
      <c r="AM306" s="5">
        <v>16.7</v>
      </c>
    </row>
    <row r="307" spans="1:39" x14ac:dyDescent="0.2">
      <c r="A307" s="23">
        <v>45593</v>
      </c>
      <c r="B307" s="20">
        <v>28.9</v>
      </c>
      <c r="C307" s="20">
        <v>74</v>
      </c>
      <c r="D307" s="20">
        <v>1.7</v>
      </c>
      <c r="E307" s="20">
        <v>34.1</v>
      </c>
      <c r="F307" s="20">
        <v>78.6666666666666</v>
      </c>
      <c r="G307" s="20">
        <v>4.9124999999999996</v>
      </c>
      <c r="H307" s="20">
        <v>24.3</v>
      </c>
      <c r="I307" s="20">
        <v>45</v>
      </c>
      <c r="J307" s="20">
        <v>11.6</v>
      </c>
      <c r="K307" s="20">
        <v>0.70928333333333293</v>
      </c>
      <c r="L307" s="20">
        <f t="shared" si="86"/>
        <v>0.32627033333333316</v>
      </c>
      <c r="M307" s="20"/>
      <c r="N307" s="5">
        <f>IF(0&lt;B307&lt;26.5,16*(((10*B307)/#REF!)^#REF!)/30,((-415.85)+(32.24*B307)-(0.43*B307^2))/30)</f>
        <v>5.2248566666666667</v>
      </c>
      <c r="O307" s="6">
        <f t="shared" si="87"/>
        <v>5.0312804691293822</v>
      </c>
      <c r="P307" s="20">
        <f t="shared" si="88"/>
        <v>0</v>
      </c>
      <c r="Q307" s="5">
        <f t="shared" si="76"/>
        <v>5.6153163170108416</v>
      </c>
      <c r="R307" s="5">
        <f t="shared" si="89"/>
        <v>2.8104603313211975</v>
      </c>
      <c r="S307" s="5">
        <f t="shared" si="77"/>
        <v>0.26752546114285702</v>
      </c>
      <c r="T307" s="5">
        <f t="shared" si="78"/>
        <v>3.1105288021390676</v>
      </c>
      <c r="U307" s="5">
        <f t="shared" si="79"/>
        <v>37.622369331581915</v>
      </c>
      <c r="AB307" s="14"/>
      <c r="AD307" s="5">
        <f t="shared" si="80"/>
        <v>4.9000000000000004</v>
      </c>
      <c r="AE307" s="5">
        <f t="shared" si="81"/>
        <v>16.8333333333333</v>
      </c>
      <c r="AF307" s="5">
        <f t="shared" si="82"/>
        <v>4.1497228216209656</v>
      </c>
      <c r="AG307" s="5">
        <f t="shared" si="83"/>
        <v>2.5028821659538099</v>
      </c>
      <c r="AH307" s="5">
        <f t="shared" si="90"/>
        <v>0.82342032783357788</v>
      </c>
      <c r="AI307" s="5">
        <f t="shared" si="84"/>
        <v>5.7523494437890794E-2</v>
      </c>
      <c r="AJ307" s="5">
        <f t="shared" si="91"/>
        <v>0.138609088518652</v>
      </c>
      <c r="AK307" s="5">
        <f t="shared" si="92"/>
        <v>0.68481123931492593</v>
      </c>
      <c r="AL307" s="5">
        <f t="shared" si="85"/>
        <v>0.77200000000000002</v>
      </c>
      <c r="AM307" s="5">
        <v>16.7</v>
      </c>
    </row>
    <row r="308" spans="1:39" x14ac:dyDescent="0.2">
      <c r="A308" s="23">
        <v>45594</v>
      </c>
      <c r="B308" s="20">
        <v>31.1</v>
      </c>
      <c r="C308" s="20">
        <v>63.2</v>
      </c>
      <c r="D308" s="20">
        <v>1.3</v>
      </c>
      <c r="E308" s="20">
        <v>36.299999999999997</v>
      </c>
      <c r="F308" s="20">
        <v>67.0833333333333</v>
      </c>
      <c r="G308" s="20">
        <v>3.51249999999999</v>
      </c>
      <c r="H308" s="20">
        <v>25.7</v>
      </c>
      <c r="I308" s="20">
        <v>37</v>
      </c>
      <c r="J308" s="20">
        <v>0</v>
      </c>
      <c r="K308" s="20">
        <v>0.89699166666666597</v>
      </c>
      <c r="L308" s="20">
        <f t="shared" si="86"/>
        <v>0.41261616666666634</v>
      </c>
      <c r="M308" s="20"/>
      <c r="N308" s="5">
        <f>IF(0&lt;B308&lt;26.5,16*(((10*B308)/#REF!)^#REF!)/30,((-415.85)+(32.24*B308)-(0.43*B308^2))/30)</f>
        <v>5.6971233333333355</v>
      </c>
      <c r="O308" s="6">
        <f t="shared" si="87"/>
        <v>5.0312804691293822</v>
      </c>
      <c r="P308" s="20">
        <f t="shared" si="88"/>
        <v>0</v>
      </c>
      <c r="Q308" s="5">
        <f t="shared" si="76"/>
        <v>6.1151357011607361</v>
      </c>
      <c r="R308" s="5">
        <f t="shared" si="89"/>
        <v>3.0606194448377866</v>
      </c>
      <c r="S308" s="5">
        <f t="shared" si="77"/>
        <v>0.34796613299999973</v>
      </c>
      <c r="T308" s="5">
        <f t="shared" si="78"/>
        <v>2.9720571749892746</v>
      </c>
      <c r="U308" s="5">
        <f t="shared" si="79"/>
        <v>37.630918608868683</v>
      </c>
      <c r="AB308" s="14"/>
      <c r="AD308" s="5">
        <f t="shared" si="80"/>
        <v>5.2999999999999989</v>
      </c>
      <c r="AE308" s="5">
        <f t="shared" si="81"/>
        <v>15.04166666666665</v>
      </c>
      <c r="AF308" s="5">
        <f t="shared" si="82"/>
        <v>4.6280887159221713</v>
      </c>
      <c r="AG308" s="5">
        <f t="shared" si="83"/>
        <v>2.6958147156907444</v>
      </c>
      <c r="AH308" s="5">
        <f t="shared" si="90"/>
        <v>0.96613700011571346</v>
      </c>
      <c r="AI308" s="5">
        <f t="shared" si="84"/>
        <v>6.7271184632716086E-2</v>
      </c>
      <c r="AJ308" s="5">
        <f t="shared" si="91"/>
        <v>0.1453231071007384</v>
      </c>
      <c r="AK308" s="5">
        <f t="shared" si="92"/>
        <v>0.82081389301497509</v>
      </c>
      <c r="AL308" s="5">
        <f t="shared" si="85"/>
        <v>0.79400000000000004</v>
      </c>
      <c r="AM308" s="5">
        <v>16.7</v>
      </c>
    </row>
    <row r="309" spans="1:39" x14ac:dyDescent="0.2">
      <c r="A309" s="23">
        <v>45595</v>
      </c>
      <c r="B309" s="20">
        <v>31.4</v>
      </c>
      <c r="C309" s="20">
        <v>61.3</v>
      </c>
      <c r="D309" s="20">
        <v>1</v>
      </c>
      <c r="E309" s="20">
        <v>37.799999999999997</v>
      </c>
      <c r="F309" s="20">
        <v>64.9166666666666</v>
      </c>
      <c r="G309" s="20">
        <v>3.1958333333333302</v>
      </c>
      <c r="H309" s="20">
        <v>27</v>
      </c>
      <c r="I309" s="20">
        <v>41</v>
      </c>
      <c r="J309" s="20">
        <v>0</v>
      </c>
      <c r="K309" s="20">
        <v>0.87811666666666599</v>
      </c>
      <c r="L309" s="20">
        <f t="shared" si="86"/>
        <v>0.40393366666666636</v>
      </c>
      <c r="M309" s="20"/>
      <c r="N309" s="5">
        <f>IF(0&lt;B309&lt;26.5,16*(((10*B309)/#REF!)^#REF!)/30,((-415.85)+(32.24*B309)-(0.43*B309^2))/30)</f>
        <v>5.750773333333334</v>
      </c>
      <c r="O309" s="6">
        <f t="shared" si="87"/>
        <v>5.0312804691293822</v>
      </c>
      <c r="P309" s="20">
        <f t="shared" si="88"/>
        <v>0</v>
      </c>
      <c r="Q309" s="5">
        <f t="shared" si="76"/>
        <v>6.2104245176499155</v>
      </c>
      <c r="R309" s="5">
        <f t="shared" si="89"/>
        <v>3.1083114044073845</v>
      </c>
      <c r="S309" s="5">
        <f t="shared" si="77"/>
        <v>0.34193110328571397</v>
      </c>
      <c r="T309" s="5">
        <f t="shared" si="78"/>
        <v>3.058717711453935</v>
      </c>
      <c r="U309" s="5">
        <f t="shared" si="79"/>
        <v>37.632422648391355</v>
      </c>
      <c r="AB309" s="14"/>
      <c r="AD309" s="5">
        <f t="shared" si="80"/>
        <v>5.3999999999999986</v>
      </c>
      <c r="AE309" s="5">
        <f t="shared" si="81"/>
        <v>11.9583333333333</v>
      </c>
      <c r="AF309" s="5">
        <f t="shared" si="82"/>
        <v>4.9810827429425473</v>
      </c>
      <c r="AG309" s="5">
        <f t="shared" si="83"/>
        <v>2.8864689131283341</v>
      </c>
      <c r="AH309" s="5">
        <f t="shared" si="90"/>
        <v>1.0473069149071066</v>
      </c>
      <c r="AI309" s="5">
        <f t="shared" si="84"/>
        <v>7.2862886560144974E-2</v>
      </c>
      <c r="AJ309" s="5">
        <f t="shared" si="91"/>
        <v>0.12524045190764116</v>
      </c>
      <c r="AK309" s="5">
        <f t="shared" si="92"/>
        <v>0.92206646299946549</v>
      </c>
      <c r="AL309" s="5">
        <f t="shared" si="85"/>
        <v>0.79699999999999993</v>
      </c>
      <c r="AM309" s="5">
        <v>16.7</v>
      </c>
    </row>
    <row r="310" spans="1:39" x14ac:dyDescent="0.2">
      <c r="A310" s="23">
        <v>45596</v>
      </c>
      <c r="B310" s="20">
        <v>27.8</v>
      </c>
      <c r="C310" s="20">
        <v>79.400000000000006</v>
      </c>
      <c r="D310" s="20">
        <v>1.6</v>
      </c>
      <c r="E310" s="20">
        <v>33.1</v>
      </c>
      <c r="F310" s="20">
        <v>80.6666666666666</v>
      </c>
      <c r="G310" s="20">
        <v>4.80833333333333</v>
      </c>
      <c r="H310" s="20">
        <v>24.8</v>
      </c>
      <c r="I310" s="20">
        <v>52</v>
      </c>
      <c r="J310" s="20">
        <v>7</v>
      </c>
      <c r="K310" s="20">
        <v>0.532741666666666</v>
      </c>
      <c r="L310" s="20">
        <f t="shared" si="86"/>
        <v>0.24506116666666639</v>
      </c>
      <c r="M310" s="20"/>
      <c r="N310" s="5">
        <f>IF(0&lt;B310&lt;26.5,16*(((10*B310)/#REF!)^#REF!)/30,((-415.85)+(32.24*B310)-(0.43*B310^2))/30)</f>
        <v>4.9366933333333334</v>
      </c>
      <c r="O310" s="6">
        <f t="shared" si="87"/>
        <v>5.0312804691293822</v>
      </c>
      <c r="P310" s="20">
        <f t="shared" si="88"/>
        <v>0</v>
      </c>
      <c r="Q310" s="5">
        <f t="shared" si="76"/>
        <v>5.0460110360098103</v>
      </c>
      <c r="R310" s="5">
        <f t="shared" si="89"/>
        <v>2.5255235943081726</v>
      </c>
      <c r="S310" s="5">
        <f t="shared" si="77"/>
        <v>0.19807487378571401</v>
      </c>
      <c r="T310" s="5">
        <f t="shared" si="78"/>
        <v>2.7521830855906808</v>
      </c>
      <c r="U310" s="5">
        <f t="shared" si="79"/>
        <v>37.618094692938527</v>
      </c>
      <c r="AB310" s="14"/>
      <c r="AD310" s="5">
        <f t="shared" si="80"/>
        <v>4.1500000000000004</v>
      </c>
      <c r="AE310" s="5">
        <f t="shared" si="81"/>
        <v>14.3333333333333</v>
      </c>
      <c r="AF310" s="5">
        <f t="shared" si="82"/>
        <v>3.9469044698804279</v>
      </c>
      <c r="AG310" s="5">
        <f t="shared" si="83"/>
        <v>2.57035378685043</v>
      </c>
      <c r="AH310" s="5">
        <f t="shared" si="90"/>
        <v>0.68827534151499892</v>
      </c>
      <c r="AI310" s="5">
        <f t="shared" si="84"/>
        <v>4.8381546372430646E-2</v>
      </c>
      <c r="AJ310" s="5">
        <f t="shared" si="91"/>
        <v>9.8652798950482942E-2</v>
      </c>
      <c r="AK310" s="5">
        <f t="shared" si="92"/>
        <v>0.58962254256451596</v>
      </c>
      <c r="AL310" s="5">
        <f t="shared" si="85"/>
        <v>0.76100000000000001</v>
      </c>
      <c r="AM310" s="5">
        <v>16.7</v>
      </c>
    </row>
    <row r="311" spans="1:39" x14ac:dyDescent="0.2">
      <c r="A311" s="23">
        <v>45597</v>
      </c>
      <c r="B311" s="20">
        <v>30.2</v>
      </c>
      <c r="C311" s="20">
        <v>70.099999999999994</v>
      </c>
      <c r="D311" s="20">
        <v>1.5</v>
      </c>
      <c r="E311" s="20">
        <v>37.299999999999997</v>
      </c>
      <c r="F311" s="20">
        <v>74.5416666666666</v>
      </c>
      <c r="G311" s="20">
        <v>3.94999999999999</v>
      </c>
      <c r="H311" s="20">
        <v>25.4</v>
      </c>
      <c r="I311" s="20">
        <v>41</v>
      </c>
      <c r="J311" s="20">
        <v>1.8</v>
      </c>
      <c r="K311" s="20">
        <v>0.82100833333333301</v>
      </c>
      <c r="L311" s="20">
        <f t="shared" si="86"/>
        <v>0.3776638333333332</v>
      </c>
      <c r="M311" s="20"/>
      <c r="N311" s="5">
        <f>IF(0&lt;B311&lt;26.5,16*(((10*B311)/#REF!)^#REF!)/30,((-415.85)+(32.24*B311)-(0.43*B311^2))/30)</f>
        <v>5.5206933333333348</v>
      </c>
      <c r="O311" s="6">
        <f t="shared" si="87"/>
        <v>5.0312804691293822</v>
      </c>
      <c r="P311" s="20">
        <f t="shared" si="88"/>
        <v>0</v>
      </c>
      <c r="Q311" s="5">
        <f t="shared" si="76"/>
        <v>6.3600279649196505</v>
      </c>
      <c r="R311" s="5">
        <f t="shared" si="89"/>
        <v>3.1831877836252005</v>
      </c>
      <c r="S311" s="5">
        <f t="shared" si="77"/>
        <v>0.31488015321428553</v>
      </c>
      <c r="T311" s="5">
        <f t="shared" si="78"/>
        <v>3.400503237085422</v>
      </c>
      <c r="U311" s="5">
        <f t="shared" si="79"/>
        <v>37.625456570602132</v>
      </c>
      <c r="AB311" s="14"/>
      <c r="AD311" s="5">
        <f t="shared" si="80"/>
        <v>5.9499999999999993</v>
      </c>
      <c r="AE311" s="5">
        <f t="shared" si="81"/>
        <v>16.7708333333333</v>
      </c>
      <c r="AF311" s="5">
        <f t="shared" si="82"/>
        <v>4.8609070992189674</v>
      </c>
      <c r="AG311" s="5">
        <f t="shared" si="83"/>
        <v>2.6534130007609296</v>
      </c>
      <c r="AH311" s="5">
        <f t="shared" si="90"/>
        <v>1.1037470492290189</v>
      </c>
      <c r="AI311" s="5">
        <f t="shared" si="84"/>
        <v>7.644266365966218E-2</v>
      </c>
      <c r="AJ311" s="5">
        <f t="shared" si="91"/>
        <v>0.18510757804778299</v>
      </c>
      <c r="AK311" s="5">
        <f t="shared" si="92"/>
        <v>0.9186394711812359</v>
      </c>
      <c r="AL311" s="5">
        <f t="shared" si="85"/>
        <v>0.78499999999999992</v>
      </c>
      <c r="AM311" s="5">
        <v>16.7</v>
      </c>
    </row>
    <row r="312" spans="1:39" x14ac:dyDescent="0.2">
      <c r="A312" s="23">
        <v>45598</v>
      </c>
      <c r="B312" s="20">
        <v>31.2</v>
      </c>
      <c r="C312" s="20">
        <v>65.2</v>
      </c>
      <c r="D312" s="20">
        <v>1.7</v>
      </c>
      <c r="E312" s="20">
        <v>35.6</v>
      </c>
      <c r="F312" s="20">
        <v>67.7083333333333</v>
      </c>
      <c r="G312" s="20">
        <v>4.42916666666666</v>
      </c>
      <c r="H312" s="20">
        <v>28.3</v>
      </c>
      <c r="I312" s="20">
        <v>44</v>
      </c>
      <c r="J312" s="20">
        <v>0.2</v>
      </c>
      <c r="K312" s="20">
        <v>0.77023749999999991</v>
      </c>
      <c r="L312" s="20">
        <f t="shared" si="86"/>
        <v>0.35430924999999996</v>
      </c>
      <c r="M312" s="20"/>
      <c r="N312" s="5">
        <f>IF(0&lt;B312&lt;26.5,16*(((10*B312)/#REF!)^#REF!)/30,((-415.85)+(32.24*B312)-(0.43*B312^2))/30)</f>
        <v>5.7152933333333351</v>
      </c>
      <c r="O312" s="6">
        <f t="shared" si="87"/>
        <v>5.0312804691293822</v>
      </c>
      <c r="P312" s="20">
        <f t="shared" si="88"/>
        <v>0</v>
      </c>
      <c r="Q312" s="5">
        <f t="shared" si="76"/>
        <v>5.0851271574199597</v>
      </c>
      <c r="R312" s="5">
        <f t="shared" si="89"/>
        <v>2.5451011748632233</v>
      </c>
      <c r="S312" s="5">
        <f t="shared" si="77"/>
        <v>0.29917124839285703</v>
      </c>
      <c r="T312" s="5">
        <f t="shared" si="78"/>
        <v>2.7463107028936196</v>
      </c>
      <c r="U312" s="5">
        <f t="shared" si="79"/>
        <v>37.62933540937113</v>
      </c>
      <c r="AB312" s="14"/>
      <c r="AD312" s="5">
        <f t="shared" si="80"/>
        <v>3.6500000000000004</v>
      </c>
      <c r="AE312" s="5">
        <f t="shared" si="81"/>
        <v>11.85416666666665</v>
      </c>
      <c r="AF312" s="5">
        <f t="shared" si="82"/>
        <v>4.4709375887904494</v>
      </c>
      <c r="AG312" s="5">
        <f t="shared" si="83"/>
        <v>3.0887865293097794</v>
      </c>
      <c r="AH312" s="5">
        <f t="shared" si="90"/>
        <v>0.69107552974033504</v>
      </c>
      <c r="AI312" s="5">
        <f t="shared" si="84"/>
        <v>4.878020354041266E-2</v>
      </c>
      <c r="AJ312" s="5">
        <f t="shared" si="91"/>
        <v>8.1921245087968761E-2</v>
      </c>
      <c r="AK312" s="5">
        <f t="shared" si="92"/>
        <v>0.60915428465236632</v>
      </c>
      <c r="AL312" s="5">
        <f t="shared" si="85"/>
        <v>0.79499999999999993</v>
      </c>
      <c r="AM312" s="5">
        <v>16.7</v>
      </c>
    </row>
    <row r="313" spans="1:39" x14ac:dyDescent="0.2">
      <c r="A313" s="23">
        <v>45599</v>
      </c>
      <c r="B313" s="20">
        <v>31.3</v>
      </c>
      <c r="C313" s="20">
        <v>62.6</v>
      </c>
      <c r="D313" s="20">
        <v>1.7</v>
      </c>
      <c r="E313" s="20">
        <v>36.1</v>
      </c>
      <c r="F313" s="20">
        <v>65.25</v>
      </c>
      <c r="G313" s="20">
        <v>4.4874999999999998</v>
      </c>
      <c r="H313" s="20">
        <v>26.6</v>
      </c>
      <c r="I313" s="20">
        <v>41</v>
      </c>
      <c r="J313" s="20">
        <v>0</v>
      </c>
      <c r="K313" s="20">
        <v>0.87365833333333298</v>
      </c>
      <c r="L313" s="20">
        <f t="shared" si="86"/>
        <v>0.40188283333333319</v>
      </c>
      <c r="M313" s="20"/>
      <c r="N313" s="5">
        <f>IF(0&lt;B313&lt;26.5,16*(((10*B313)/#REF!)^#REF!)/30,((-415.85)+(32.24*B313)-(0.43*B313^2))/30)</f>
        <v>5.7331766666666679</v>
      </c>
      <c r="O313" s="6">
        <f t="shared" si="87"/>
        <v>5.0312804691293822</v>
      </c>
      <c r="P313" s="20">
        <f t="shared" si="88"/>
        <v>0</v>
      </c>
      <c r="Q313" s="5">
        <f t="shared" si="76"/>
        <v>5.8128297325166418</v>
      </c>
      <c r="R313" s="5">
        <f t="shared" si="89"/>
        <v>2.9093156028401328</v>
      </c>
      <c r="S313" s="5">
        <f t="shared" si="77"/>
        <v>0.33976822199999984</v>
      </c>
      <c r="T313" s="5">
        <f t="shared" si="78"/>
        <v>3.2993690153016368</v>
      </c>
      <c r="U313" s="5">
        <f t="shared" si="79"/>
        <v>37.631393568717947</v>
      </c>
      <c r="AB313" s="14"/>
      <c r="AD313" s="5">
        <f t="shared" si="80"/>
        <v>4.75</v>
      </c>
      <c r="AE313" s="5">
        <f t="shared" si="81"/>
        <v>12.125</v>
      </c>
      <c r="AF313" s="5">
        <f t="shared" si="82"/>
        <v>4.5827061634087478</v>
      </c>
      <c r="AG313" s="5">
        <f t="shared" si="83"/>
        <v>2.8265908634063468</v>
      </c>
      <c r="AH313" s="5">
        <f t="shared" si="90"/>
        <v>0.87805765000120051</v>
      </c>
      <c r="AI313" s="5">
        <f t="shared" si="84"/>
        <v>6.1416464342030623E-2</v>
      </c>
      <c r="AJ313" s="5">
        <f t="shared" si="91"/>
        <v>0.10646449006264555</v>
      </c>
      <c r="AK313" s="5">
        <f t="shared" si="92"/>
        <v>0.77159315993855493</v>
      </c>
      <c r="AL313" s="5">
        <f t="shared" si="85"/>
        <v>0.79600000000000004</v>
      </c>
      <c r="AM313" s="5">
        <v>16.7</v>
      </c>
    </row>
    <row r="314" spans="1:39" x14ac:dyDescent="0.2">
      <c r="A314" s="23">
        <v>45600</v>
      </c>
      <c r="B314" s="20">
        <v>28.9</v>
      </c>
      <c r="C314" s="20">
        <v>74.8</v>
      </c>
      <c r="D314" s="20">
        <v>1</v>
      </c>
      <c r="E314" s="20">
        <v>33.5</v>
      </c>
      <c r="F314" s="20">
        <v>75.8333333333333</v>
      </c>
      <c r="G314" s="20">
        <v>3.3125</v>
      </c>
      <c r="H314" s="20">
        <v>27.6</v>
      </c>
      <c r="I314" s="20">
        <v>55</v>
      </c>
      <c r="J314" s="20">
        <v>0</v>
      </c>
      <c r="K314" s="20">
        <v>0.30009166666666603</v>
      </c>
      <c r="L314" s="20">
        <f t="shared" si="86"/>
        <v>0.13804216666666638</v>
      </c>
      <c r="M314" s="20"/>
      <c r="N314" s="5">
        <f>IF(0&lt;B314&lt;26.5,16*(((10*B314)/#REF!)^#REF!)/30,((-415.85)+(32.24*B314)-(0.43*B314^2))/30)</f>
        <v>5.2248566666666667</v>
      </c>
      <c r="O314" s="6">
        <f t="shared" si="87"/>
        <v>5.0312804691293822</v>
      </c>
      <c r="P314" s="20">
        <f t="shared" si="88"/>
        <v>0</v>
      </c>
      <c r="Q314" s="5">
        <f t="shared" si="76"/>
        <v>4.3569963243102583</v>
      </c>
      <c r="R314" s="5">
        <f t="shared" si="89"/>
        <v>2.180672404169143</v>
      </c>
      <c r="S314" s="5">
        <f t="shared" si="77"/>
        <v>0.11318771742857119</v>
      </c>
      <c r="T314" s="5">
        <f t="shared" si="78"/>
        <v>1.8928402615486091</v>
      </c>
      <c r="U314" s="5">
        <f t="shared" si="79"/>
        <v>37.621736051782889</v>
      </c>
      <c r="AB314" s="14"/>
      <c r="AD314" s="5">
        <f t="shared" si="80"/>
        <v>2.9499999999999993</v>
      </c>
      <c r="AE314" s="5">
        <f t="shared" si="81"/>
        <v>10.41666666666665</v>
      </c>
      <c r="AF314" s="5">
        <f t="shared" si="82"/>
        <v>4.0269721746729781</v>
      </c>
      <c r="AG314" s="5">
        <f t="shared" si="83"/>
        <v>2.9783614476047857</v>
      </c>
      <c r="AH314" s="5">
        <f t="shared" si="90"/>
        <v>0.52430536353409618</v>
      </c>
      <c r="AI314" s="5">
        <f t="shared" si="84"/>
        <v>3.7224550471731142E-2</v>
      </c>
      <c r="AJ314" s="5">
        <f t="shared" si="91"/>
        <v>5.4615142034801598E-2</v>
      </c>
      <c r="AK314" s="5">
        <f t="shared" si="92"/>
        <v>0.46969022149929457</v>
      </c>
      <c r="AL314" s="5">
        <f t="shared" si="85"/>
        <v>0.77200000000000002</v>
      </c>
      <c r="AM314" s="5">
        <v>16.7</v>
      </c>
    </row>
    <row r="315" spans="1:39" x14ac:dyDescent="0.2">
      <c r="A315" s="23">
        <v>45601</v>
      </c>
      <c r="B315" s="20">
        <v>29.4</v>
      </c>
      <c r="C315" s="20">
        <v>71.099999999999994</v>
      </c>
      <c r="D315" s="20">
        <v>1.8</v>
      </c>
      <c r="E315" s="20">
        <v>35.9</v>
      </c>
      <c r="F315" s="20">
        <v>74.7083333333333</v>
      </c>
      <c r="G315" s="20">
        <v>4.7</v>
      </c>
      <c r="H315" s="20">
        <v>24.1</v>
      </c>
      <c r="I315" s="20">
        <v>48</v>
      </c>
      <c r="J315" s="20">
        <v>4.5999999999999996</v>
      </c>
      <c r="K315" s="20">
        <v>0.8525625</v>
      </c>
      <c r="L315" s="20">
        <f t="shared" si="86"/>
        <v>0.39217875000000002</v>
      </c>
      <c r="M315" s="20"/>
      <c r="N315" s="5">
        <f>IF(0&lt;B315&lt;26.5,16*(((10*B315)/#REF!)^#REF!)/30,((-415.85)+(32.24*B315)-(0.43*B315^2))/30)</f>
        <v>5.3443733333333343</v>
      </c>
      <c r="O315" s="6">
        <f t="shared" si="87"/>
        <v>5.0312804691293822</v>
      </c>
      <c r="P315" s="20">
        <f t="shared" si="88"/>
        <v>0</v>
      </c>
      <c r="Q315" s="5">
        <f t="shared" si="76"/>
        <v>6.2276946345166282</v>
      </c>
      <c r="R315" s="5">
        <f t="shared" si="89"/>
        <v>3.116955081028796</v>
      </c>
      <c r="S315" s="5">
        <f t="shared" si="77"/>
        <v>0.32364977624999991</v>
      </c>
      <c r="T315" s="5">
        <f t="shared" si="78"/>
        <v>3.7301676155350183</v>
      </c>
      <c r="U315" s="5">
        <f t="shared" si="79"/>
        <v>37.62466497085336</v>
      </c>
      <c r="AB315" s="14"/>
      <c r="AD315" s="5">
        <f t="shared" si="80"/>
        <v>5.8999999999999986</v>
      </c>
      <c r="AE315" s="5">
        <f t="shared" si="81"/>
        <v>13.35416666666665</v>
      </c>
      <c r="AF315" s="5">
        <f t="shared" si="82"/>
        <v>4.5377107798373366</v>
      </c>
      <c r="AG315" s="5">
        <f t="shared" si="83"/>
        <v>2.476330045344838</v>
      </c>
      <c r="AH315" s="5">
        <f t="shared" si="90"/>
        <v>1.0306903672462493</v>
      </c>
      <c r="AI315" s="5">
        <f t="shared" si="84"/>
        <v>7.141230152542459E-2</v>
      </c>
      <c r="AJ315" s="5">
        <f t="shared" si="91"/>
        <v>0.13764010945934271</v>
      </c>
      <c r="AK315" s="5">
        <f t="shared" si="92"/>
        <v>0.89305025778690661</v>
      </c>
      <c r="AL315" s="5">
        <f t="shared" si="85"/>
        <v>0.77699999999999991</v>
      </c>
      <c r="AM315" s="5">
        <v>16.7</v>
      </c>
    </row>
    <row r="316" spans="1:39" x14ac:dyDescent="0.2">
      <c r="A316" s="23">
        <v>45602</v>
      </c>
      <c r="B316" s="20">
        <v>27.9</v>
      </c>
      <c r="C316" s="20">
        <v>78.8</v>
      </c>
      <c r="D316" s="20">
        <v>1.5</v>
      </c>
      <c r="E316" s="20">
        <v>35.5</v>
      </c>
      <c r="F316" s="20">
        <v>79.3958333333333</v>
      </c>
      <c r="G316" s="20">
        <v>4.30833333333333</v>
      </c>
      <c r="H316" s="20">
        <v>27.6</v>
      </c>
      <c r="I316" s="20">
        <v>51</v>
      </c>
      <c r="J316" s="20">
        <v>0</v>
      </c>
      <c r="K316" s="20">
        <v>0.35708333333333298</v>
      </c>
      <c r="L316" s="20">
        <f t="shared" si="86"/>
        <v>0.16425833333333317</v>
      </c>
      <c r="M316" s="20"/>
      <c r="N316" s="5">
        <f>IF(0&lt;B316&lt;26.5,16*(((10*B316)/#REF!)^#REF!)/30,((-415.85)+(32.24*B316)-(0.43*B316^2))/30)</f>
        <v>4.9643233333333319</v>
      </c>
      <c r="O316" s="6">
        <f t="shared" si="87"/>
        <v>5.0312804691293822</v>
      </c>
      <c r="P316" s="20">
        <f t="shared" si="88"/>
        <v>0</v>
      </c>
      <c r="Q316" s="5">
        <f t="shared" si="76"/>
        <v>4.9337149360492134</v>
      </c>
      <c r="R316" s="5">
        <f t="shared" si="89"/>
        <v>2.469319505974759</v>
      </c>
      <c r="S316" s="5">
        <f t="shared" si="77"/>
        <v>0.13293906428571414</v>
      </c>
      <c r="T316" s="5">
        <f t="shared" si="78"/>
        <v>2.7220692824874559</v>
      </c>
      <c r="U316" s="5">
        <f t="shared" si="79"/>
        <v>37.618569652787791</v>
      </c>
      <c r="AB316" s="14"/>
      <c r="AD316" s="5">
        <f t="shared" si="80"/>
        <v>3.9499999999999993</v>
      </c>
      <c r="AE316" s="5">
        <f t="shared" si="81"/>
        <v>14.19791666666665</v>
      </c>
      <c r="AF316" s="5">
        <f t="shared" si="82"/>
        <v>4.4488704508233914</v>
      </c>
      <c r="AG316" s="5">
        <f t="shared" si="83"/>
        <v>2.9783614476047857</v>
      </c>
      <c r="AH316" s="5">
        <f t="shared" si="90"/>
        <v>0.73525450160930284</v>
      </c>
      <c r="AI316" s="5">
        <f t="shared" si="84"/>
        <v>5.1769622982113628E-2</v>
      </c>
      <c r="AJ316" s="5">
        <f t="shared" si="91"/>
        <v>0.10439082142640402</v>
      </c>
      <c r="AK316" s="5">
        <f t="shared" si="92"/>
        <v>0.63086368018289884</v>
      </c>
      <c r="AL316" s="5">
        <f t="shared" si="85"/>
        <v>0.76200000000000001</v>
      </c>
      <c r="AM316" s="5">
        <v>16.7</v>
      </c>
    </row>
    <row r="317" spans="1:39" x14ac:dyDescent="0.2">
      <c r="A317" s="23">
        <v>45603</v>
      </c>
      <c r="B317" s="20">
        <v>28.4</v>
      </c>
      <c r="C317" s="20">
        <v>75.099999999999994</v>
      </c>
      <c r="D317" s="20">
        <v>1.2</v>
      </c>
      <c r="E317" s="20">
        <v>34.700000000000003</v>
      </c>
      <c r="F317" s="20">
        <v>79.9791666666666</v>
      </c>
      <c r="G317" s="20">
        <v>3.2062499999999998</v>
      </c>
      <c r="H317" s="20">
        <v>23.5</v>
      </c>
      <c r="I317" s="20">
        <v>46</v>
      </c>
      <c r="J317" s="20">
        <v>56.6</v>
      </c>
      <c r="K317" s="20">
        <v>0.894387499999999</v>
      </c>
      <c r="L317" s="20">
        <f t="shared" si="86"/>
        <v>0.41141824999999954</v>
      </c>
      <c r="M317" s="20"/>
      <c r="N317" s="5">
        <f>IF(0&lt;B317&lt;26.5,16*(((10*B317)/#REF!)^#REF!)/30,((-415.85)+(32.24*B317)-(0.43*B317^2))/30)</f>
        <v>5.0981733333333334</v>
      </c>
      <c r="O317" s="6">
        <f t="shared" si="87"/>
        <v>5.0312804691293822</v>
      </c>
      <c r="P317" s="20">
        <f t="shared" si="88"/>
        <v>0</v>
      </c>
      <c r="Q317" s="5">
        <f t="shared" si="76"/>
        <v>5.9387534272233271</v>
      </c>
      <c r="R317" s="5">
        <f t="shared" si="89"/>
        <v>2.9723402890317971</v>
      </c>
      <c r="S317" s="5">
        <f t="shared" si="77"/>
        <v>0.33515766096428523</v>
      </c>
      <c r="T317" s="5">
        <f t="shared" si="78"/>
        <v>2.6976028562773804</v>
      </c>
      <c r="U317" s="5">
        <f t="shared" si="79"/>
        <v>37.621498571858261</v>
      </c>
      <c r="AB317" s="14"/>
      <c r="AD317" s="5">
        <f t="shared" si="80"/>
        <v>5.6000000000000014</v>
      </c>
      <c r="AE317" s="5">
        <f t="shared" si="81"/>
        <v>16.9895833333333</v>
      </c>
      <c r="AF317" s="5">
        <f t="shared" si="82"/>
        <v>4.2757149343567242</v>
      </c>
      <c r="AG317" s="5">
        <f t="shared" si="83"/>
        <v>2.3981450197180743</v>
      </c>
      <c r="AH317" s="5">
        <f t="shared" si="90"/>
        <v>0.93878495731932499</v>
      </c>
      <c r="AI317" s="5">
        <f t="shared" si="84"/>
        <v>6.5205322388346004E-2</v>
      </c>
      <c r="AJ317" s="5">
        <f t="shared" si="91"/>
        <v>0.15949565264456417</v>
      </c>
      <c r="AK317" s="5">
        <f t="shared" si="92"/>
        <v>0.77928930467476087</v>
      </c>
      <c r="AL317" s="5">
        <f t="shared" si="85"/>
        <v>0.7669999999999999</v>
      </c>
      <c r="AM317" s="5">
        <v>16.7</v>
      </c>
    </row>
    <row r="318" spans="1:39" x14ac:dyDescent="0.2">
      <c r="A318" s="23">
        <v>45604</v>
      </c>
      <c r="B318" s="20">
        <v>30.4</v>
      </c>
      <c r="C318" s="20">
        <v>70.3</v>
      </c>
      <c r="D318" s="20">
        <v>1.3</v>
      </c>
      <c r="E318" s="20">
        <v>34.200000000000003</v>
      </c>
      <c r="F318" s="20">
        <v>72.7916666666666</v>
      </c>
      <c r="G318" s="20">
        <v>3.8895833333333298</v>
      </c>
      <c r="H318" s="20">
        <v>26.8</v>
      </c>
      <c r="I318" s="20">
        <v>55</v>
      </c>
      <c r="J318" s="20">
        <v>0</v>
      </c>
      <c r="K318" s="20">
        <v>0.66577083333333298</v>
      </c>
      <c r="L318" s="20">
        <f t="shared" si="86"/>
        <v>0.30625458333333316</v>
      </c>
      <c r="M318" s="20"/>
      <c r="N318" s="5">
        <f>IF(0&lt;B318&lt;26.5,16*(((10*B318)/#REF!)^#REF!)/30,((-415.85)+(32.24*B318)-(0.43*B318^2))/30)</f>
        <v>5.5619066666666663</v>
      </c>
      <c r="O318" s="6">
        <f t="shared" si="87"/>
        <v>5.0312804691293822</v>
      </c>
      <c r="P318" s="20">
        <f t="shared" si="88"/>
        <v>0</v>
      </c>
      <c r="Q318" s="5">
        <f t="shared" si="76"/>
        <v>5.0362491287986941</v>
      </c>
      <c r="R318" s="5">
        <f t="shared" si="89"/>
        <v>2.5206377692849649</v>
      </c>
      <c r="S318" s="5">
        <f t="shared" si="77"/>
        <v>0.25599268982142837</v>
      </c>
      <c r="T318" s="5">
        <f t="shared" si="78"/>
        <v>2.538318196728544</v>
      </c>
      <c r="U318" s="5">
        <f t="shared" si="79"/>
        <v>37.625298250652378</v>
      </c>
      <c r="AB318" s="14"/>
      <c r="AD318" s="5">
        <f t="shared" si="80"/>
        <v>3.7000000000000011</v>
      </c>
      <c r="AE318" s="5">
        <f t="shared" si="81"/>
        <v>8.8958333333333002</v>
      </c>
      <c r="AF318" s="5">
        <f t="shared" si="82"/>
        <v>4.1704944896016816</v>
      </c>
      <c r="AG318" s="5">
        <f t="shared" si="83"/>
        <v>2.8563929422901966</v>
      </c>
      <c r="AH318" s="5">
        <f t="shared" si="90"/>
        <v>0.65705077365574249</v>
      </c>
      <c r="AI318" s="5">
        <f t="shared" si="84"/>
        <v>4.6359292547325855E-2</v>
      </c>
      <c r="AJ318" s="5">
        <f t="shared" si="91"/>
        <v>5.8450141739791878E-2</v>
      </c>
      <c r="AK318" s="5">
        <f t="shared" si="92"/>
        <v>0.59860063191595059</v>
      </c>
      <c r="AL318" s="5">
        <f t="shared" si="85"/>
        <v>0.78699999999999992</v>
      </c>
      <c r="AM318" s="5">
        <v>16.7</v>
      </c>
    </row>
    <row r="319" spans="1:39" x14ac:dyDescent="0.2">
      <c r="A319" s="23">
        <v>45605</v>
      </c>
      <c r="B319" s="20">
        <v>31</v>
      </c>
      <c r="C319" s="20">
        <v>67.900000000000006</v>
      </c>
      <c r="D319" s="20">
        <v>1.8</v>
      </c>
      <c r="E319" s="20">
        <v>36.1</v>
      </c>
      <c r="F319" s="20">
        <v>71.5833333333333</v>
      </c>
      <c r="G319" s="20">
        <v>5.1312499999999996</v>
      </c>
      <c r="H319" s="20">
        <v>26.7</v>
      </c>
      <c r="I319" s="20">
        <v>45</v>
      </c>
      <c r="J319" s="20">
        <v>0</v>
      </c>
      <c r="K319" s="20">
        <v>0.80863333333333298</v>
      </c>
      <c r="L319" s="20">
        <f t="shared" si="86"/>
        <v>0.37197133333333321</v>
      </c>
      <c r="M319" s="20"/>
      <c r="N319" s="5">
        <f>IF(0&lt;B319&lt;26.5,16*(((10*B319)/#REF!)^#REF!)/30,((-415.85)+(32.24*B319)-(0.43*B319^2))/30)</f>
        <v>5.6786666666666674</v>
      </c>
      <c r="O319" s="6">
        <f t="shared" si="87"/>
        <v>5.0312804691293822</v>
      </c>
      <c r="P319" s="20">
        <f t="shared" si="88"/>
        <v>0</v>
      </c>
      <c r="Q319" s="5">
        <f t="shared" si="76"/>
        <v>5.7468261061529953</v>
      </c>
      <c r="R319" s="5">
        <f t="shared" si="89"/>
        <v>2.8762808523210168</v>
      </c>
      <c r="S319" s="5">
        <f t="shared" si="77"/>
        <v>0.3132945882857141</v>
      </c>
      <c r="T319" s="5">
        <f t="shared" si="78"/>
        <v>3.4639886363702463</v>
      </c>
      <c r="U319" s="5">
        <f t="shared" si="79"/>
        <v>37.62719809004944</v>
      </c>
      <c r="AB319" s="14"/>
      <c r="AD319" s="5">
        <f t="shared" si="80"/>
        <v>4.7000000000000011</v>
      </c>
      <c r="AE319" s="5">
        <f t="shared" si="81"/>
        <v>13.29166666666665</v>
      </c>
      <c r="AF319" s="5">
        <f t="shared" si="82"/>
        <v>4.5827061634087478</v>
      </c>
      <c r="AG319" s="5">
        <f t="shared" si="83"/>
        <v>2.8414577983779647</v>
      </c>
      <c r="AH319" s="5">
        <f t="shared" si="90"/>
        <v>0.87062418251539153</v>
      </c>
      <c r="AI319" s="5">
        <f t="shared" si="84"/>
        <v>6.0921690798922117E-2</v>
      </c>
      <c r="AJ319" s="5">
        <f t="shared" si="91"/>
        <v>0.11572046425933731</v>
      </c>
      <c r="AK319" s="5">
        <f t="shared" si="92"/>
        <v>0.75490371825605418</v>
      </c>
      <c r="AL319" s="5">
        <f t="shared" si="85"/>
        <v>0.79299999999999993</v>
      </c>
      <c r="AM319" s="5">
        <v>16.7</v>
      </c>
    </row>
    <row r="320" spans="1:39" x14ac:dyDescent="0.2">
      <c r="A320" s="23">
        <v>45606</v>
      </c>
      <c r="B320" s="20">
        <v>27.9</v>
      </c>
      <c r="C320" s="20">
        <v>76.900000000000006</v>
      </c>
      <c r="D320" s="20">
        <v>1.4</v>
      </c>
      <c r="E320" s="20">
        <v>33</v>
      </c>
      <c r="F320" s="20">
        <v>78.125</v>
      </c>
      <c r="G320" s="20">
        <v>4.8145833333333297</v>
      </c>
      <c r="H320" s="20">
        <v>24.9</v>
      </c>
      <c r="I320" s="20">
        <v>57</v>
      </c>
      <c r="J320" s="20">
        <v>0.4</v>
      </c>
      <c r="K320" s="20">
        <v>0.43478749999999899</v>
      </c>
      <c r="L320" s="20">
        <f t="shared" si="86"/>
        <v>0.20000224999999955</v>
      </c>
      <c r="M320" s="20"/>
      <c r="N320" s="5">
        <f>IF(0&lt;B320&lt;26.5,16*(((10*B320)/#REF!)^#REF!)/30,((-415.85)+(32.24*B320)-(0.43*B320^2))/30)</f>
        <v>4.9643233333333319</v>
      </c>
      <c r="O320" s="6">
        <f t="shared" si="87"/>
        <v>5.0312804691293822</v>
      </c>
      <c r="P320" s="20">
        <f t="shared" si="88"/>
        <v>0</v>
      </c>
      <c r="Q320" s="5">
        <f t="shared" si="76"/>
        <v>4.9957766830502841</v>
      </c>
      <c r="R320" s="5">
        <f t="shared" si="89"/>
        <v>2.5003813497235452</v>
      </c>
      <c r="S320" s="5">
        <f t="shared" si="77"/>
        <v>0.16186765949999959</v>
      </c>
      <c r="T320" s="5">
        <f t="shared" si="78"/>
        <v>2.810847192867246</v>
      </c>
      <c r="U320" s="5">
        <f t="shared" si="79"/>
        <v>37.620073692310463</v>
      </c>
      <c r="AB320" s="14"/>
      <c r="AD320" s="5">
        <f t="shared" si="80"/>
        <v>4.0500000000000007</v>
      </c>
      <c r="AE320" s="5">
        <f t="shared" si="81"/>
        <v>10.5625</v>
      </c>
      <c r="AF320" s="5">
        <f t="shared" si="82"/>
        <v>3.9271053508234131</v>
      </c>
      <c r="AG320" s="5">
        <f t="shared" si="83"/>
        <v>2.5840371643542337</v>
      </c>
      <c r="AH320" s="5">
        <f t="shared" si="90"/>
        <v>0.67153409323458968</v>
      </c>
      <c r="AI320" s="5">
        <f t="shared" si="84"/>
        <v>4.7243864375300856E-2</v>
      </c>
      <c r="AJ320" s="5">
        <f t="shared" si="91"/>
        <v>7.0930788597903541E-2</v>
      </c>
      <c r="AK320" s="5">
        <f t="shared" si="92"/>
        <v>0.6006033046366861</v>
      </c>
      <c r="AL320" s="5">
        <f t="shared" si="85"/>
        <v>0.76200000000000001</v>
      </c>
      <c r="AM320" s="5">
        <v>16.7</v>
      </c>
    </row>
    <row r="321" spans="1:39" x14ac:dyDescent="0.2">
      <c r="A321" s="23">
        <v>45607</v>
      </c>
      <c r="B321" s="20">
        <v>28.6</v>
      </c>
      <c r="C321" s="20">
        <v>73</v>
      </c>
      <c r="D321" s="20">
        <v>1</v>
      </c>
      <c r="E321" s="20">
        <v>34.1</v>
      </c>
      <c r="F321" s="20">
        <v>76.3333333333333</v>
      </c>
      <c r="G321" s="20">
        <v>3.3166666666666602</v>
      </c>
      <c r="H321" s="20">
        <v>24.9</v>
      </c>
      <c r="I321" s="20">
        <v>49</v>
      </c>
      <c r="J321" s="20">
        <v>0</v>
      </c>
      <c r="K321" s="20">
        <v>0.74687916666666598</v>
      </c>
      <c r="L321" s="20">
        <f t="shared" si="86"/>
        <v>0.34356441666666637</v>
      </c>
      <c r="M321" s="20"/>
      <c r="N321" s="5">
        <f>IF(0&lt;B321&lt;26.5,16*(((10*B321)/#REF!)^#REF!)/30,((-415.85)+(32.24*B321)-(0.43*B321^2))/30)</f>
        <v>5.1497066666666687</v>
      </c>
      <c r="O321" s="6">
        <f t="shared" si="87"/>
        <v>5.0312804691293822</v>
      </c>
      <c r="P321" s="20">
        <f t="shared" si="88"/>
        <v>0</v>
      </c>
      <c r="Q321" s="5">
        <f t="shared" si="76"/>
        <v>5.4057530421597342</v>
      </c>
      <c r="R321" s="5">
        <f t="shared" si="89"/>
        <v>2.7055741169708867</v>
      </c>
      <c r="S321" s="5">
        <f t="shared" si="77"/>
        <v>0.28061103867857112</v>
      </c>
      <c r="T321" s="5">
        <f t="shared" si="78"/>
        <v>2.508193142578413</v>
      </c>
      <c r="U321" s="5">
        <f t="shared" si="79"/>
        <v>37.623160931330688</v>
      </c>
      <c r="AB321" s="14"/>
      <c r="AD321" s="5">
        <f t="shared" si="80"/>
        <v>4.6000000000000014</v>
      </c>
      <c r="AE321" s="5">
        <f t="shared" si="81"/>
        <v>13.66666666666665</v>
      </c>
      <c r="AF321" s="5">
        <f t="shared" si="82"/>
        <v>4.1497228216209656</v>
      </c>
      <c r="AG321" s="5">
        <f t="shared" si="83"/>
        <v>2.5840371643542337</v>
      </c>
      <c r="AH321" s="5">
        <f t="shared" si="90"/>
        <v>0.78284282863336596</v>
      </c>
      <c r="AI321" s="5">
        <f t="shared" si="84"/>
        <v>5.4824514548161313E-2</v>
      </c>
      <c r="AJ321" s="5">
        <f t="shared" si="91"/>
        <v>0.10698851991322655</v>
      </c>
      <c r="AK321" s="5">
        <f t="shared" si="92"/>
        <v>0.67585430872013941</v>
      </c>
      <c r="AL321" s="5">
        <f t="shared" si="85"/>
        <v>0.76900000000000002</v>
      </c>
      <c r="AM321" s="5">
        <v>16.7</v>
      </c>
    </row>
    <row r="322" spans="1:39" x14ac:dyDescent="0.2">
      <c r="A322" s="23">
        <v>45608</v>
      </c>
      <c r="B322" s="20">
        <v>30.8</v>
      </c>
      <c r="C322" s="20">
        <v>67.8</v>
      </c>
      <c r="D322" s="20">
        <v>1.7</v>
      </c>
      <c r="E322" s="20">
        <v>35.6</v>
      </c>
      <c r="F322" s="20">
        <v>70.9166666666666</v>
      </c>
      <c r="G322" s="20">
        <v>4.0041666666666602</v>
      </c>
      <c r="H322" s="20">
        <v>26.8</v>
      </c>
      <c r="I322" s="20">
        <v>46</v>
      </c>
      <c r="J322" s="20">
        <v>0</v>
      </c>
      <c r="K322" s="20">
        <v>0.73373749999999993</v>
      </c>
      <c r="L322" s="20">
        <f t="shared" si="86"/>
        <v>0.33751924999999999</v>
      </c>
      <c r="M322" s="20"/>
      <c r="N322" s="5">
        <f>IF(0&lt;B322&lt;26.5,16*(((10*B322)/#REF!)^#REF!)/30,((-415.85)+(32.24*B322)-(0.43*B322^2))/30)</f>
        <v>5.6408933333333344</v>
      </c>
      <c r="O322" s="6">
        <f t="shared" si="87"/>
        <v>5.0312804691293822</v>
      </c>
      <c r="P322" s="20">
        <f t="shared" si="88"/>
        <v>0</v>
      </c>
      <c r="Q322" s="5">
        <f t="shared" si="76"/>
        <v>5.537604214808856</v>
      </c>
      <c r="R322" s="5">
        <f t="shared" si="89"/>
        <v>2.7715655000824615</v>
      </c>
      <c r="S322" s="5">
        <f t="shared" si="77"/>
        <v>0.2835601942499999</v>
      </c>
      <c r="T322" s="5">
        <f t="shared" si="78"/>
        <v>2.8943720256575518</v>
      </c>
      <c r="U322" s="5">
        <f t="shared" si="79"/>
        <v>37.627277250024314</v>
      </c>
      <c r="AB322" s="14"/>
      <c r="AD322" s="5">
        <f t="shared" si="80"/>
        <v>4.4000000000000004</v>
      </c>
      <c r="AE322" s="5">
        <f t="shared" si="81"/>
        <v>12.4583333333333</v>
      </c>
      <c r="AF322" s="5">
        <f t="shared" si="82"/>
        <v>4.4709375887904494</v>
      </c>
      <c r="AG322" s="5">
        <f t="shared" si="83"/>
        <v>2.8563929422901966</v>
      </c>
      <c r="AH322" s="5">
        <f t="shared" si="90"/>
        <v>0.80727232325012643</v>
      </c>
      <c r="AI322" s="5">
        <f t="shared" si="84"/>
        <v>5.6628977042854078E-2</v>
      </c>
      <c r="AJ322" s="5">
        <f t="shared" si="91"/>
        <v>0.10057267693824466</v>
      </c>
      <c r="AK322" s="5">
        <f t="shared" si="92"/>
        <v>0.70669964631188176</v>
      </c>
      <c r="AL322" s="5">
        <f t="shared" si="85"/>
        <v>0.79099999999999993</v>
      </c>
      <c r="AM322" s="5">
        <v>16.7</v>
      </c>
    </row>
    <row r="323" spans="1:39" x14ac:dyDescent="0.2">
      <c r="A323" s="23">
        <v>45609</v>
      </c>
      <c r="B323" s="20">
        <v>29</v>
      </c>
      <c r="C323" s="20">
        <v>73</v>
      </c>
      <c r="D323" s="20">
        <v>1.5</v>
      </c>
      <c r="E323" s="20">
        <v>35.1</v>
      </c>
      <c r="F323" s="20">
        <v>74.0416666666666</v>
      </c>
      <c r="G323" s="20">
        <v>4.93333333333333</v>
      </c>
      <c r="H323" s="20">
        <v>27.5</v>
      </c>
      <c r="I323" s="20">
        <v>54</v>
      </c>
      <c r="J323" s="20">
        <v>0</v>
      </c>
      <c r="K323" s="20">
        <v>0.39811666666666601</v>
      </c>
      <c r="L323" s="20">
        <f t="shared" si="86"/>
        <v>0.18313366666666636</v>
      </c>
      <c r="M323" s="20"/>
      <c r="N323" s="5">
        <f>IF(0&lt;B323&lt;26.5,16*(((10*B323)/#REF!)^#REF!)/30,((-415.85)+(32.24*B323)-(0.43*B323^2))/30)</f>
        <v>5.2493333333333343</v>
      </c>
      <c r="O323" s="6">
        <f t="shared" si="87"/>
        <v>5.0312804691293822</v>
      </c>
      <c r="P323" s="20">
        <f t="shared" si="88"/>
        <v>0</v>
      </c>
      <c r="Q323" s="5">
        <f t="shared" si="76"/>
        <v>4.9556081256344715</v>
      </c>
      <c r="R323" s="5">
        <f t="shared" si="89"/>
        <v>2.4802770259757367</v>
      </c>
      <c r="S323" s="5">
        <f t="shared" si="77"/>
        <v>0.15035501528571399</v>
      </c>
      <c r="T323" s="5">
        <f t="shared" si="78"/>
        <v>2.9522049434733177</v>
      </c>
      <c r="U323" s="5">
        <f t="shared" si="79"/>
        <v>37.623160931330688</v>
      </c>
      <c r="AB323" s="14"/>
      <c r="AD323" s="5">
        <f t="shared" si="80"/>
        <v>3.8000000000000007</v>
      </c>
      <c r="AE323" s="5">
        <f t="shared" si="81"/>
        <v>10.0208333333333</v>
      </c>
      <c r="AF323" s="5">
        <f t="shared" si="82"/>
        <v>4.3615457470670798</v>
      </c>
      <c r="AG323" s="5">
        <f t="shared" si="83"/>
        <v>2.9628710654047565</v>
      </c>
      <c r="AH323" s="5">
        <f t="shared" si="90"/>
        <v>0.69933734083116161</v>
      </c>
      <c r="AI323" s="5">
        <f t="shared" si="84"/>
        <v>4.9301967508694845E-2</v>
      </c>
      <c r="AJ323" s="5">
        <f t="shared" si="91"/>
        <v>7.0079429362455758E-2</v>
      </c>
      <c r="AK323" s="5">
        <f t="shared" si="92"/>
        <v>0.6292579114687058</v>
      </c>
      <c r="AL323" s="5">
        <f t="shared" si="85"/>
        <v>0.77299999999999991</v>
      </c>
      <c r="AM323" s="5">
        <v>16.7</v>
      </c>
    </row>
    <row r="324" spans="1:39" x14ac:dyDescent="0.2">
      <c r="A324" s="23">
        <v>45610</v>
      </c>
      <c r="B324" s="20">
        <v>27</v>
      </c>
      <c r="C324" s="20">
        <v>78.099999999999994</v>
      </c>
      <c r="D324" s="20">
        <v>1.2</v>
      </c>
      <c r="E324" s="20">
        <v>32.4</v>
      </c>
      <c r="F324" s="20">
        <v>81.4166666666666</v>
      </c>
      <c r="G324" s="20">
        <v>3.5625</v>
      </c>
      <c r="H324" s="20">
        <v>24.2</v>
      </c>
      <c r="I324" s="20">
        <v>58</v>
      </c>
      <c r="J324" s="20">
        <v>7.4</v>
      </c>
      <c r="K324" s="20">
        <v>0.54872916666666594</v>
      </c>
      <c r="L324" s="20">
        <f t="shared" si="86"/>
        <v>0.25241541666666634</v>
      </c>
      <c r="M324" s="20"/>
      <c r="N324" s="5">
        <f>IF(0&lt;B324&lt;26.5,16*(((10*B324)/#REF!)^#REF!)/30,((-415.85)+(32.24*B324)-(0.43*B324^2))/30)</f>
        <v>4.7053333333333338</v>
      </c>
      <c r="O324" s="6">
        <f t="shared" si="87"/>
        <v>5.0312804691293822</v>
      </c>
      <c r="P324" s="20">
        <f t="shared" si="88"/>
        <v>0</v>
      </c>
      <c r="Q324" s="5">
        <f t="shared" si="76"/>
        <v>4.9275296630823844</v>
      </c>
      <c r="R324" s="5">
        <f t="shared" si="89"/>
        <v>2.466223782896968</v>
      </c>
      <c r="S324" s="5">
        <f t="shared" si="77"/>
        <v>0.20187432482142825</v>
      </c>
      <c r="T324" s="5">
        <f t="shared" si="78"/>
        <v>2.3410588539227866</v>
      </c>
      <c r="U324" s="5">
        <f t="shared" si="79"/>
        <v>37.619123772611935</v>
      </c>
      <c r="AB324" s="14"/>
      <c r="AD324" s="5">
        <f t="shared" si="80"/>
        <v>4.0999999999999996</v>
      </c>
      <c r="AE324" s="5">
        <f t="shared" si="81"/>
        <v>11.7083333333333</v>
      </c>
      <c r="AF324" s="5">
        <f t="shared" si="82"/>
        <v>3.8101157364190938</v>
      </c>
      <c r="AG324" s="5">
        <f t="shared" si="83"/>
        <v>2.4895751699974444</v>
      </c>
      <c r="AH324" s="5">
        <f t="shared" si="90"/>
        <v>0.6602702832108247</v>
      </c>
      <c r="AI324" s="5">
        <f t="shared" si="84"/>
        <v>4.6432190649098835E-2</v>
      </c>
      <c r="AJ324" s="5">
        <f t="shared" si="91"/>
        <v>7.7306645659267176E-2</v>
      </c>
      <c r="AK324" s="5">
        <f t="shared" si="92"/>
        <v>0.58296363755155756</v>
      </c>
      <c r="AL324" s="5">
        <f t="shared" si="85"/>
        <v>0.753</v>
      </c>
      <c r="AM324" s="5">
        <v>16.7</v>
      </c>
    </row>
    <row r="325" spans="1:39" x14ac:dyDescent="0.2">
      <c r="A325" s="23">
        <v>45611</v>
      </c>
      <c r="B325" s="20">
        <v>27.5</v>
      </c>
      <c r="C325" s="20">
        <v>80.400000000000006</v>
      </c>
      <c r="D325" s="20">
        <v>0.9</v>
      </c>
      <c r="E325" s="20">
        <v>33.799999999999997</v>
      </c>
      <c r="F325" s="20">
        <v>82.125</v>
      </c>
      <c r="G325" s="20">
        <v>3.0958333333333301</v>
      </c>
      <c r="H325" s="20">
        <v>25.6</v>
      </c>
      <c r="I325" s="20">
        <v>59</v>
      </c>
      <c r="J325" s="20">
        <v>0</v>
      </c>
      <c r="K325" s="20">
        <v>0.31610416666666602</v>
      </c>
      <c r="L325" s="20">
        <f t="shared" si="86"/>
        <v>0.14540791666666639</v>
      </c>
      <c r="M325" s="20"/>
      <c r="N325" s="5">
        <f>IF(0&lt;B325&lt;26.5,16*(((10*B325)/#REF!)^#REF!)/30,((-415.85)+(32.24*B325)-(0.43*B325^2))/30)</f>
        <v>4.8520833333333337</v>
      </c>
      <c r="O325" s="6">
        <f t="shared" si="87"/>
        <v>5.0312804691293822</v>
      </c>
      <c r="P325" s="20">
        <f t="shared" si="88"/>
        <v>0</v>
      </c>
      <c r="Q325" s="5">
        <f t="shared" si="76"/>
        <v>4.982524413786428</v>
      </c>
      <c r="R325" s="5">
        <f t="shared" si="89"/>
        <v>2.4937486019025141</v>
      </c>
      <c r="S325" s="5">
        <f t="shared" si="77"/>
        <v>0.11706511392857118</v>
      </c>
      <c r="T325" s="5">
        <f t="shared" si="78"/>
        <v>2.2375501980089139</v>
      </c>
      <c r="U325" s="5">
        <f t="shared" si="79"/>
        <v>37.617303093189747</v>
      </c>
      <c r="AB325" s="14"/>
      <c r="AD325" s="5">
        <f t="shared" si="80"/>
        <v>4.0999999999999979</v>
      </c>
      <c r="AE325" s="5">
        <f t="shared" si="81"/>
        <v>11.5625</v>
      </c>
      <c r="AF325" s="5">
        <f t="shared" si="82"/>
        <v>4.0879467356658399</v>
      </c>
      <c r="AG325" s="5">
        <f t="shared" si="83"/>
        <v>2.6816155357966691</v>
      </c>
      <c r="AH325" s="5">
        <f t="shared" si="90"/>
        <v>0.70316559993458538</v>
      </c>
      <c r="AI325" s="5">
        <f t="shared" si="84"/>
        <v>4.9448718235931298E-2</v>
      </c>
      <c r="AJ325" s="5">
        <f t="shared" si="91"/>
        <v>8.1303522492436428E-2</v>
      </c>
      <c r="AK325" s="5">
        <f t="shared" si="92"/>
        <v>0.62186207744214894</v>
      </c>
      <c r="AL325" s="5">
        <f t="shared" si="85"/>
        <v>0.75800000000000001</v>
      </c>
      <c r="AM325" s="5">
        <v>16.7</v>
      </c>
    </row>
    <row r="326" spans="1:39" x14ac:dyDescent="0.2">
      <c r="A326" s="23">
        <v>45612</v>
      </c>
      <c r="B326" s="20">
        <v>26.7</v>
      </c>
      <c r="C326" s="20">
        <v>80.599999999999994</v>
      </c>
      <c r="D326" s="20">
        <v>2.1</v>
      </c>
      <c r="E326" s="20">
        <v>29.9</v>
      </c>
      <c r="F326" s="20">
        <v>84.0833333333333</v>
      </c>
      <c r="G326" s="20">
        <v>5.1395833333333298</v>
      </c>
      <c r="H326" s="20">
        <v>24.5</v>
      </c>
      <c r="I326" s="20">
        <v>59</v>
      </c>
      <c r="J326" s="20">
        <v>10.199999999999999</v>
      </c>
      <c r="K326" s="20">
        <v>0.49345</v>
      </c>
      <c r="L326" s="20">
        <f t="shared" si="86"/>
        <v>0.22698700000000002</v>
      </c>
      <c r="M326" s="20"/>
      <c r="N326" s="5">
        <f>IF(0&lt;B326&lt;26.5,16*(((10*B326)/#REF!)^#REF!)/30,((-415.85)+(32.24*B326)-(0.43*B326^2))/30)</f>
        <v>4.6138433333333335</v>
      </c>
      <c r="O326" s="6">
        <f t="shared" si="87"/>
        <v>5.0312804691293822</v>
      </c>
      <c r="P326" s="20">
        <f t="shared" si="88"/>
        <v>0</v>
      </c>
      <c r="Q326" s="5">
        <f t="shared" ref="Q326:Q371" si="93">0.0023*(SQRT(E326-H326))*(17.8+B326)*AM326</f>
        <v>3.9719264517529767</v>
      </c>
      <c r="R326" s="5">
        <f t="shared" si="89"/>
        <v>1.9879453091111674</v>
      </c>
      <c r="S326" s="5">
        <f t="shared" ref="S326:S371" si="94">1.26*AL326*((K326*0.95)/2.45)</f>
        <v>0.18081417857142856</v>
      </c>
      <c r="T326" s="5">
        <f t="shared" ref="T326:T371" si="95">((0.408*AI326)*(K326*0.95) + ((0.063*900*G326*AK326)/((AD326+273))))/(AI326+0.063*(1+0.34*G326))</f>
        <v>1.911421360931008</v>
      </c>
      <c r="U326" s="5">
        <f t="shared" ref="U326:U371" si="96">1.21*(10^((7.45*$X$19)/(234.7+$X$19)))*((1-0.01*(C326/100))+(0.21*$X$19)-2.3)</f>
        <v>37.617144773239993</v>
      </c>
      <c r="AB326" s="14"/>
      <c r="AD326" s="5">
        <f t="shared" ref="AD326:AD371" si="97">(E326-H326)/2</f>
        <v>2.6999999999999993</v>
      </c>
      <c r="AE326" s="5">
        <f t="shared" ref="AE326:AE371" si="98">(F326-I326)/2</f>
        <v>12.54166666666665</v>
      </c>
      <c r="AF326" s="5">
        <f t="shared" ref="AF326:AF371" si="99">0.611*10^((7.5*E326)/(273.3+E326))</f>
        <v>3.3546871735039403</v>
      </c>
      <c r="AG326" s="5">
        <f t="shared" ref="AG326:AG371" si="100">0.611*10^((7.5*H326)/(273.3+H326))</f>
        <v>2.529682749076466</v>
      </c>
      <c r="AH326" s="5">
        <f t="shared" si="90"/>
        <v>0.41250221221373717</v>
      </c>
      <c r="AI326" s="5">
        <f t="shared" ref="AI326:AI371" si="101">(4098*AH326)/((237.3+AD326)^2)</f>
        <v>2.9347813639789843E-2</v>
      </c>
      <c r="AJ326" s="5">
        <f t="shared" si="91"/>
        <v>5.1734652448472807E-2</v>
      </c>
      <c r="AK326" s="5">
        <f t="shared" si="92"/>
        <v>0.36076755976526437</v>
      </c>
      <c r="AL326" s="5">
        <f t="shared" ref="AL326:AL371" si="102">IF(0&lt;B326&lt;16,0.407+0.0145*B326,0.483+0.01*B326)</f>
        <v>0.75</v>
      </c>
      <c r="AM326" s="5">
        <v>16.7</v>
      </c>
    </row>
    <row r="327" spans="1:39" x14ac:dyDescent="0.2">
      <c r="A327" s="23">
        <v>45613</v>
      </c>
      <c r="B327" s="20">
        <v>28.7</v>
      </c>
      <c r="C327" s="20">
        <v>72.900000000000006</v>
      </c>
      <c r="D327" s="20">
        <v>1.4</v>
      </c>
      <c r="E327" s="20">
        <v>34.5</v>
      </c>
      <c r="F327" s="20">
        <v>76.2916666666666</v>
      </c>
      <c r="G327" s="20">
        <v>3.5249999999999999</v>
      </c>
      <c r="H327" s="20">
        <v>24.6</v>
      </c>
      <c r="I327" s="20">
        <v>48</v>
      </c>
      <c r="J327" s="20">
        <v>0</v>
      </c>
      <c r="K327" s="20">
        <v>0.79972083333333299</v>
      </c>
      <c r="L327" s="20">
        <f t="shared" ref="L327:L371" si="103">K327*0.46</f>
        <v>0.3678715833333332</v>
      </c>
      <c r="M327" s="20"/>
      <c r="N327" s="5">
        <f>IF(0&lt;B327&lt;26.5,16*(((10*B327)/#REF!)^#REF!)/30,((-415.85)+(32.24*B327)-(0.43*B327^2))/30)</f>
        <v>5.1750433333333339</v>
      </c>
      <c r="O327" s="6">
        <f t="shared" ref="O327:O371" si="104">$AC$6</f>
        <v>5.0312804691293822</v>
      </c>
      <c r="P327" s="20">
        <f t="shared" ref="P327:P371" si="105">(0.01*B327*Y327)</f>
        <v>0</v>
      </c>
      <c r="Q327" s="5">
        <f t="shared" si="93"/>
        <v>5.6197223262210647</v>
      </c>
      <c r="R327" s="5">
        <f t="shared" ref="R327:R371" si="106">Q327*$W$1</f>
        <v>2.8126655346268881</v>
      </c>
      <c r="S327" s="5">
        <f t="shared" si="94"/>
        <v>0.3008549774999999</v>
      </c>
      <c r="T327" s="5">
        <f t="shared" si="95"/>
        <v>2.7339943139330165</v>
      </c>
      <c r="U327" s="5">
        <f t="shared" si="96"/>
        <v>37.623240091305561</v>
      </c>
      <c r="AB327" s="14"/>
      <c r="AD327" s="5">
        <f t="shared" si="97"/>
        <v>4.9499999999999993</v>
      </c>
      <c r="AE327" s="5">
        <f t="shared" si="98"/>
        <v>14.1458333333333</v>
      </c>
      <c r="AF327" s="5">
        <f t="shared" si="99"/>
        <v>4.2333530124400509</v>
      </c>
      <c r="AG327" s="5">
        <f t="shared" si="100"/>
        <v>2.5431768268137356</v>
      </c>
      <c r="AH327" s="5">
        <f t="shared" ref="AH327:AH371" si="107">(AF327-AG327)/2</f>
        <v>0.84508809281315767</v>
      </c>
      <c r="AI327" s="5">
        <f t="shared" si="101"/>
        <v>5.9012819562871216E-2</v>
      </c>
      <c r="AJ327" s="5">
        <f t="shared" ref="AJ327:AJ371" si="108">(AE327*AH327)/100</f>
        <v>0.11954475312919431</v>
      </c>
      <c r="AK327" s="5">
        <f t="shared" ref="AK327:AK371" si="109">AH327-AJ327</f>
        <v>0.72554333968396334</v>
      </c>
      <c r="AL327" s="5">
        <f t="shared" si="102"/>
        <v>0.77</v>
      </c>
      <c r="AM327" s="5">
        <v>16.7</v>
      </c>
    </row>
    <row r="328" spans="1:39" x14ac:dyDescent="0.2">
      <c r="A328" s="23">
        <v>45614</v>
      </c>
      <c r="B328" s="20">
        <v>31</v>
      </c>
      <c r="C328" s="20">
        <v>65</v>
      </c>
      <c r="D328" s="20">
        <v>1.3</v>
      </c>
      <c r="E328" s="20">
        <v>36</v>
      </c>
      <c r="F328" s="20">
        <v>68.1666666666666</v>
      </c>
      <c r="G328" s="20">
        <v>3.6229166666666601</v>
      </c>
      <c r="H328" s="20">
        <v>26.4</v>
      </c>
      <c r="I328" s="20">
        <v>44</v>
      </c>
      <c r="J328" s="20">
        <v>0</v>
      </c>
      <c r="K328" s="20">
        <v>0.86742083333333297</v>
      </c>
      <c r="L328" s="20">
        <f t="shared" si="103"/>
        <v>0.3990135833333332</v>
      </c>
      <c r="M328" s="20"/>
      <c r="N328" s="5">
        <f>IF(0&lt;B328&lt;26.5,16*(((10*B328)/#REF!)^#REF!)/30,((-415.85)+(32.24*B328)-(0.43*B328^2))/30)</f>
        <v>5.6786666666666674</v>
      </c>
      <c r="O328" s="6">
        <f t="shared" si="104"/>
        <v>5.0312804691293822</v>
      </c>
      <c r="P328" s="20">
        <f t="shared" si="105"/>
        <v>0</v>
      </c>
      <c r="Q328" s="5">
        <f t="shared" si="93"/>
        <v>5.8076407743983616</v>
      </c>
      <c r="R328" s="5">
        <f t="shared" si="106"/>
        <v>2.9067185343707864</v>
      </c>
      <c r="S328" s="5">
        <f t="shared" si="94"/>
        <v>0.33607104932142839</v>
      </c>
      <c r="T328" s="5">
        <f t="shared" si="95"/>
        <v>2.9362333471162709</v>
      </c>
      <c r="U328" s="5">
        <f t="shared" si="96"/>
        <v>37.629493729320885</v>
      </c>
      <c r="AB328" s="14"/>
      <c r="AD328" s="5">
        <f t="shared" si="97"/>
        <v>4.8000000000000007</v>
      </c>
      <c r="AE328" s="5">
        <f t="shared" si="98"/>
        <v>12.0833333333333</v>
      </c>
      <c r="AF328" s="5">
        <f t="shared" si="99"/>
        <v>4.5601602490635109</v>
      </c>
      <c r="AG328" s="5">
        <f t="shared" si="100"/>
        <v>2.7970605689481141</v>
      </c>
      <c r="AH328" s="5">
        <f t="shared" si="107"/>
        <v>0.88154984005769843</v>
      </c>
      <c r="AI328" s="5">
        <f t="shared" si="101"/>
        <v>6.1635261961698003E-2</v>
      </c>
      <c r="AJ328" s="5">
        <f t="shared" si="108"/>
        <v>0.10652060567363827</v>
      </c>
      <c r="AK328" s="5">
        <f t="shared" si="109"/>
        <v>0.77502923438406013</v>
      </c>
      <c r="AL328" s="5">
        <f t="shared" si="102"/>
        <v>0.79299999999999993</v>
      </c>
      <c r="AM328" s="5">
        <v>16.7</v>
      </c>
    </row>
    <row r="329" spans="1:39" x14ac:dyDescent="0.2">
      <c r="A329" s="23">
        <v>45615</v>
      </c>
      <c r="B329" s="20">
        <v>28.8</v>
      </c>
      <c r="C329" s="20">
        <v>74.5</v>
      </c>
      <c r="D329" s="20">
        <v>0.9</v>
      </c>
      <c r="E329" s="20">
        <v>34.9</v>
      </c>
      <c r="F329" s="20">
        <v>76.1666666666666</v>
      </c>
      <c r="G329" s="20">
        <v>3.2916666666666599</v>
      </c>
      <c r="H329" s="20">
        <v>27.6</v>
      </c>
      <c r="I329" s="20">
        <v>55</v>
      </c>
      <c r="J329" s="20">
        <v>0</v>
      </c>
      <c r="K329" s="20">
        <v>0.44527083333333295</v>
      </c>
      <c r="L329" s="20">
        <f t="shared" si="103"/>
        <v>0.20482458333333317</v>
      </c>
      <c r="M329" s="20"/>
      <c r="N329" s="5">
        <f>IF(0&lt;B329&lt;26.5,16*(((10*B329)/#REF!)^#REF!)/30,((-415.85)+(32.24*B329)-(0.43*B329^2))/30)</f>
        <v>5.2000933333333341</v>
      </c>
      <c r="O329" s="6">
        <f t="shared" si="104"/>
        <v>5.0312804691293822</v>
      </c>
      <c r="P329" s="20">
        <f t="shared" si="105"/>
        <v>0</v>
      </c>
      <c r="Q329" s="5">
        <f t="shared" si="93"/>
        <v>4.8360597048116336</v>
      </c>
      <c r="R329" s="5">
        <f t="shared" si="106"/>
        <v>2.4204431581352277</v>
      </c>
      <c r="S329" s="5">
        <f t="shared" si="94"/>
        <v>0.16772843410714269</v>
      </c>
      <c r="T329" s="5">
        <f t="shared" si="95"/>
        <v>2.2806886959246131</v>
      </c>
      <c r="U329" s="5">
        <f t="shared" si="96"/>
        <v>37.621973531707518</v>
      </c>
      <c r="AB329" s="14"/>
      <c r="AD329" s="5">
        <f t="shared" si="97"/>
        <v>3.6499999999999986</v>
      </c>
      <c r="AE329" s="5">
        <f t="shared" si="98"/>
        <v>10.5833333333333</v>
      </c>
      <c r="AF329" s="5">
        <f t="shared" si="99"/>
        <v>4.3184449530992666</v>
      </c>
      <c r="AG329" s="5">
        <f t="shared" si="100"/>
        <v>2.9783614476047857</v>
      </c>
      <c r="AH329" s="5">
        <f t="shared" si="107"/>
        <v>0.67004175274724043</v>
      </c>
      <c r="AI329" s="5">
        <f t="shared" si="101"/>
        <v>4.7295514995106584E-2</v>
      </c>
      <c r="AJ329" s="5">
        <f t="shared" si="108"/>
        <v>7.0912752165749382E-2</v>
      </c>
      <c r="AK329" s="5">
        <f t="shared" si="109"/>
        <v>0.5991290005814911</v>
      </c>
      <c r="AL329" s="5">
        <f t="shared" si="102"/>
        <v>0.77100000000000002</v>
      </c>
      <c r="AM329" s="5">
        <v>16.7</v>
      </c>
    </row>
    <row r="330" spans="1:39" x14ac:dyDescent="0.2">
      <c r="A330" s="23">
        <v>45616</v>
      </c>
      <c r="B330" s="20">
        <v>27.8</v>
      </c>
      <c r="C330" s="20">
        <v>79.8</v>
      </c>
      <c r="D330" s="20">
        <v>1.3</v>
      </c>
      <c r="E330" s="20">
        <v>33.1</v>
      </c>
      <c r="F330" s="20">
        <v>82.9166666666666</v>
      </c>
      <c r="G330" s="20">
        <v>4.43333333333333</v>
      </c>
      <c r="H330" s="20">
        <v>24.6</v>
      </c>
      <c r="I330" s="20">
        <v>58</v>
      </c>
      <c r="J330" s="20">
        <v>0.4</v>
      </c>
      <c r="K330" s="20">
        <v>0.56240833333333295</v>
      </c>
      <c r="L330" s="20">
        <f t="shared" si="103"/>
        <v>0.25870783333333319</v>
      </c>
      <c r="M330" s="20"/>
      <c r="N330" s="5">
        <f>IF(0&lt;B330&lt;26.5,16*(((10*B330)/#REF!)^#REF!)/30,((-415.85)+(32.24*B330)-(0.43*B330^2))/30)</f>
        <v>4.9366933333333334</v>
      </c>
      <c r="O330" s="6">
        <f t="shared" si="104"/>
        <v>5.0312804691293822</v>
      </c>
      <c r="P330" s="20">
        <f t="shared" si="105"/>
        <v>0</v>
      </c>
      <c r="Q330" s="5">
        <f t="shared" si="93"/>
        <v>5.1064444600069825</v>
      </c>
      <c r="R330" s="5">
        <f t="shared" si="106"/>
        <v>2.5557704639841412</v>
      </c>
      <c r="S330" s="5">
        <f t="shared" si="94"/>
        <v>0.20910502521428556</v>
      </c>
      <c r="T330" s="5">
        <f t="shared" si="95"/>
        <v>2.7396578585619209</v>
      </c>
      <c r="U330" s="5">
        <f t="shared" si="96"/>
        <v>37.617778053039018</v>
      </c>
      <c r="AB330" s="14"/>
      <c r="AD330" s="5">
        <f t="shared" si="97"/>
        <v>4.25</v>
      </c>
      <c r="AE330" s="5">
        <f t="shared" si="98"/>
        <v>12.4583333333333</v>
      </c>
      <c r="AF330" s="5">
        <f t="shared" si="99"/>
        <v>3.9469044698804279</v>
      </c>
      <c r="AG330" s="5">
        <f t="shared" si="100"/>
        <v>2.5431768268137356</v>
      </c>
      <c r="AH330" s="5">
        <f t="shared" si="107"/>
        <v>0.70186382153334614</v>
      </c>
      <c r="AI330" s="5">
        <f t="shared" si="101"/>
        <v>4.9295891732890514E-2</v>
      </c>
      <c r="AJ330" s="5">
        <f t="shared" si="108"/>
        <v>8.7440534432695796E-2</v>
      </c>
      <c r="AK330" s="5">
        <f t="shared" si="109"/>
        <v>0.61442328710065031</v>
      </c>
      <c r="AL330" s="5">
        <f t="shared" si="102"/>
        <v>0.76100000000000001</v>
      </c>
      <c r="AM330" s="5">
        <v>16.7</v>
      </c>
    </row>
    <row r="331" spans="1:39" x14ac:dyDescent="0.2">
      <c r="A331" s="23">
        <v>45617</v>
      </c>
      <c r="B331" s="20">
        <v>27.9</v>
      </c>
      <c r="C331" s="20">
        <v>81.599999999999994</v>
      </c>
      <c r="D331" s="20">
        <v>0.8</v>
      </c>
      <c r="E331" s="20">
        <v>33</v>
      </c>
      <c r="F331" s="20">
        <v>84.7083333333333</v>
      </c>
      <c r="G331" s="20">
        <v>2.7604166666666599</v>
      </c>
      <c r="H331" s="20">
        <v>25.6</v>
      </c>
      <c r="I331" s="20">
        <v>58</v>
      </c>
      <c r="J331" s="20">
        <v>0</v>
      </c>
      <c r="K331" s="20">
        <v>0.405454166666666</v>
      </c>
      <c r="L331" s="20">
        <f t="shared" si="103"/>
        <v>0.18650891666666636</v>
      </c>
      <c r="M331" s="20"/>
      <c r="N331" s="5">
        <f>IF(0&lt;B331&lt;26.5,16*(((10*B331)/#REF!)^#REF!)/30,((-415.85)+(32.24*B331)-(0.43*B331^2))/30)</f>
        <v>4.9643233333333319</v>
      </c>
      <c r="O331" s="6">
        <f t="shared" si="104"/>
        <v>5.0312804691293822</v>
      </c>
      <c r="P331" s="20">
        <f t="shared" si="105"/>
        <v>0</v>
      </c>
      <c r="Q331" s="5">
        <f t="shared" si="93"/>
        <v>4.775032887678428</v>
      </c>
      <c r="R331" s="5">
        <f t="shared" si="106"/>
        <v>2.3898992957743328</v>
      </c>
      <c r="S331" s="5">
        <f t="shared" si="94"/>
        <v>0.15094711092857113</v>
      </c>
      <c r="T331" s="5">
        <f t="shared" si="95"/>
        <v>1.8794865968562595</v>
      </c>
      <c r="U331" s="5">
        <f t="shared" si="96"/>
        <v>37.61635317349122</v>
      </c>
      <c r="AB331" s="14"/>
      <c r="AD331" s="5">
        <f t="shared" si="97"/>
        <v>3.6999999999999993</v>
      </c>
      <c r="AE331" s="5">
        <f t="shared" si="98"/>
        <v>13.35416666666665</v>
      </c>
      <c r="AF331" s="5">
        <f t="shared" si="99"/>
        <v>3.9271053508234131</v>
      </c>
      <c r="AG331" s="5">
        <f t="shared" si="100"/>
        <v>2.6816155357966691</v>
      </c>
      <c r="AH331" s="5">
        <f t="shared" si="107"/>
        <v>0.62274490751337197</v>
      </c>
      <c r="AI331" s="5">
        <f t="shared" si="101"/>
        <v>4.3938786022792276E-2</v>
      </c>
      <c r="AJ331" s="5">
        <f t="shared" si="108"/>
        <v>8.3162392857514769E-2</v>
      </c>
      <c r="AK331" s="5">
        <f t="shared" si="109"/>
        <v>0.53958251465585716</v>
      </c>
      <c r="AL331" s="5">
        <f t="shared" si="102"/>
        <v>0.76200000000000001</v>
      </c>
      <c r="AM331" s="5">
        <v>16.7</v>
      </c>
    </row>
    <row r="332" spans="1:39" x14ac:dyDescent="0.2">
      <c r="A332" s="23">
        <v>45618</v>
      </c>
      <c r="B332" s="20">
        <v>28.1</v>
      </c>
      <c r="C332" s="20">
        <v>80.099999999999994</v>
      </c>
      <c r="D332" s="20">
        <v>1.2</v>
      </c>
      <c r="E332" s="20">
        <v>32.6</v>
      </c>
      <c r="F332" s="20">
        <v>83.0416666666666</v>
      </c>
      <c r="G332" s="20">
        <v>3.49583333333333</v>
      </c>
      <c r="H332" s="20">
        <v>23.6</v>
      </c>
      <c r="I332" s="20">
        <v>61</v>
      </c>
      <c r="J332" s="20">
        <v>5.4</v>
      </c>
      <c r="K332" s="20">
        <v>0.60262499999999997</v>
      </c>
      <c r="L332" s="20">
        <f t="shared" si="103"/>
        <v>0.2772075</v>
      </c>
      <c r="M332" s="20"/>
      <c r="N332" s="5">
        <f>IF(0&lt;B332&lt;26.5,16*(((10*B332)/#REF!)^#REF!)/30,((-415.85)+(32.24*B332)-(0.43*B332^2))/30)</f>
        <v>5.0187233333333321</v>
      </c>
      <c r="O332" s="6">
        <f t="shared" si="104"/>
        <v>5.0312804691293822</v>
      </c>
      <c r="P332" s="20">
        <f t="shared" si="105"/>
        <v>0</v>
      </c>
      <c r="Q332" s="5">
        <f t="shared" si="93"/>
        <v>5.2890570000000006</v>
      </c>
      <c r="R332" s="5">
        <f t="shared" si="106"/>
        <v>2.6471678618649048</v>
      </c>
      <c r="S332" s="5">
        <f t="shared" si="94"/>
        <v>0.22494097285714282</v>
      </c>
      <c r="T332" s="5">
        <f t="shared" si="95"/>
        <v>2.4893315394563209</v>
      </c>
      <c r="U332" s="5">
        <f t="shared" si="96"/>
        <v>37.61754057311439</v>
      </c>
      <c r="AB332" s="14"/>
      <c r="AD332" s="5">
        <f t="shared" si="97"/>
        <v>4.5</v>
      </c>
      <c r="AE332" s="5">
        <f t="shared" si="98"/>
        <v>11.0208333333333</v>
      </c>
      <c r="AF332" s="5">
        <f t="shared" si="99"/>
        <v>3.8487705516817581</v>
      </c>
      <c r="AG332" s="5">
        <f t="shared" si="100"/>
        <v>2.4110240005403845</v>
      </c>
      <c r="AH332" s="5">
        <f t="shared" si="107"/>
        <v>0.71887327557068681</v>
      </c>
      <c r="AI332" s="5">
        <f t="shared" si="101"/>
        <v>5.0386210864215152E-2</v>
      </c>
      <c r="AJ332" s="5">
        <f t="shared" si="108"/>
        <v>7.9225825578519204E-2</v>
      </c>
      <c r="AK332" s="5">
        <f t="shared" si="109"/>
        <v>0.6396474499921676</v>
      </c>
      <c r="AL332" s="5">
        <f t="shared" si="102"/>
        <v>0.76400000000000001</v>
      </c>
      <c r="AM332" s="5">
        <v>16.7</v>
      </c>
    </row>
    <row r="333" spans="1:39" x14ac:dyDescent="0.2">
      <c r="A333" s="23">
        <v>45619</v>
      </c>
      <c r="B333" s="20">
        <v>28.5</v>
      </c>
      <c r="C333" s="20">
        <v>75.5</v>
      </c>
      <c r="D333" s="20">
        <v>1.3</v>
      </c>
      <c r="E333" s="20">
        <v>33.1</v>
      </c>
      <c r="F333" s="20">
        <v>78.375</v>
      </c>
      <c r="G333" s="20">
        <v>3.9375</v>
      </c>
      <c r="H333" s="20">
        <v>25.4</v>
      </c>
      <c r="I333" s="20">
        <v>60</v>
      </c>
      <c r="J333" s="20">
        <v>0</v>
      </c>
      <c r="K333" s="20">
        <v>0.56180416666666599</v>
      </c>
      <c r="L333" s="20">
        <f t="shared" si="103"/>
        <v>0.25842991666666637</v>
      </c>
      <c r="M333" s="20"/>
      <c r="N333" s="5">
        <f>IF(0&lt;B333&lt;26.5,16*(((10*B333)/#REF!)^#REF!)/30,((-415.85)+(32.24*B333)-(0.43*B333^2))/30)</f>
        <v>5.124083333333334</v>
      </c>
      <c r="O333" s="6">
        <f t="shared" si="104"/>
        <v>5.0312804691293822</v>
      </c>
      <c r="P333" s="20">
        <f t="shared" si="105"/>
        <v>0</v>
      </c>
      <c r="Q333" s="5">
        <f t="shared" si="93"/>
        <v>4.9348125525804214</v>
      </c>
      <c r="R333" s="5">
        <f t="shared" si="106"/>
        <v>2.4698688619764178</v>
      </c>
      <c r="S333" s="5">
        <f t="shared" si="94"/>
        <v>0.2108017645714283</v>
      </c>
      <c r="T333" s="5">
        <f t="shared" si="95"/>
        <v>2.5065393848439737</v>
      </c>
      <c r="U333" s="5">
        <f t="shared" si="96"/>
        <v>37.621181931958745</v>
      </c>
      <c r="AB333" s="14"/>
      <c r="AD333" s="5">
        <f t="shared" si="97"/>
        <v>3.8500000000000014</v>
      </c>
      <c r="AE333" s="5">
        <f t="shared" si="98"/>
        <v>9.1875</v>
      </c>
      <c r="AF333" s="5">
        <f t="shared" si="99"/>
        <v>3.9469044698804279</v>
      </c>
      <c r="AG333" s="5">
        <f t="shared" si="100"/>
        <v>2.6534130007609296</v>
      </c>
      <c r="AH333" s="5">
        <f t="shared" si="107"/>
        <v>0.64674573455974915</v>
      </c>
      <c r="AI333" s="5">
        <f t="shared" si="101"/>
        <v>4.5575453065916434E-2</v>
      </c>
      <c r="AJ333" s="5">
        <f t="shared" si="108"/>
        <v>5.9419764362676951E-2</v>
      </c>
      <c r="AK333" s="5">
        <f t="shared" si="109"/>
        <v>0.58732597019707222</v>
      </c>
      <c r="AL333" s="5">
        <f t="shared" si="102"/>
        <v>0.76800000000000002</v>
      </c>
      <c r="AM333" s="5">
        <v>16.7</v>
      </c>
    </row>
    <row r="334" spans="1:39" x14ac:dyDescent="0.2">
      <c r="A334" s="23">
        <v>45620</v>
      </c>
      <c r="B334" s="20">
        <v>28.8</v>
      </c>
      <c r="C334" s="20">
        <v>78.5</v>
      </c>
      <c r="D334" s="20">
        <v>0.7</v>
      </c>
      <c r="E334" s="20">
        <v>35.299999999999997</v>
      </c>
      <c r="F334" s="20">
        <v>82.5</v>
      </c>
      <c r="G334" s="20">
        <v>2.7541666666666602</v>
      </c>
      <c r="H334" s="20">
        <v>26</v>
      </c>
      <c r="I334" s="20">
        <v>50</v>
      </c>
      <c r="J334" s="20">
        <v>0.2</v>
      </c>
      <c r="K334" s="20">
        <v>0.70496249999999994</v>
      </c>
      <c r="L334" s="20">
        <f t="shared" si="103"/>
        <v>0.32428275000000001</v>
      </c>
      <c r="M334" s="20"/>
      <c r="N334" s="5">
        <f>IF(0&lt;B334&lt;26.5,16*(((10*B334)/#REF!)^#REF!)/30,((-415.85)+(32.24*B334)-(0.43*B334^2))/30)</f>
        <v>5.2000933333333341</v>
      </c>
      <c r="O334" s="6">
        <f t="shared" si="104"/>
        <v>5.0312804691293822</v>
      </c>
      <c r="P334" s="20">
        <f t="shared" si="105"/>
        <v>0</v>
      </c>
      <c r="Q334" s="5">
        <f t="shared" si="93"/>
        <v>5.45847968267491</v>
      </c>
      <c r="R334" s="5">
        <f t="shared" si="106"/>
        <v>2.7319637490425164</v>
      </c>
      <c r="S334" s="5">
        <f t="shared" si="94"/>
        <v>0.26555131703571422</v>
      </c>
      <c r="T334" s="5">
        <f t="shared" si="95"/>
        <v>2.2647318937293437</v>
      </c>
      <c r="U334" s="5">
        <f t="shared" si="96"/>
        <v>37.618807132712419</v>
      </c>
      <c r="AB334" s="14"/>
      <c r="AD334" s="5">
        <f t="shared" si="97"/>
        <v>4.6499999999999986</v>
      </c>
      <c r="AE334" s="5">
        <f t="shared" si="98"/>
        <v>16.25</v>
      </c>
      <c r="AF334" s="5">
        <f t="shared" si="99"/>
        <v>4.4050200099572088</v>
      </c>
      <c r="AG334" s="5">
        <f t="shared" si="100"/>
        <v>2.7388069677329154</v>
      </c>
      <c r="AH334" s="5">
        <f t="shared" si="107"/>
        <v>0.83310652111214667</v>
      </c>
      <c r="AI334" s="5">
        <f t="shared" si="101"/>
        <v>5.832049951855537E-2</v>
      </c>
      <c r="AJ334" s="5">
        <f t="shared" si="108"/>
        <v>0.13537980968072383</v>
      </c>
      <c r="AK334" s="5">
        <f t="shared" si="109"/>
        <v>0.69772671143142284</v>
      </c>
      <c r="AL334" s="5">
        <f t="shared" si="102"/>
        <v>0.77100000000000002</v>
      </c>
      <c r="AM334" s="5">
        <v>16.7</v>
      </c>
    </row>
    <row r="335" spans="1:39" x14ac:dyDescent="0.2">
      <c r="A335" s="23">
        <v>45621</v>
      </c>
      <c r="B335" s="20">
        <v>28.6</v>
      </c>
      <c r="C335" s="20">
        <v>79.900000000000006</v>
      </c>
      <c r="D335" s="20">
        <v>0.8</v>
      </c>
      <c r="E335" s="20">
        <v>33.5</v>
      </c>
      <c r="F335" s="20">
        <v>84.5833333333333</v>
      </c>
      <c r="G335" s="20">
        <v>3.01249999999999</v>
      </c>
      <c r="H335" s="20">
        <v>25.5</v>
      </c>
      <c r="I335" s="20">
        <v>60</v>
      </c>
      <c r="J335" s="20">
        <v>7.8</v>
      </c>
      <c r="K335" s="20">
        <v>0.53388750000000007</v>
      </c>
      <c r="L335" s="20">
        <f t="shared" si="103"/>
        <v>0.24558825000000004</v>
      </c>
      <c r="M335" s="20"/>
      <c r="N335" s="5">
        <f>IF(0&lt;B335&lt;26.5,16*(((10*B335)/#REF!)^#REF!)/30,((-415.85)+(32.24*B335)-(0.43*B335^2))/30)</f>
        <v>5.1497066666666687</v>
      </c>
      <c r="O335" s="6">
        <f t="shared" si="104"/>
        <v>5.0312804691293822</v>
      </c>
      <c r="P335" s="20">
        <f t="shared" si="105"/>
        <v>0</v>
      </c>
      <c r="Q335" s="5">
        <f t="shared" si="93"/>
        <v>5.0408907039736537</v>
      </c>
      <c r="R335" s="5">
        <f t="shared" si="106"/>
        <v>2.5229608731258919</v>
      </c>
      <c r="S335" s="5">
        <f t="shared" si="94"/>
        <v>0.20058763532142856</v>
      </c>
      <c r="T335" s="5">
        <f t="shared" si="95"/>
        <v>2.152804970066879</v>
      </c>
      <c r="U335" s="5">
        <f t="shared" si="96"/>
        <v>37.617698893064137</v>
      </c>
      <c r="AB335" s="14"/>
      <c r="AD335" s="5">
        <f t="shared" si="97"/>
        <v>4</v>
      </c>
      <c r="AE335" s="5">
        <f t="shared" si="98"/>
        <v>12.29166666666665</v>
      </c>
      <c r="AF335" s="5">
        <f t="shared" si="99"/>
        <v>4.0269721746729781</v>
      </c>
      <c r="AG335" s="5">
        <f t="shared" si="100"/>
        <v>2.667481715569846</v>
      </c>
      <c r="AH335" s="5">
        <f t="shared" si="107"/>
        <v>0.67974522955156602</v>
      </c>
      <c r="AI335" s="5">
        <f t="shared" si="101"/>
        <v>4.7841355777876009E-2</v>
      </c>
      <c r="AJ335" s="5">
        <f t="shared" si="108"/>
        <v>8.3552017799046543E-2</v>
      </c>
      <c r="AK335" s="5">
        <f t="shared" si="109"/>
        <v>0.59619321175251949</v>
      </c>
      <c r="AL335" s="5">
        <f t="shared" si="102"/>
        <v>0.76900000000000002</v>
      </c>
      <c r="AM335" s="5">
        <v>16.7</v>
      </c>
    </row>
    <row r="336" spans="1:39" x14ac:dyDescent="0.2">
      <c r="A336" s="23">
        <v>45622</v>
      </c>
      <c r="B336" s="20">
        <v>27.3</v>
      </c>
      <c r="C336" s="20">
        <v>82.3</v>
      </c>
      <c r="D336" s="20">
        <v>1.2</v>
      </c>
      <c r="E336" s="20">
        <v>31.6</v>
      </c>
      <c r="F336" s="20">
        <v>85.0833333333333</v>
      </c>
      <c r="G336" s="20">
        <v>3.36666666666666</v>
      </c>
      <c r="H336" s="20">
        <v>24.4</v>
      </c>
      <c r="I336" s="20">
        <v>68</v>
      </c>
      <c r="J336" s="20">
        <v>18.8</v>
      </c>
      <c r="K336" s="20">
        <v>0.28857499999999997</v>
      </c>
      <c r="L336" s="20">
        <f t="shared" si="103"/>
        <v>0.13274449999999999</v>
      </c>
      <c r="M336" s="20"/>
      <c r="N336" s="5">
        <f>IF(0&lt;B336&lt;26.5,16*(((10*B336)/#REF!)^#REF!)/30,((-415.85)+(32.24*B336)-(0.43*B336^2))/30)</f>
        <v>4.7942433333333323</v>
      </c>
      <c r="O336" s="6">
        <f t="shared" si="104"/>
        <v>5.0312804691293822</v>
      </c>
      <c r="P336" s="20">
        <f t="shared" si="105"/>
        <v>0</v>
      </c>
      <c r="Q336" s="5">
        <f t="shared" si="93"/>
        <v>4.6482245193733061</v>
      </c>
      <c r="R336" s="5">
        <f t="shared" si="106"/>
        <v>2.3264318313108476</v>
      </c>
      <c r="S336" s="5">
        <f t="shared" si="94"/>
        <v>0.10658806199999997</v>
      </c>
      <c r="T336" s="5">
        <f t="shared" si="95"/>
        <v>2.08090004785879</v>
      </c>
      <c r="U336" s="5">
        <f t="shared" si="96"/>
        <v>37.615799053667082</v>
      </c>
      <c r="AB336" s="14"/>
      <c r="AD336" s="5">
        <f t="shared" si="97"/>
        <v>3.6000000000000014</v>
      </c>
      <c r="AE336" s="5">
        <f t="shared" si="98"/>
        <v>8.5416666666666501</v>
      </c>
      <c r="AF336" s="5">
        <f t="shared" si="99"/>
        <v>3.6588553838729245</v>
      </c>
      <c r="AG336" s="5">
        <f t="shared" si="100"/>
        <v>2.5162512773466017</v>
      </c>
      <c r="AH336" s="5">
        <f t="shared" si="107"/>
        <v>0.57130205326316141</v>
      </c>
      <c r="AI336" s="5">
        <f t="shared" si="101"/>
        <v>4.0342623668790732E-2</v>
      </c>
      <c r="AJ336" s="5">
        <f t="shared" si="108"/>
        <v>4.8798717049561603E-2</v>
      </c>
      <c r="AK336" s="5">
        <f t="shared" si="109"/>
        <v>0.52250333621359979</v>
      </c>
      <c r="AL336" s="5">
        <f t="shared" si="102"/>
        <v>0.75600000000000001</v>
      </c>
      <c r="AM336" s="5">
        <v>16.7</v>
      </c>
    </row>
    <row r="337" spans="1:39" x14ac:dyDescent="0.2">
      <c r="A337" s="23">
        <v>45623</v>
      </c>
      <c r="B337" s="20">
        <v>29</v>
      </c>
      <c r="C337" s="20">
        <v>75.3</v>
      </c>
      <c r="D337" s="20">
        <v>1.7</v>
      </c>
      <c r="E337" s="20">
        <v>33.5</v>
      </c>
      <c r="F337" s="20">
        <v>78.7916666666666</v>
      </c>
      <c r="G337" s="20">
        <v>4.3583333333333298</v>
      </c>
      <c r="H337" s="20">
        <v>24.3</v>
      </c>
      <c r="I337" s="20">
        <v>54</v>
      </c>
      <c r="J337" s="20">
        <v>1</v>
      </c>
      <c r="K337" s="20">
        <v>0.64119166666666605</v>
      </c>
      <c r="L337" s="20">
        <f t="shared" si="103"/>
        <v>0.2949481666666664</v>
      </c>
      <c r="M337" s="20"/>
      <c r="N337" s="5">
        <f>IF(0&lt;B337&lt;26.5,16*(((10*B337)/#REF!)^#REF!)/30,((-415.85)+(32.24*B337)-(0.43*B337^2))/30)</f>
        <v>5.2493333333333343</v>
      </c>
      <c r="O337" s="6">
        <f t="shared" si="104"/>
        <v>5.0312804691293822</v>
      </c>
      <c r="P337" s="20">
        <f t="shared" si="105"/>
        <v>0</v>
      </c>
      <c r="Q337" s="5">
        <f t="shared" si="93"/>
        <v>5.4523543614886947</v>
      </c>
      <c r="R337" s="5">
        <f t="shared" si="106"/>
        <v>2.7288980317723586</v>
      </c>
      <c r="S337" s="5">
        <f t="shared" si="94"/>
        <v>0.24215610878571397</v>
      </c>
      <c r="T337" s="5">
        <f t="shared" si="95"/>
        <v>2.8968667993409469</v>
      </c>
      <c r="U337" s="5">
        <f t="shared" si="96"/>
        <v>37.621340251908507</v>
      </c>
      <c r="AB337" s="14"/>
      <c r="AD337" s="5">
        <f t="shared" si="97"/>
        <v>4.5999999999999996</v>
      </c>
      <c r="AE337" s="5">
        <f t="shared" si="98"/>
        <v>12.3958333333333</v>
      </c>
      <c r="AF337" s="5">
        <f t="shared" si="99"/>
        <v>4.0269721746729781</v>
      </c>
      <c r="AG337" s="5">
        <f t="shared" si="100"/>
        <v>2.5028821659538099</v>
      </c>
      <c r="AH337" s="5">
        <f t="shared" si="107"/>
        <v>0.76204500435958411</v>
      </c>
      <c r="AI337" s="5">
        <f t="shared" si="101"/>
        <v>5.3367988949710614E-2</v>
      </c>
      <c r="AJ337" s="5">
        <f t="shared" si="108"/>
        <v>9.4461828665406533E-2</v>
      </c>
      <c r="AK337" s="5">
        <f t="shared" si="109"/>
        <v>0.66758317569417758</v>
      </c>
      <c r="AL337" s="5">
        <f t="shared" si="102"/>
        <v>0.77299999999999991</v>
      </c>
      <c r="AM337" s="5">
        <v>16.7</v>
      </c>
    </row>
    <row r="338" spans="1:39" x14ac:dyDescent="0.2">
      <c r="A338" s="23">
        <v>45624</v>
      </c>
      <c r="B338" s="20">
        <v>30.7</v>
      </c>
      <c r="C338" s="20">
        <v>64.5</v>
      </c>
      <c r="D338" s="20">
        <v>1.2</v>
      </c>
      <c r="E338" s="20">
        <v>35.5</v>
      </c>
      <c r="F338" s="20">
        <v>67.875</v>
      </c>
      <c r="G338" s="20">
        <v>3.4791666666666599</v>
      </c>
      <c r="H338" s="20">
        <v>26.1</v>
      </c>
      <c r="I338" s="20">
        <v>44</v>
      </c>
      <c r="J338" s="20">
        <v>0</v>
      </c>
      <c r="K338" s="20">
        <v>0.68202083333333308</v>
      </c>
      <c r="L338" s="20">
        <f t="shared" si="103"/>
        <v>0.31372958333333323</v>
      </c>
      <c r="M338" s="20"/>
      <c r="N338" s="5">
        <f>IF(0&lt;B338&lt;26.5,16*(((10*B338)/#REF!)^#REF!)/30,((-415.85)+(32.24*B338)-(0.43*B338^2))/30)</f>
        <v>5.6215766666666678</v>
      </c>
      <c r="O338" s="6">
        <f t="shared" si="104"/>
        <v>5.0312804691293822</v>
      </c>
      <c r="P338" s="20">
        <f t="shared" si="105"/>
        <v>0</v>
      </c>
      <c r="Q338" s="5">
        <f t="shared" si="93"/>
        <v>5.7114972571397589</v>
      </c>
      <c r="R338" s="5">
        <f t="shared" si="106"/>
        <v>2.8585987979010099</v>
      </c>
      <c r="S338" s="5">
        <f t="shared" si="94"/>
        <v>0.26324055535714275</v>
      </c>
      <c r="T338" s="5">
        <f t="shared" si="95"/>
        <v>2.7739011828171747</v>
      </c>
      <c r="U338" s="5">
        <f t="shared" si="96"/>
        <v>37.629889529195275</v>
      </c>
      <c r="AB338" s="14"/>
      <c r="AD338" s="5">
        <f t="shared" si="97"/>
        <v>4.6999999999999993</v>
      </c>
      <c r="AE338" s="5">
        <f t="shared" si="98"/>
        <v>11.9375</v>
      </c>
      <c r="AF338" s="5">
        <f t="shared" si="99"/>
        <v>4.4488704508233914</v>
      </c>
      <c r="AG338" s="5">
        <f t="shared" si="100"/>
        <v>2.7532701446187993</v>
      </c>
      <c r="AH338" s="5">
        <f t="shared" si="107"/>
        <v>0.84780015310229606</v>
      </c>
      <c r="AI338" s="5">
        <f t="shared" si="101"/>
        <v>5.9324585537415632E-2</v>
      </c>
      <c r="AJ338" s="5">
        <f t="shared" si="108"/>
        <v>0.10120614327658659</v>
      </c>
      <c r="AK338" s="5">
        <f t="shared" si="109"/>
        <v>0.74659400982570945</v>
      </c>
      <c r="AL338" s="5">
        <f t="shared" si="102"/>
        <v>0.79</v>
      </c>
      <c r="AM338" s="5">
        <v>16.7</v>
      </c>
    </row>
    <row r="339" spans="1:39" x14ac:dyDescent="0.2">
      <c r="A339" s="23">
        <v>45625</v>
      </c>
      <c r="B339" s="20">
        <v>31.4</v>
      </c>
      <c r="C339" s="20">
        <v>60.7</v>
      </c>
      <c r="D339" s="20">
        <v>1.4</v>
      </c>
      <c r="E339" s="20">
        <v>36.1</v>
      </c>
      <c r="F339" s="20">
        <v>64.2291666666666</v>
      </c>
      <c r="G339" s="20">
        <v>3.5729166666666599</v>
      </c>
      <c r="H339" s="20">
        <v>26.9</v>
      </c>
      <c r="I339" s="20">
        <v>41</v>
      </c>
      <c r="J339" s="20">
        <v>0</v>
      </c>
      <c r="K339" s="20">
        <v>0.69764999999999999</v>
      </c>
      <c r="L339" s="20">
        <f t="shared" si="103"/>
        <v>0.32091900000000001</v>
      </c>
      <c r="M339" s="20"/>
      <c r="N339" s="5">
        <f>IF(0&lt;B339&lt;26.5,16*(((10*B339)/#REF!)^#REF!)/30,((-415.85)+(32.24*B339)-(0.43*B339^2))/30)</f>
        <v>5.750773333333334</v>
      </c>
      <c r="O339" s="6">
        <f t="shared" si="104"/>
        <v>5.0312804691293822</v>
      </c>
      <c r="P339" s="20">
        <f t="shared" si="105"/>
        <v>0</v>
      </c>
      <c r="Q339" s="5">
        <f t="shared" si="93"/>
        <v>5.7319622774624754</v>
      </c>
      <c r="R339" s="5">
        <f t="shared" si="106"/>
        <v>2.8688415205811983</v>
      </c>
      <c r="S339" s="5">
        <f t="shared" si="94"/>
        <v>0.27165893014285708</v>
      </c>
      <c r="T339" s="5">
        <f t="shared" si="95"/>
        <v>2.8483063412324641</v>
      </c>
      <c r="U339" s="5">
        <f t="shared" si="96"/>
        <v>37.632897608240619</v>
      </c>
      <c r="AB339" s="14"/>
      <c r="AD339" s="5">
        <f t="shared" si="97"/>
        <v>4.6000000000000014</v>
      </c>
      <c r="AE339" s="5">
        <f t="shared" si="98"/>
        <v>11.6145833333333</v>
      </c>
      <c r="AF339" s="5">
        <f t="shared" si="99"/>
        <v>4.5827061634087478</v>
      </c>
      <c r="AG339" s="5">
        <f t="shared" si="100"/>
        <v>2.8713965589882768</v>
      </c>
      <c r="AH339" s="5">
        <f t="shared" si="107"/>
        <v>0.85565480221023549</v>
      </c>
      <c r="AI339" s="5">
        <f t="shared" si="101"/>
        <v>5.9923725984528657E-2</v>
      </c>
      <c r="AJ339" s="5">
        <f t="shared" si="108"/>
        <v>9.9380740048376021E-2</v>
      </c>
      <c r="AK339" s="5">
        <f t="shared" si="109"/>
        <v>0.75627406216185944</v>
      </c>
      <c r="AL339" s="5">
        <f t="shared" si="102"/>
        <v>0.79699999999999993</v>
      </c>
      <c r="AM339" s="5">
        <v>16.7</v>
      </c>
    </row>
    <row r="340" spans="1:39" x14ac:dyDescent="0.2">
      <c r="A340" s="23">
        <v>45626</v>
      </c>
      <c r="B340" s="20">
        <v>31.7</v>
      </c>
      <c r="C340" s="20">
        <v>61.1</v>
      </c>
      <c r="D340" s="20">
        <v>1</v>
      </c>
      <c r="E340" s="20">
        <v>36.799999999999997</v>
      </c>
      <c r="F340" s="20">
        <v>64.3333333333333</v>
      </c>
      <c r="G340" s="20">
        <v>3.1</v>
      </c>
      <c r="H340" s="20">
        <v>26.5</v>
      </c>
      <c r="I340" s="20">
        <v>40</v>
      </c>
      <c r="J340" s="20">
        <v>0</v>
      </c>
      <c r="K340" s="20">
        <v>0.644625</v>
      </c>
      <c r="L340" s="20">
        <f t="shared" si="103"/>
        <v>0.2965275</v>
      </c>
      <c r="M340" s="20"/>
      <c r="N340" s="5">
        <f>IF(0&lt;B340&lt;26.5,16*(((10*B340)/#REF!)^#REF!)/30,((-415.85)+(32.24*B340)-(0.43*B340^2))/30)</f>
        <v>5.801843333333335</v>
      </c>
      <c r="O340" s="6">
        <f t="shared" si="104"/>
        <v>5.0312804691293822</v>
      </c>
      <c r="P340" s="20">
        <f t="shared" si="105"/>
        <v>0</v>
      </c>
      <c r="Q340" s="5">
        <f t="shared" si="93"/>
        <v>6.1019426065276523</v>
      </c>
      <c r="R340" s="5">
        <f t="shared" si="106"/>
        <v>3.0540163138616521</v>
      </c>
      <c r="S340" s="5">
        <f t="shared" si="94"/>
        <v>0.25195628571428569</v>
      </c>
      <c r="T340" s="5">
        <f t="shared" si="95"/>
        <v>2.8101866800475763</v>
      </c>
      <c r="U340" s="5">
        <f t="shared" si="96"/>
        <v>37.632580968341109</v>
      </c>
      <c r="AB340" s="14"/>
      <c r="AD340" s="5">
        <f t="shared" si="97"/>
        <v>5.1499999999999986</v>
      </c>
      <c r="AE340" s="5">
        <f t="shared" si="98"/>
        <v>12.16666666666665</v>
      </c>
      <c r="AF340" s="5">
        <f t="shared" si="99"/>
        <v>4.7432572878980013</v>
      </c>
      <c r="AG340" s="5">
        <f t="shared" si="100"/>
        <v>2.8117918743392765</v>
      </c>
      <c r="AH340" s="5">
        <f t="shared" si="107"/>
        <v>0.9657327067793624</v>
      </c>
      <c r="AI340" s="5">
        <f t="shared" si="101"/>
        <v>6.7326264231672386E-2</v>
      </c>
      <c r="AJ340" s="5">
        <f t="shared" si="108"/>
        <v>0.11749747932482225</v>
      </c>
      <c r="AK340" s="5">
        <f t="shared" si="109"/>
        <v>0.84823522745454016</v>
      </c>
      <c r="AL340" s="5">
        <f t="shared" si="102"/>
        <v>0.8</v>
      </c>
      <c r="AM340" s="5">
        <v>16.7</v>
      </c>
    </row>
    <row r="341" spans="1:39" x14ac:dyDescent="0.2">
      <c r="A341" s="23">
        <v>45627</v>
      </c>
      <c r="B341" s="20">
        <v>30.2</v>
      </c>
      <c r="C341" s="20">
        <v>70.099999999999994</v>
      </c>
      <c r="D341" s="20">
        <v>1.1000000000000001</v>
      </c>
      <c r="E341" s="20">
        <v>35.1</v>
      </c>
      <c r="F341" s="20">
        <v>74.4166666666666</v>
      </c>
      <c r="G341" s="20">
        <v>3.5375000000000001</v>
      </c>
      <c r="H341" s="20">
        <v>27</v>
      </c>
      <c r="I341" s="20">
        <v>54</v>
      </c>
      <c r="J341" s="20">
        <v>0</v>
      </c>
      <c r="K341" s="20">
        <v>0.59375833333333294</v>
      </c>
      <c r="L341" s="20">
        <f t="shared" si="103"/>
        <v>0.27312883333333315</v>
      </c>
      <c r="M341" s="20"/>
      <c r="N341" s="5">
        <f>IF(0&lt;B341&lt;26.5,16*(((10*B341)/#REF!)^#REF!)/30,((-415.85)+(32.24*B341)-(0.43*B341^2))/30)</f>
        <v>5.5206933333333348</v>
      </c>
      <c r="O341" s="6">
        <f t="shared" si="104"/>
        <v>5.0312804691293822</v>
      </c>
      <c r="P341" s="20">
        <f t="shared" si="105"/>
        <v>0</v>
      </c>
      <c r="Q341" s="5">
        <f t="shared" si="93"/>
        <v>5.2472052688493136</v>
      </c>
      <c r="R341" s="5">
        <f t="shared" si="106"/>
        <v>2.626221111307006</v>
      </c>
      <c r="S341" s="5">
        <f t="shared" si="94"/>
        <v>0.22772328535714262</v>
      </c>
      <c r="T341" s="5">
        <f t="shared" si="95"/>
        <v>2.5773013761346282</v>
      </c>
      <c r="U341" s="5">
        <f t="shared" si="96"/>
        <v>37.625456570602132</v>
      </c>
      <c r="AB341" s="14"/>
      <c r="AD341" s="5">
        <f t="shared" si="97"/>
        <v>4.0500000000000007</v>
      </c>
      <c r="AE341" s="5">
        <f t="shared" si="98"/>
        <v>10.2083333333333</v>
      </c>
      <c r="AF341" s="5">
        <f t="shared" si="99"/>
        <v>4.3615457470670798</v>
      </c>
      <c r="AG341" s="5">
        <f t="shared" si="100"/>
        <v>2.8864689131283341</v>
      </c>
      <c r="AH341" s="5">
        <f t="shared" si="107"/>
        <v>0.73753841696937283</v>
      </c>
      <c r="AI341" s="5">
        <f t="shared" si="101"/>
        <v>5.1887410176065157E-2</v>
      </c>
      <c r="AJ341" s="5">
        <f t="shared" si="108"/>
        <v>7.5290380065623233E-2</v>
      </c>
      <c r="AK341" s="5">
        <f t="shared" si="109"/>
        <v>0.66224803690374956</v>
      </c>
      <c r="AL341" s="5">
        <f t="shared" si="102"/>
        <v>0.78499999999999992</v>
      </c>
      <c r="AM341" s="5">
        <v>16.7</v>
      </c>
    </row>
    <row r="342" spans="1:39" x14ac:dyDescent="0.2">
      <c r="A342" s="23">
        <v>45628</v>
      </c>
      <c r="B342" s="20">
        <v>30.9</v>
      </c>
      <c r="C342" s="20">
        <v>64.5</v>
      </c>
      <c r="D342" s="20">
        <v>1.8</v>
      </c>
      <c r="E342" s="20">
        <v>35.200000000000003</v>
      </c>
      <c r="F342" s="20">
        <v>68.0208333333333</v>
      </c>
      <c r="G342" s="20">
        <v>4.3499999999999996</v>
      </c>
      <c r="H342" s="20">
        <v>23.8</v>
      </c>
      <c r="I342" s="20">
        <v>46</v>
      </c>
      <c r="J342" s="20">
        <v>13.4</v>
      </c>
      <c r="K342" s="20">
        <v>0.76565416666666597</v>
      </c>
      <c r="L342" s="20">
        <f t="shared" si="103"/>
        <v>0.35220091666666636</v>
      </c>
      <c r="M342" s="20"/>
      <c r="N342" s="5">
        <f>IF(0&lt;B342&lt;26.5,16*(((10*B342)/#REF!)^#REF!)/30,((-415.85)+(32.24*B342)-(0.43*B342^2))/30)</f>
        <v>5.6599233333333343</v>
      </c>
      <c r="O342" s="6">
        <f t="shared" si="104"/>
        <v>5.0312804691293822</v>
      </c>
      <c r="P342" s="20">
        <f t="shared" si="105"/>
        <v>0</v>
      </c>
      <c r="Q342" s="5">
        <f t="shared" si="93"/>
        <v>6.3157611003721952</v>
      </c>
      <c r="R342" s="5">
        <f t="shared" si="106"/>
        <v>3.1610322611614512</v>
      </c>
      <c r="S342" s="5">
        <f t="shared" si="94"/>
        <v>0.29626878599999973</v>
      </c>
      <c r="T342" s="5">
        <f t="shared" si="95"/>
        <v>3.5153554915379126</v>
      </c>
      <c r="U342" s="5">
        <f t="shared" si="96"/>
        <v>37.629889529195275</v>
      </c>
      <c r="AB342" s="14"/>
      <c r="AD342" s="5">
        <f t="shared" si="97"/>
        <v>5.7000000000000011</v>
      </c>
      <c r="AE342" s="5">
        <f t="shared" si="98"/>
        <v>11.01041666666665</v>
      </c>
      <c r="AF342" s="5">
        <f t="shared" si="99"/>
        <v>4.3832360259416134</v>
      </c>
      <c r="AG342" s="5">
        <f t="shared" si="100"/>
        <v>2.4369634693671198</v>
      </c>
      <c r="AH342" s="5">
        <f t="shared" si="107"/>
        <v>0.9731362782872468</v>
      </c>
      <c r="AI342" s="5">
        <f t="shared" si="101"/>
        <v>6.7535647825045939E-2</v>
      </c>
      <c r="AJ342" s="5">
        <f t="shared" si="108"/>
        <v>0.10714635897391858</v>
      </c>
      <c r="AK342" s="5">
        <f t="shared" si="109"/>
        <v>0.86598991931332825</v>
      </c>
      <c r="AL342" s="5">
        <f t="shared" si="102"/>
        <v>0.79200000000000004</v>
      </c>
      <c r="AM342" s="5">
        <v>16.7</v>
      </c>
    </row>
    <row r="343" spans="1:39" x14ac:dyDescent="0.2">
      <c r="A343" s="23">
        <v>45629</v>
      </c>
      <c r="B343" s="20">
        <v>30.7</v>
      </c>
      <c r="C343" s="20">
        <v>63.9</v>
      </c>
      <c r="D343" s="20">
        <v>1.8</v>
      </c>
      <c r="E343" s="20">
        <v>34.9</v>
      </c>
      <c r="F343" s="20">
        <v>66.25</v>
      </c>
      <c r="G343" s="20">
        <v>4.8166666666666602</v>
      </c>
      <c r="H343" s="20">
        <v>27.4</v>
      </c>
      <c r="I343" s="20">
        <v>49</v>
      </c>
      <c r="J343" s="20">
        <v>0</v>
      </c>
      <c r="K343" s="20">
        <v>0.66218333333333301</v>
      </c>
      <c r="L343" s="20">
        <f t="shared" si="103"/>
        <v>0.3046043333333332</v>
      </c>
      <c r="M343" s="20"/>
      <c r="N343" s="5">
        <f>IF(0&lt;B343&lt;26.5,16*(((10*B343)/#REF!)^#REF!)/30,((-415.85)+(32.24*B343)-(0.43*B343^2))/30)</f>
        <v>5.6215766666666678</v>
      </c>
      <c r="O343" s="6">
        <f t="shared" si="104"/>
        <v>5.0312804691293822</v>
      </c>
      <c r="P343" s="20">
        <f t="shared" si="105"/>
        <v>0</v>
      </c>
      <c r="Q343" s="5">
        <f t="shared" si="93"/>
        <v>5.1017206826900559</v>
      </c>
      <c r="R343" s="5">
        <f t="shared" si="106"/>
        <v>2.553406218051459</v>
      </c>
      <c r="S343" s="5">
        <f t="shared" si="94"/>
        <v>0.25558384714285703</v>
      </c>
      <c r="T343" s="5">
        <f t="shared" si="95"/>
        <v>2.9392774440787979</v>
      </c>
      <c r="U343" s="5">
        <f t="shared" si="96"/>
        <v>37.630364489044538</v>
      </c>
      <c r="AB343" s="14"/>
      <c r="AD343" s="5">
        <f t="shared" si="97"/>
        <v>3.75</v>
      </c>
      <c r="AE343" s="5">
        <f t="shared" si="98"/>
        <v>8.625</v>
      </c>
      <c r="AF343" s="5">
        <f t="shared" si="99"/>
        <v>4.3184449530992666</v>
      </c>
      <c r="AG343" s="5">
        <f t="shared" si="100"/>
        <v>2.9474510257097273</v>
      </c>
      <c r="AH343" s="5">
        <f t="shared" si="107"/>
        <v>0.68549696369476965</v>
      </c>
      <c r="AI343" s="5">
        <f t="shared" si="101"/>
        <v>4.8346297250248645E-2</v>
      </c>
      <c r="AJ343" s="5">
        <f t="shared" si="108"/>
        <v>5.9124113118673882E-2</v>
      </c>
      <c r="AK343" s="5">
        <f t="shared" si="109"/>
        <v>0.62637285057609571</v>
      </c>
      <c r="AL343" s="5">
        <f t="shared" si="102"/>
        <v>0.79</v>
      </c>
      <c r="AM343" s="5">
        <v>16.7</v>
      </c>
    </row>
    <row r="344" spans="1:39" x14ac:dyDescent="0.2">
      <c r="A344" s="23">
        <v>45630</v>
      </c>
      <c r="B344" s="20">
        <v>30.2</v>
      </c>
      <c r="C344" s="20">
        <v>68.3</v>
      </c>
      <c r="D344" s="20">
        <v>1.6</v>
      </c>
      <c r="E344" s="20">
        <v>34.5</v>
      </c>
      <c r="F344" s="20">
        <v>70.5</v>
      </c>
      <c r="G344" s="20">
        <v>4.6958333333333302</v>
      </c>
      <c r="H344" s="20">
        <v>27.9</v>
      </c>
      <c r="I344" s="20">
        <v>49</v>
      </c>
      <c r="J344" s="20">
        <v>0</v>
      </c>
      <c r="K344" s="20">
        <v>0.64590000000000003</v>
      </c>
      <c r="L344" s="20">
        <f t="shared" si="103"/>
        <v>0.29711400000000004</v>
      </c>
      <c r="M344" s="20"/>
      <c r="N344" s="5">
        <f>IF(0&lt;B344&lt;26.5,16*(((10*B344)/#REF!)^#REF!)/30,((-415.85)+(32.24*B344)-(0.43*B344^2))/30)</f>
        <v>5.5206933333333348</v>
      </c>
      <c r="O344" s="6">
        <f t="shared" si="104"/>
        <v>5.0312804691293822</v>
      </c>
      <c r="P344" s="20">
        <f t="shared" si="105"/>
        <v>0</v>
      </c>
      <c r="Q344" s="5">
        <f t="shared" si="93"/>
        <v>4.7364996801266646</v>
      </c>
      <c r="R344" s="5">
        <f t="shared" si="106"/>
        <v>2.370613463035983</v>
      </c>
      <c r="S344" s="5">
        <f t="shared" si="94"/>
        <v>0.24772110428571423</v>
      </c>
      <c r="T344" s="5">
        <f t="shared" si="95"/>
        <v>2.5695459264382268</v>
      </c>
      <c r="U344" s="5">
        <f t="shared" si="96"/>
        <v>37.626881450149931</v>
      </c>
      <c r="AB344" s="14"/>
      <c r="AD344" s="5">
        <f t="shared" si="97"/>
        <v>3.3000000000000007</v>
      </c>
      <c r="AE344" s="5">
        <f t="shared" si="98"/>
        <v>10.75</v>
      </c>
      <c r="AF344" s="5">
        <f t="shared" si="99"/>
        <v>4.2333530124400509</v>
      </c>
      <c r="AG344" s="5">
        <f t="shared" si="100"/>
        <v>3.0252573571721371</v>
      </c>
      <c r="AH344" s="5">
        <f t="shared" si="107"/>
        <v>0.60404782763395692</v>
      </c>
      <c r="AI344" s="5">
        <f t="shared" si="101"/>
        <v>4.2761411752620992E-2</v>
      </c>
      <c r="AJ344" s="5">
        <f t="shared" si="108"/>
        <v>6.4935141470650368E-2</v>
      </c>
      <c r="AK344" s="5">
        <f t="shared" si="109"/>
        <v>0.53911268616330654</v>
      </c>
      <c r="AL344" s="5">
        <f t="shared" si="102"/>
        <v>0.78499999999999992</v>
      </c>
      <c r="AM344" s="5">
        <v>16.7</v>
      </c>
    </row>
    <row r="345" spans="1:39" x14ac:dyDescent="0.2">
      <c r="A345" s="23">
        <v>45631</v>
      </c>
      <c r="B345" s="20">
        <v>29.1</v>
      </c>
      <c r="C345" s="20">
        <v>77</v>
      </c>
      <c r="D345" s="20">
        <v>1.5</v>
      </c>
      <c r="E345" s="20">
        <v>34.4</v>
      </c>
      <c r="F345" s="20">
        <v>80.5416666666666</v>
      </c>
      <c r="G345" s="20">
        <v>4.0750000000000002</v>
      </c>
      <c r="H345" s="20">
        <v>25.6</v>
      </c>
      <c r="I345" s="20">
        <v>52</v>
      </c>
      <c r="J345" s="20">
        <v>7</v>
      </c>
      <c r="K345" s="20">
        <v>0.61637916666666603</v>
      </c>
      <c r="L345" s="20">
        <f t="shared" si="103"/>
        <v>0.2835344166666664</v>
      </c>
      <c r="M345" s="20"/>
      <c r="N345" s="5">
        <f>IF(0&lt;B345&lt;26.5,16*(((10*B345)/#REF!)^#REF!)/30,((-415.85)+(32.24*B345)-(0.43*B345^2))/30)</f>
        <v>5.2735233333333342</v>
      </c>
      <c r="O345" s="6">
        <f t="shared" si="104"/>
        <v>5.0312804691293822</v>
      </c>
      <c r="P345" s="20">
        <f t="shared" si="105"/>
        <v>0</v>
      </c>
      <c r="Q345" s="5">
        <f t="shared" si="93"/>
        <v>5.3439020097641006</v>
      </c>
      <c r="R345" s="5">
        <f t="shared" si="106"/>
        <v>2.6746177356762844</v>
      </c>
      <c r="S345" s="5">
        <f t="shared" si="94"/>
        <v>0.23308642349999972</v>
      </c>
      <c r="T345" s="5">
        <f t="shared" si="95"/>
        <v>2.7421457511608605</v>
      </c>
      <c r="U345" s="5">
        <f t="shared" si="96"/>
        <v>37.619994532335589</v>
      </c>
      <c r="AB345" s="14"/>
      <c r="AD345" s="5">
        <f t="shared" si="97"/>
        <v>4.3999999999999986</v>
      </c>
      <c r="AE345" s="5">
        <f t="shared" si="98"/>
        <v>14.2708333333333</v>
      </c>
      <c r="AF345" s="5">
        <f t="shared" si="99"/>
        <v>4.2123092549600285</v>
      </c>
      <c r="AG345" s="5">
        <f t="shared" si="100"/>
        <v>2.6816155357966691</v>
      </c>
      <c r="AH345" s="5">
        <f t="shared" si="107"/>
        <v>0.76534685958167969</v>
      </c>
      <c r="AI345" s="5">
        <f t="shared" si="101"/>
        <v>5.3687966864240717E-2</v>
      </c>
      <c r="AJ345" s="5">
        <f t="shared" si="108"/>
        <v>0.10922137475280196</v>
      </c>
      <c r="AK345" s="5">
        <f t="shared" si="109"/>
        <v>0.65612548482887778</v>
      </c>
      <c r="AL345" s="5">
        <f t="shared" si="102"/>
        <v>0.77400000000000002</v>
      </c>
      <c r="AM345" s="5">
        <v>16.7</v>
      </c>
    </row>
    <row r="346" spans="1:39" x14ac:dyDescent="0.2">
      <c r="A346" s="23">
        <v>45632</v>
      </c>
      <c r="B346" s="20">
        <v>26.3</v>
      </c>
      <c r="C346" s="20">
        <v>88.8</v>
      </c>
      <c r="D346" s="20">
        <v>1.3</v>
      </c>
      <c r="E346" s="20">
        <v>29.8</v>
      </c>
      <c r="F346" s="20">
        <v>90.125</v>
      </c>
      <c r="G346" s="20">
        <v>4.2166666666666597</v>
      </c>
      <c r="H346" s="20">
        <v>25.8</v>
      </c>
      <c r="I346" s="20">
        <v>74</v>
      </c>
      <c r="J346" s="20">
        <v>0.8</v>
      </c>
      <c r="K346" s="20">
        <v>0.19335833333333302</v>
      </c>
      <c r="L346" s="20">
        <f t="shared" si="103"/>
        <v>8.8944833333333195E-2</v>
      </c>
      <c r="M346" s="20"/>
      <c r="N346" s="5">
        <f>IF(0&lt;B346&lt;26.5,16*(((10*B346)/#REF!)^#REF!)/30,((-415.85)+(32.24*B346)-(0.43*B346^2))/30)</f>
        <v>4.4878433333333323</v>
      </c>
      <c r="O346" s="6">
        <f t="shared" si="104"/>
        <v>5.0312804691293822</v>
      </c>
      <c r="P346" s="20">
        <f t="shared" si="105"/>
        <v>0</v>
      </c>
      <c r="Q346" s="5">
        <f t="shared" si="93"/>
        <v>3.3877619999999999</v>
      </c>
      <c r="R346" s="5">
        <f t="shared" si="106"/>
        <v>1.6955715716520303</v>
      </c>
      <c r="S346" s="5">
        <f t="shared" si="94"/>
        <v>7.0474140428571308E-2</v>
      </c>
      <c r="T346" s="5">
        <f t="shared" si="95"/>
        <v>1.4361502718418993</v>
      </c>
      <c r="U346" s="5">
        <f t="shared" si="96"/>
        <v>37.610653655300048</v>
      </c>
      <c r="AB346" s="14"/>
      <c r="AD346" s="5">
        <f t="shared" si="97"/>
        <v>2</v>
      </c>
      <c r="AE346" s="5">
        <f t="shared" si="98"/>
        <v>8.0625</v>
      </c>
      <c r="AF346" s="5">
        <f t="shared" si="99"/>
        <v>3.3375026003895489</v>
      </c>
      <c r="AG346" s="5">
        <f t="shared" si="100"/>
        <v>2.7100795102915933</v>
      </c>
      <c r="AH346" s="5">
        <f t="shared" si="107"/>
        <v>0.3137115450489778</v>
      </c>
      <c r="AI346" s="5">
        <f t="shared" si="101"/>
        <v>2.2450036865965466E-2</v>
      </c>
      <c r="AJ346" s="5">
        <f t="shared" si="108"/>
        <v>2.5292993319573832E-2</v>
      </c>
      <c r="AK346" s="5">
        <f t="shared" si="109"/>
        <v>0.28841855172940395</v>
      </c>
      <c r="AL346" s="5">
        <f t="shared" si="102"/>
        <v>0.746</v>
      </c>
      <c r="AM346" s="5">
        <v>16.7</v>
      </c>
    </row>
    <row r="347" spans="1:39" x14ac:dyDescent="0.2">
      <c r="A347" s="23">
        <v>45633</v>
      </c>
      <c r="B347" s="20">
        <v>26.7</v>
      </c>
      <c r="C347" s="20">
        <v>85.5</v>
      </c>
      <c r="D347" s="20">
        <v>1.7</v>
      </c>
      <c r="E347" s="20">
        <v>30.9</v>
      </c>
      <c r="F347" s="20">
        <v>88.2916666666666</v>
      </c>
      <c r="G347" s="20">
        <v>4.4708333333333297</v>
      </c>
      <c r="H347" s="20">
        <v>24.4</v>
      </c>
      <c r="I347" s="20">
        <v>63</v>
      </c>
      <c r="J347" s="20">
        <v>10.8</v>
      </c>
      <c r="K347" s="20">
        <v>0.489170833333333</v>
      </c>
      <c r="L347" s="20">
        <f t="shared" si="103"/>
        <v>0.22501858333333319</v>
      </c>
      <c r="M347" s="20"/>
      <c r="N347" s="5">
        <f>IF(0&lt;B347&lt;26.5,16*(((10*B347)/#REF!)^#REF!)/30,((-415.85)+(32.24*B347)-(0.43*B347^2))/30)</f>
        <v>4.6138433333333335</v>
      </c>
      <c r="O347" s="6">
        <f t="shared" si="104"/>
        <v>5.0312804691293822</v>
      </c>
      <c r="P347" s="20">
        <f t="shared" si="105"/>
        <v>0</v>
      </c>
      <c r="Q347" s="5">
        <f t="shared" si="93"/>
        <v>4.3577368042554498</v>
      </c>
      <c r="R347" s="5">
        <f t="shared" si="106"/>
        <v>2.1810430136583707</v>
      </c>
      <c r="S347" s="5">
        <f t="shared" si="94"/>
        <v>0.179246169642857</v>
      </c>
      <c r="T347" s="5">
        <f t="shared" si="95"/>
        <v>2.1235958971151851</v>
      </c>
      <c r="U347" s="5">
        <f t="shared" si="96"/>
        <v>37.613265934471002</v>
      </c>
      <c r="AB347" s="14"/>
      <c r="AD347" s="5">
        <f t="shared" si="97"/>
        <v>3.25</v>
      </c>
      <c r="AE347" s="5">
        <f t="shared" si="98"/>
        <v>12.6458333333333</v>
      </c>
      <c r="AF347" s="5">
        <f t="shared" si="99"/>
        <v>3.5308196083479828</v>
      </c>
      <c r="AG347" s="5">
        <f t="shared" si="100"/>
        <v>2.5162512773466017</v>
      </c>
      <c r="AH347" s="5">
        <f t="shared" si="107"/>
        <v>0.50728416550069055</v>
      </c>
      <c r="AI347" s="5">
        <f t="shared" si="101"/>
        <v>3.5926303790179269E-2</v>
      </c>
      <c r="AJ347" s="5">
        <f t="shared" si="108"/>
        <v>6.4150310095607996E-2</v>
      </c>
      <c r="AK347" s="5">
        <f t="shared" si="109"/>
        <v>0.44313385540508254</v>
      </c>
      <c r="AL347" s="5">
        <f t="shared" si="102"/>
        <v>0.75</v>
      </c>
      <c r="AM347" s="5">
        <v>16.7</v>
      </c>
    </row>
    <row r="348" spans="1:39" x14ac:dyDescent="0.2">
      <c r="A348" s="23">
        <v>45634</v>
      </c>
      <c r="B348" s="20">
        <v>27.8</v>
      </c>
      <c r="C348" s="20">
        <v>78.900000000000006</v>
      </c>
      <c r="D348" s="20">
        <v>1.5</v>
      </c>
      <c r="E348" s="20">
        <v>33</v>
      </c>
      <c r="F348" s="20">
        <v>82.0833333333333</v>
      </c>
      <c r="G348" s="20">
        <v>3.9166666666666599</v>
      </c>
      <c r="H348" s="20">
        <v>24.4</v>
      </c>
      <c r="I348" s="20">
        <v>53</v>
      </c>
      <c r="J348" s="20">
        <v>0.4</v>
      </c>
      <c r="K348" s="20">
        <v>0.46445833333333297</v>
      </c>
      <c r="L348" s="20">
        <f t="shared" si="103"/>
        <v>0.21365083333333318</v>
      </c>
      <c r="M348" s="20"/>
      <c r="N348" s="5">
        <f>IF(0&lt;B348&lt;26.5,16*(((10*B348)/#REF!)^#REF!)/30,((-415.85)+(32.24*B348)-(0.43*B348^2))/30)</f>
        <v>4.9366933333333334</v>
      </c>
      <c r="O348" s="6">
        <f t="shared" si="104"/>
        <v>5.0312804691293822</v>
      </c>
      <c r="P348" s="20">
        <f t="shared" si="105"/>
        <v>0</v>
      </c>
      <c r="Q348" s="5">
        <f t="shared" si="93"/>
        <v>5.1363945377022588</v>
      </c>
      <c r="R348" s="5">
        <f t="shared" si="106"/>
        <v>2.5707604486137821</v>
      </c>
      <c r="S348" s="5">
        <f t="shared" si="94"/>
        <v>0.17268693535714272</v>
      </c>
      <c r="T348" s="5">
        <f t="shared" si="95"/>
        <v>2.5033194963072174</v>
      </c>
      <c r="U348" s="5">
        <f t="shared" si="96"/>
        <v>37.618490492812917</v>
      </c>
      <c r="AB348" s="14"/>
      <c r="AD348" s="5">
        <f t="shared" si="97"/>
        <v>4.3000000000000007</v>
      </c>
      <c r="AE348" s="5">
        <f t="shared" si="98"/>
        <v>14.54166666666665</v>
      </c>
      <c r="AF348" s="5">
        <f t="shared" si="99"/>
        <v>3.9271053508234131</v>
      </c>
      <c r="AG348" s="5">
        <f t="shared" si="100"/>
        <v>2.5162512773466017</v>
      </c>
      <c r="AH348" s="5">
        <f t="shared" si="107"/>
        <v>0.70542703673840568</v>
      </c>
      <c r="AI348" s="5">
        <f t="shared" si="101"/>
        <v>4.9525651228187396E-2</v>
      </c>
      <c r="AJ348" s="5">
        <f t="shared" si="108"/>
        <v>0.10258084825904304</v>
      </c>
      <c r="AK348" s="5">
        <f t="shared" si="109"/>
        <v>0.60284618847936267</v>
      </c>
      <c r="AL348" s="5">
        <f t="shared" si="102"/>
        <v>0.76100000000000001</v>
      </c>
      <c r="AM348" s="5">
        <v>16.7</v>
      </c>
    </row>
    <row r="349" spans="1:39" x14ac:dyDescent="0.2">
      <c r="A349" s="23">
        <v>45635</v>
      </c>
      <c r="B349" s="20">
        <v>27.8</v>
      </c>
      <c r="C349" s="20">
        <v>78.8</v>
      </c>
      <c r="D349" s="20">
        <v>1.2</v>
      </c>
      <c r="E349" s="20">
        <v>32.6</v>
      </c>
      <c r="F349" s="20">
        <v>82.8333333333333</v>
      </c>
      <c r="G349" s="20">
        <v>3.5</v>
      </c>
      <c r="H349" s="20">
        <v>23.8</v>
      </c>
      <c r="I349" s="20">
        <v>60</v>
      </c>
      <c r="J349" s="20">
        <v>10.8</v>
      </c>
      <c r="K349" s="20">
        <v>0.45056249999999998</v>
      </c>
      <c r="L349" s="20">
        <f t="shared" si="103"/>
        <v>0.20725874999999999</v>
      </c>
      <c r="M349" s="20"/>
      <c r="N349" s="5">
        <f>IF(0&lt;B349&lt;26.5,16*(((10*B349)/#REF!)^#REF!)/30,((-415.85)+(32.24*B349)-(0.43*B349^2))/30)</f>
        <v>4.9366933333333334</v>
      </c>
      <c r="O349" s="6">
        <f t="shared" si="104"/>
        <v>5.0312804691293822</v>
      </c>
      <c r="P349" s="20">
        <f t="shared" si="105"/>
        <v>0</v>
      </c>
      <c r="Q349" s="5">
        <f t="shared" si="93"/>
        <v>5.1957767941416426</v>
      </c>
      <c r="R349" s="5">
        <f t="shared" si="106"/>
        <v>2.6004812099539145</v>
      </c>
      <c r="S349" s="5">
        <f t="shared" si="94"/>
        <v>0.16752042482142857</v>
      </c>
      <c r="T349" s="5">
        <f t="shared" si="95"/>
        <v>2.4321125107272672</v>
      </c>
      <c r="U349" s="5">
        <f t="shared" si="96"/>
        <v>37.618569652787791</v>
      </c>
      <c r="AB349" s="14"/>
      <c r="AD349" s="5">
        <f t="shared" si="97"/>
        <v>4.4000000000000004</v>
      </c>
      <c r="AE349" s="5">
        <f t="shared" si="98"/>
        <v>11.41666666666665</v>
      </c>
      <c r="AF349" s="5">
        <f t="shared" si="99"/>
        <v>3.8487705516817581</v>
      </c>
      <c r="AG349" s="5">
        <f t="shared" si="100"/>
        <v>2.4369634693671198</v>
      </c>
      <c r="AH349" s="5">
        <f t="shared" si="107"/>
        <v>0.70590354115731913</v>
      </c>
      <c r="AI349" s="5">
        <f t="shared" si="101"/>
        <v>4.9518104703165249E-2</v>
      </c>
      <c r="AJ349" s="5">
        <f t="shared" si="108"/>
        <v>8.0590654282127153E-2</v>
      </c>
      <c r="AK349" s="5">
        <f t="shared" si="109"/>
        <v>0.62531288687519193</v>
      </c>
      <c r="AL349" s="5">
        <f t="shared" si="102"/>
        <v>0.76100000000000001</v>
      </c>
      <c r="AM349" s="5">
        <v>16.7</v>
      </c>
    </row>
    <row r="350" spans="1:39" x14ac:dyDescent="0.2">
      <c r="A350" s="23">
        <v>45636</v>
      </c>
      <c r="B350" s="20">
        <v>26.7</v>
      </c>
      <c r="C350" s="20">
        <v>90.5</v>
      </c>
      <c r="D350" s="20">
        <v>0.7</v>
      </c>
      <c r="E350" s="20">
        <v>29.7</v>
      </c>
      <c r="F350" s="20">
        <v>93.1666666666666</v>
      </c>
      <c r="G350" s="20">
        <v>2.36666666666666</v>
      </c>
      <c r="H350" s="20">
        <v>26</v>
      </c>
      <c r="I350" s="20">
        <v>78</v>
      </c>
      <c r="J350" s="20">
        <v>0.6</v>
      </c>
      <c r="K350" s="20">
        <v>0.23268749999999999</v>
      </c>
      <c r="L350" s="20">
        <f t="shared" si="103"/>
        <v>0.10703625</v>
      </c>
      <c r="M350" s="20"/>
      <c r="N350" s="5">
        <f>IF(0&lt;B350&lt;26.5,16*(((10*B350)/#REF!)^#REF!)/30,((-415.85)+(32.24*B350)-(0.43*B350^2))/30)</f>
        <v>4.6138433333333335</v>
      </c>
      <c r="O350" s="6">
        <f t="shared" si="104"/>
        <v>5.0312804691293822</v>
      </c>
      <c r="P350" s="20">
        <f t="shared" si="105"/>
        <v>0</v>
      </c>
      <c r="Q350" s="5">
        <f t="shared" si="93"/>
        <v>3.2877984030491429</v>
      </c>
      <c r="R350" s="5">
        <f t="shared" si="106"/>
        <v>1.6455398890279396</v>
      </c>
      <c r="S350" s="5">
        <f t="shared" si="94"/>
        <v>8.5263348214285703E-2</v>
      </c>
      <c r="T350" s="5">
        <f t="shared" si="95"/>
        <v>0.98927386020087049</v>
      </c>
      <c r="U350" s="5">
        <f t="shared" si="96"/>
        <v>37.609307935727124</v>
      </c>
      <c r="AB350" s="14"/>
      <c r="AD350" s="5">
        <f t="shared" si="97"/>
        <v>1.8499999999999996</v>
      </c>
      <c r="AE350" s="5">
        <f t="shared" si="98"/>
        <v>7.5833333333333002</v>
      </c>
      <c r="AF350" s="5">
        <f t="shared" si="99"/>
        <v>3.3203948003388764</v>
      </c>
      <c r="AG350" s="5">
        <f t="shared" si="100"/>
        <v>2.7388069677329154</v>
      </c>
      <c r="AH350" s="5">
        <f t="shared" si="107"/>
        <v>0.29079391630298046</v>
      </c>
      <c r="AI350" s="5">
        <f t="shared" si="101"/>
        <v>2.0836103212425565E-2</v>
      </c>
      <c r="AJ350" s="5">
        <f t="shared" si="108"/>
        <v>2.2051871986309254E-2</v>
      </c>
      <c r="AK350" s="5">
        <f t="shared" si="109"/>
        <v>0.2687420443166712</v>
      </c>
      <c r="AL350" s="5">
        <f t="shared" si="102"/>
        <v>0.75</v>
      </c>
      <c r="AM350" s="5">
        <v>16.7</v>
      </c>
    </row>
    <row r="351" spans="1:39" x14ac:dyDescent="0.2">
      <c r="A351" s="23">
        <v>45637</v>
      </c>
      <c r="B351" s="20">
        <v>26.2</v>
      </c>
      <c r="C351" s="20">
        <v>84.1</v>
      </c>
      <c r="D351" s="20">
        <v>1.6</v>
      </c>
      <c r="E351" s="20">
        <v>29.1</v>
      </c>
      <c r="F351" s="20">
        <v>86.75</v>
      </c>
      <c r="G351" s="20">
        <v>4.4458333333333302</v>
      </c>
      <c r="H351" s="20">
        <v>24</v>
      </c>
      <c r="I351" s="20">
        <v>67</v>
      </c>
      <c r="J351" s="20">
        <v>48.8</v>
      </c>
      <c r="K351" s="20">
        <v>0.36033333333333295</v>
      </c>
      <c r="L351" s="20">
        <f t="shared" si="103"/>
        <v>0.16575333333333317</v>
      </c>
      <c r="M351" s="20"/>
      <c r="N351" s="5">
        <f>IF(0&lt;B351&lt;26.5,16*(((10*B351)/#REF!)^#REF!)/30,((-415.85)+(32.24*B351)-(0.43*B351^2))/30)</f>
        <v>4.4556266666666655</v>
      </c>
      <c r="O351" s="6">
        <f t="shared" si="104"/>
        <v>5.0312804691293822</v>
      </c>
      <c r="P351" s="20">
        <f t="shared" si="105"/>
        <v>0</v>
      </c>
      <c r="Q351" s="5">
        <f t="shared" si="93"/>
        <v>3.8166476819533655</v>
      </c>
      <c r="R351" s="5">
        <f t="shared" si="106"/>
        <v>1.9102284365111086</v>
      </c>
      <c r="S351" s="5">
        <f t="shared" si="94"/>
        <v>0.13115618571428556</v>
      </c>
      <c r="T351" s="5">
        <f t="shared" si="95"/>
        <v>1.7038843922329872</v>
      </c>
      <c r="U351" s="5">
        <f t="shared" si="96"/>
        <v>37.614374174119291</v>
      </c>
      <c r="AB351" s="14"/>
      <c r="AD351" s="5">
        <f t="shared" si="97"/>
        <v>2.5500000000000007</v>
      </c>
      <c r="AE351" s="5">
        <f t="shared" si="98"/>
        <v>9.875</v>
      </c>
      <c r="AF351" s="5">
        <f t="shared" si="99"/>
        <v>3.2193441143194796</v>
      </c>
      <c r="AG351" s="5">
        <f t="shared" si="100"/>
        <v>2.4631465486296187</v>
      </c>
      <c r="AH351" s="5">
        <f t="shared" si="107"/>
        <v>0.37809878284493048</v>
      </c>
      <c r="AI351" s="5">
        <f t="shared" si="101"/>
        <v>2.6933809728963389E-2</v>
      </c>
      <c r="AJ351" s="5">
        <f t="shared" si="108"/>
        <v>3.7337254805936887E-2</v>
      </c>
      <c r="AK351" s="5">
        <f t="shared" si="109"/>
        <v>0.34076152803899362</v>
      </c>
      <c r="AL351" s="5">
        <f t="shared" si="102"/>
        <v>0.745</v>
      </c>
      <c r="AM351" s="5">
        <v>16.7</v>
      </c>
    </row>
    <row r="352" spans="1:39" x14ac:dyDescent="0.2">
      <c r="A352" s="23">
        <v>45638</v>
      </c>
      <c r="B352" s="20">
        <v>27.1</v>
      </c>
      <c r="C352" s="20">
        <v>79.3</v>
      </c>
      <c r="D352" s="20">
        <v>0.9</v>
      </c>
      <c r="E352" s="20">
        <v>33.9</v>
      </c>
      <c r="F352" s="20">
        <v>81.7916666666666</v>
      </c>
      <c r="G352" s="20">
        <v>3.2958333333333298</v>
      </c>
      <c r="H352" s="20">
        <v>23.4</v>
      </c>
      <c r="I352" s="20">
        <v>52</v>
      </c>
      <c r="J352" s="20">
        <v>0</v>
      </c>
      <c r="K352" s="20">
        <v>0.72284583333333297</v>
      </c>
      <c r="L352" s="20">
        <f t="shared" si="103"/>
        <v>0.33250908333333318</v>
      </c>
      <c r="M352" s="20"/>
      <c r="N352" s="5">
        <f>IF(0&lt;B352&lt;26.5,16*(((10*B352)/#REF!)^#REF!)/30,((-415.85)+(32.24*B352)-(0.43*B352^2))/30)</f>
        <v>4.7352566666666673</v>
      </c>
      <c r="O352" s="6">
        <f t="shared" si="104"/>
        <v>5.0312804691293822</v>
      </c>
      <c r="P352" s="20">
        <f t="shared" si="105"/>
        <v>0</v>
      </c>
      <c r="Q352" s="5">
        <f t="shared" si="93"/>
        <v>5.588371867570241</v>
      </c>
      <c r="R352" s="5">
        <f t="shared" si="106"/>
        <v>2.7969746606969634</v>
      </c>
      <c r="S352" s="5">
        <f t="shared" si="94"/>
        <v>0.26628401335714263</v>
      </c>
      <c r="T352" s="5">
        <f t="shared" si="95"/>
        <v>2.6302771172296926</v>
      </c>
      <c r="U352" s="5">
        <f t="shared" si="96"/>
        <v>37.618173852913408</v>
      </c>
      <c r="AB352" s="14"/>
      <c r="AD352" s="5">
        <f t="shared" si="97"/>
        <v>5.25</v>
      </c>
      <c r="AE352" s="5">
        <f t="shared" si="98"/>
        <v>14.8958333333333</v>
      </c>
      <c r="AF352" s="5">
        <f t="shared" si="99"/>
        <v>4.108449271877344</v>
      </c>
      <c r="AG352" s="5">
        <f t="shared" si="100"/>
        <v>2.3853262226321985</v>
      </c>
      <c r="AH352" s="5">
        <f t="shared" si="107"/>
        <v>0.86156152462257274</v>
      </c>
      <c r="AI352" s="5">
        <f t="shared" si="101"/>
        <v>6.001443091367957E-2</v>
      </c>
      <c r="AJ352" s="5">
        <f t="shared" si="108"/>
        <v>0.12833676877190378</v>
      </c>
      <c r="AK352" s="5">
        <f t="shared" si="109"/>
        <v>0.73322475585066893</v>
      </c>
      <c r="AL352" s="5">
        <f t="shared" si="102"/>
        <v>0.754</v>
      </c>
      <c r="AM352" s="5">
        <v>16.7</v>
      </c>
    </row>
    <row r="353" spans="1:39" x14ac:dyDescent="0.2">
      <c r="A353" s="23">
        <v>45639</v>
      </c>
      <c r="B353" s="20">
        <v>25.7</v>
      </c>
      <c r="C353" s="20">
        <v>90.2</v>
      </c>
      <c r="D353" s="20">
        <v>1.2</v>
      </c>
      <c r="E353" s="20">
        <v>32</v>
      </c>
      <c r="F353" s="20">
        <v>92.7916666666666</v>
      </c>
      <c r="G353" s="20">
        <v>3.6333333333333302</v>
      </c>
      <c r="H353" s="20">
        <v>24.3</v>
      </c>
      <c r="I353" s="20">
        <v>60</v>
      </c>
      <c r="J353" s="20">
        <v>23.2</v>
      </c>
      <c r="K353" s="20">
        <v>0.411816666666666</v>
      </c>
      <c r="L353" s="20">
        <f t="shared" si="103"/>
        <v>0.18943566666666636</v>
      </c>
      <c r="M353" s="20"/>
      <c r="N353" s="5">
        <f>IF(0&lt;B353&lt;26.5,16*(((10*B353)/#REF!)^#REF!)/30,((-415.85)+(32.24*B353)-(0.43*B353^2))/30)</f>
        <v>4.2902433333333327</v>
      </c>
      <c r="O353" s="6">
        <f t="shared" si="104"/>
        <v>5.0312804691293822</v>
      </c>
      <c r="P353" s="20">
        <f t="shared" si="105"/>
        <v>0</v>
      </c>
      <c r="Q353" s="5">
        <f t="shared" si="93"/>
        <v>4.6363789640874371</v>
      </c>
      <c r="R353" s="5">
        <f t="shared" si="106"/>
        <v>2.3205031424616451</v>
      </c>
      <c r="S353" s="5">
        <f t="shared" si="94"/>
        <v>0.14888937428571403</v>
      </c>
      <c r="T353" s="5">
        <f t="shared" si="95"/>
        <v>2.1162946462025505</v>
      </c>
      <c r="U353" s="5">
        <f t="shared" si="96"/>
        <v>37.609545415651759</v>
      </c>
      <c r="AB353" s="14"/>
      <c r="AD353" s="5">
        <f t="shared" si="97"/>
        <v>3.8499999999999996</v>
      </c>
      <c r="AE353" s="5">
        <f t="shared" si="98"/>
        <v>16.3958333333333</v>
      </c>
      <c r="AF353" s="5">
        <f t="shared" si="99"/>
        <v>3.7338187409643715</v>
      </c>
      <c r="AG353" s="5">
        <f t="shared" si="100"/>
        <v>2.5028821659538099</v>
      </c>
      <c r="AH353" s="5">
        <f t="shared" si="107"/>
        <v>0.61546828750528082</v>
      </c>
      <c r="AI353" s="5">
        <f t="shared" si="101"/>
        <v>4.3371366136417067E-2</v>
      </c>
      <c r="AJ353" s="5">
        <f t="shared" si="108"/>
        <v>0.10091115463888647</v>
      </c>
      <c r="AK353" s="5">
        <f t="shared" si="109"/>
        <v>0.51455713286639437</v>
      </c>
      <c r="AL353" s="5">
        <f t="shared" si="102"/>
        <v>0.74</v>
      </c>
      <c r="AM353" s="5">
        <v>16.7</v>
      </c>
    </row>
    <row r="354" spans="1:39" x14ac:dyDescent="0.2">
      <c r="A354" s="23">
        <v>45640</v>
      </c>
      <c r="B354" s="20">
        <v>26.1</v>
      </c>
      <c r="C354" s="20">
        <v>86.8</v>
      </c>
      <c r="D354" s="20">
        <v>1</v>
      </c>
      <c r="E354" s="20">
        <v>33</v>
      </c>
      <c r="F354" s="20">
        <v>91</v>
      </c>
      <c r="G354" s="20">
        <v>3.13749999999999</v>
      </c>
      <c r="H354" s="20">
        <v>23.1</v>
      </c>
      <c r="I354" s="20">
        <v>60</v>
      </c>
      <c r="J354" s="20">
        <v>44.8</v>
      </c>
      <c r="K354" s="20">
        <v>0.59272083333333292</v>
      </c>
      <c r="L354" s="20">
        <f t="shared" si="103"/>
        <v>0.27265158333333317</v>
      </c>
      <c r="M354" s="20"/>
      <c r="N354" s="5">
        <f>IF(0&lt;B354&lt;26.5,16*(((10*B354)/#REF!)^#REF!)/30,((-415.85)+(32.24*B354)-(0.43*B354^2))/30)</f>
        <v>4.4231233333333346</v>
      </c>
      <c r="O354" s="6">
        <f t="shared" si="104"/>
        <v>5.0312804691293822</v>
      </c>
      <c r="P354" s="20">
        <f t="shared" si="105"/>
        <v>0</v>
      </c>
      <c r="Q354" s="5">
        <f t="shared" si="93"/>
        <v>5.3055012929269845</v>
      </c>
      <c r="R354" s="5">
        <f t="shared" si="106"/>
        <v>2.6553982144111914</v>
      </c>
      <c r="S354" s="5">
        <f t="shared" si="94"/>
        <v>0.21545232942857129</v>
      </c>
      <c r="T354" s="5">
        <f t="shared" si="95"/>
        <v>2.3730836508478341</v>
      </c>
      <c r="U354" s="5">
        <f t="shared" si="96"/>
        <v>37.612236854797594</v>
      </c>
      <c r="AB354" s="14"/>
      <c r="AD354" s="5">
        <f t="shared" si="97"/>
        <v>4.9499999999999993</v>
      </c>
      <c r="AE354" s="5">
        <f t="shared" si="98"/>
        <v>15.5</v>
      </c>
      <c r="AF354" s="5">
        <f t="shared" si="99"/>
        <v>3.9271053508234131</v>
      </c>
      <c r="AG354" s="5">
        <f t="shared" si="100"/>
        <v>2.3472285570583398</v>
      </c>
      <c r="AH354" s="5">
        <f t="shared" si="107"/>
        <v>0.78993839688253664</v>
      </c>
      <c r="AI354" s="5">
        <f t="shared" si="101"/>
        <v>5.5161695540916142E-2</v>
      </c>
      <c r="AJ354" s="5">
        <f t="shared" si="108"/>
        <v>0.12244045151679318</v>
      </c>
      <c r="AK354" s="5">
        <f t="shared" si="109"/>
        <v>0.66749794536574347</v>
      </c>
      <c r="AL354" s="5">
        <f t="shared" si="102"/>
        <v>0.74399999999999999</v>
      </c>
      <c r="AM354" s="5">
        <v>16.7</v>
      </c>
    </row>
    <row r="355" spans="1:39" x14ac:dyDescent="0.2">
      <c r="A355" s="23">
        <v>45641</v>
      </c>
      <c r="B355" s="20">
        <v>26.5</v>
      </c>
      <c r="C355" s="20">
        <v>82.7</v>
      </c>
      <c r="D355" s="20">
        <v>1.5</v>
      </c>
      <c r="E355" s="20">
        <v>31.6</v>
      </c>
      <c r="F355" s="20">
        <v>86.7083333333333</v>
      </c>
      <c r="G355" s="20">
        <v>4.24166666666666</v>
      </c>
      <c r="H355" s="20">
        <v>23.4</v>
      </c>
      <c r="I355" s="20">
        <v>65</v>
      </c>
      <c r="J355" s="20">
        <v>26.2</v>
      </c>
      <c r="K355" s="20">
        <v>0.48959166666666604</v>
      </c>
      <c r="L355" s="20">
        <f t="shared" si="103"/>
        <v>0.22521216666666638</v>
      </c>
      <c r="M355" s="20"/>
      <c r="N355" s="5">
        <f>IF(0&lt;B355&lt;26.5,16*(((10*B355)/#REF!)^#REF!)/30,((-415.85)+(32.24*B355)-(0.43*B355^2))/30)</f>
        <v>4.5514166666666673</v>
      </c>
      <c r="O355" s="6">
        <f t="shared" si="104"/>
        <v>5.0312804691293822</v>
      </c>
      <c r="P355" s="20">
        <f t="shared" si="105"/>
        <v>0</v>
      </c>
      <c r="Q355" s="5">
        <f t="shared" si="93"/>
        <v>4.8725349123783399</v>
      </c>
      <c r="R355" s="5">
        <f t="shared" si="106"/>
        <v>2.4386989638914214</v>
      </c>
      <c r="S355" s="5">
        <f t="shared" si="94"/>
        <v>0.17892197399999976</v>
      </c>
      <c r="T355" s="5">
        <f t="shared" si="95"/>
        <v>2.523088177492653</v>
      </c>
      <c r="U355" s="5">
        <f t="shared" si="96"/>
        <v>37.615482413767573</v>
      </c>
      <c r="AB355" s="14"/>
      <c r="AD355" s="5">
        <f t="shared" si="97"/>
        <v>4.1000000000000014</v>
      </c>
      <c r="AE355" s="5">
        <f t="shared" si="98"/>
        <v>10.85416666666665</v>
      </c>
      <c r="AF355" s="5">
        <f t="shared" si="99"/>
        <v>3.6588553838729245</v>
      </c>
      <c r="AG355" s="5">
        <f t="shared" si="100"/>
        <v>2.3853262226321985</v>
      </c>
      <c r="AH355" s="5">
        <f t="shared" si="107"/>
        <v>0.63676458062036301</v>
      </c>
      <c r="AI355" s="5">
        <f t="shared" si="101"/>
        <v>4.4779199000415409E-2</v>
      </c>
      <c r="AJ355" s="5">
        <f t="shared" si="108"/>
        <v>6.9115488854835136E-2</v>
      </c>
      <c r="AK355" s="5">
        <f t="shared" si="109"/>
        <v>0.56764909176552791</v>
      </c>
      <c r="AL355" s="5">
        <f t="shared" si="102"/>
        <v>0.748</v>
      </c>
      <c r="AM355" s="5">
        <v>16.7</v>
      </c>
    </row>
    <row r="356" spans="1:39" x14ac:dyDescent="0.2">
      <c r="A356" s="23">
        <v>45642</v>
      </c>
      <c r="B356" s="20">
        <v>26.2</v>
      </c>
      <c r="C356" s="20">
        <v>85</v>
      </c>
      <c r="D356" s="20">
        <v>1.1000000000000001</v>
      </c>
      <c r="E356" s="20">
        <v>32.1</v>
      </c>
      <c r="F356" s="20">
        <v>87.9375</v>
      </c>
      <c r="G356" s="20">
        <v>3.4354166666666601</v>
      </c>
      <c r="H356" s="20">
        <v>24.3</v>
      </c>
      <c r="I356" s="20">
        <v>64</v>
      </c>
      <c r="J356" s="20">
        <v>5</v>
      </c>
      <c r="K356" s="20">
        <v>0.31982708333333298</v>
      </c>
      <c r="L356" s="20">
        <f t="shared" si="103"/>
        <v>0.14712045833333318</v>
      </c>
      <c r="M356" s="20"/>
      <c r="N356" s="5">
        <f>IF(0&lt;B356&lt;26.5,16*(((10*B356)/#REF!)^#REF!)/30,((-415.85)+(32.24*B356)-(0.43*B356^2))/30)</f>
        <v>4.4556266666666655</v>
      </c>
      <c r="O356" s="6">
        <f t="shared" si="104"/>
        <v>5.0312804691293822</v>
      </c>
      <c r="P356" s="20">
        <f t="shared" si="105"/>
        <v>0</v>
      </c>
      <c r="Q356" s="5">
        <f t="shared" si="93"/>
        <v>4.7200248487142522</v>
      </c>
      <c r="R356" s="5">
        <f t="shared" si="106"/>
        <v>2.3623678260075711</v>
      </c>
      <c r="S356" s="5">
        <f t="shared" si="94"/>
        <v>0.11641248937499986</v>
      </c>
      <c r="T356" s="5">
        <f t="shared" si="95"/>
        <v>2.1730116560780299</v>
      </c>
      <c r="U356" s="5">
        <f t="shared" si="96"/>
        <v>37.613661734345392</v>
      </c>
      <c r="AB356" s="14"/>
      <c r="AD356" s="5">
        <f t="shared" si="97"/>
        <v>3.9000000000000004</v>
      </c>
      <c r="AE356" s="5">
        <f t="shared" si="98"/>
        <v>11.96875</v>
      </c>
      <c r="AF356" s="5">
        <f t="shared" si="99"/>
        <v>3.752767188668011</v>
      </c>
      <c r="AG356" s="5">
        <f t="shared" si="100"/>
        <v>2.5028821659538099</v>
      </c>
      <c r="AH356" s="5">
        <f t="shared" si="107"/>
        <v>0.62494251135710055</v>
      </c>
      <c r="AI356" s="5">
        <f t="shared" si="101"/>
        <v>4.4020747759636686E-2</v>
      </c>
      <c r="AJ356" s="5">
        <f t="shared" si="108"/>
        <v>7.4797806828052982E-2</v>
      </c>
      <c r="AK356" s="5">
        <f t="shared" si="109"/>
        <v>0.55014470452904751</v>
      </c>
      <c r="AL356" s="5">
        <f t="shared" si="102"/>
        <v>0.745</v>
      </c>
      <c r="AM356" s="5">
        <v>16.7</v>
      </c>
    </row>
    <row r="357" spans="1:39" x14ac:dyDescent="0.2">
      <c r="A357" s="23">
        <v>45643</v>
      </c>
      <c r="B357" s="20">
        <v>24.9</v>
      </c>
      <c r="C357" s="20">
        <v>90.6</v>
      </c>
      <c r="D357" s="20">
        <v>1.3</v>
      </c>
      <c r="E357" s="20">
        <v>26.7</v>
      </c>
      <c r="F357" s="20">
        <v>92.0416666666666</v>
      </c>
      <c r="G357" s="20">
        <v>3.9375</v>
      </c>
      <c r="H357" s="20">
        <v>23.3</v>
      </c>
      <c r="I357" s="20">
        <v>80</v>
      </c>
      <c r="J357" s="20">
        <v>8.1999999999999993</v>
      </c>
      <c r="K357" s="20">
        <v>0.22648333333333301</v>
      </c>
      <c r="L357" s="20">
        <f t="shared" si="103"/>
        <v>0.10418233333333318</v>
      </c>
      <c r="M357" s="20"/>
      <c r="N357" s="5">
        <f>IF(0&lt;B357&lt;26.5,16*(((10*B357)/#REF!)^#REF!)/30,((-415.85)+(32.24*B357)-(0.43*B357^2))/30)</f>
        <v>4.0107233333333321</v>
      </c>
      <c r="O357" s="6">
        <f t="shared" si="104"/>
        <v>5.0312804691293822</v>
      </c>
      <c r="P357" s="20">
        <f t="shared" si="105"/>
        <v>0</v>
      </c>
      <c r="Q357" s="5">
        <f t="shared" si="93"/>
        <v>3.0242078802434529</v>
      </c>
      <c r="R357" s="5">
        <f t="shared" si="106"/>
        <v>1.5136130898530791</v>
      </c>
      <c r="S357" s="5">
        <f t="shared" si="94"/>
        <v>8.0998205142857022E-2</v>
      </c>
      <c r="T357" s="5">
        <f t="shared" si="95"/>
        <v>1.0998018798875027</v>
      </c>
      <c r="U357" s="5">
        <f t="shared" si="96"/>
        <v>37.60922877575225</v>
      </c>
      <c r="AB357" s="14"/>
      <c r="AD357" s="5">
        <f t="shared" si="97"/>
        <v>1.6999999999999993</v>
      </c>
      <c r="AE357" s="5">
        <f t="shared" si="98"/>
        <v>6.0208333333333002</v>
      </c>
      <c r="AF357" s="5">
        <f t="shared" si="99"/>
        <v>2.8414577983779647</v>
      </c>
      <c r="AG357" s="5">
        <f t="shared" si="100"/>
        <v>2.3725673712330511</v>
      </c>
      <c r="AH357" s="5">
        <f t="shared" si="107"/>
        <v>0.23444521357245685</v>
      </c>
      <c r="AI357" s="5">
        <f t="shared" si="101"/>
        <v>1.6819672015894824E-2</v>
      </c>
      <c r="AJ357" s="5">
        <f t="shared" si="108"/>
        <v>1.4115555567174929E-2</v>
      </c>
      <c r="AK357" s="5">
        <f t="shared" si="109"/>
        <v>0.22032965800528193</v>
      </c>
      <c r="AL357" s="5">
        <f t="shared" si="102"/>
        <v>0.73199999999999998</v>
      </c>
      <c r="AM357" s="5">
        <v>16.7</v>
      </c>
    </row>
    <row r="358" spans="1:39" x14ac:dyDescent="0.2">
      <c r="A358" s="23">
        <v>45644</v>
      </c>
      <c r="B358" s="20">
        <v>26.2</v>
      </c>
      <c r="C358" s="20">
        <v>86.3</v>
      </c>
      <c r="D358" s="20">
        <v>0.8</v>
      </c>
      <c r="E358" s="20">
        <v>30.4</v>
      </c>
      <c r="F358" s="20">
        <v>89.4791666666666</v>
      </c>
      <c r="G358" s="20">
        <v>2.35624999999999</v>
      </c>
      <c r="H358" s="20">
        <v>23</v>
      </c>
      <c r="I358" s="20">
        <v>71</v>
      </c>
      <c r="J358" s="20">
        <v>8.4</v>
      </c>
      <c r="K358" s="20">
        <v>0.39727083333333296</v>
      </c>
      <c r="L358" s="20">
        <f t="shared" si="103"/>
        <v>0.18274458333333318</v>
      </c>
      <c r="M358" s="20"/>
      <c r="N358" s="5">
        <f>IF(0&lt;B358&lt;26.5,16*(((10*B358)/#REF!)^#REF!)/30,((-415.85)+(32.24*B358)-(0.43*B358^2))/30)</f>
        <v>4.4556266666666655</v>
      </c>
      <c r="O358" s="6">
        <f t="shared" si="104"/>
        <v>5.0312804691293822</v>
      </c>
      <c r="P358" s="20">
        <f t="shared" si="105"/>
        <v>0</v>
      </c>
      <c r="Q358" s="5">
        <f t="shared" si="93"/>
        <v>4.5974058437166487</v>
      </c>
      <c r="R358" s="5">
        <f t="shared" si="106"/>
        <v>2.3009971337871038</v>
      </c>
      <c r="S358" s="5">
        <f t="shared" si="94"/>
        <v>0.14460090803571413</v>
      </c>
      <c r="T358" s="5">
        <f t="shared" si="95"/>
        <v>1.6298333800749025</v>
      </c>
      <c r="U358" s="5">
        <f t="shared" si="96"/>
        <v>37.612632654671977</v>
      </c>
      <c r="AB358" s="14"/>
      <c r="AD358" s="5">
        <f t="shared" si="97"/>
        <v>3.6999999999999993</v>
      </c>
      <c r="AE358" s="5">
        <f t="shared" si="98"/>
        <v>9.2395833333333002</v>
      </c>
      <c r="AF358" s="5">
        <f t="shared" si="99"/>
        <v>3.4417718082635353</v>
      </c>
      <c r="AG358" s="5">
        <f t="shared" si="100"/>
        <v>2.3346481219405364</v>
      </c>
      <c r="AH358" s="5">
        <f t="shared" si="107"/>
        <v>0.55356184316149948</v>
      </c>
      <c r="AI358" s="5">
        <f t="shared" si="101"/>
        <v>3.9057461704788569E-2</v>
      </c>
      <c r="AJ358" s="5">
        <f t="shared" si="108"/>
        <v>5.1146807800442534E-2</v>
      </c>
      <c r="AK358" s="5">
        <f t="shared" si="109"/>
        <v>0.50241503536105692</v>
      </c>
      <c r="AL358" s="5">
        <f t="shared" si="102"/>
        <v>0.745</v>
      </c>
      <c r="AM358" s="5">
        <v>16.7</v>
      </c>
    </row>
    <row r="359" spans="1:39" x14ac:dyDescent="0.2">
      <c r="A359" s="23">
        <v>45645</v>
      </c>
      <c r="B359" s="20">
        <v>26.7</v>
      </c>
      <c r="C359" s="20">
        <v>84</v>
      </c>
      <c r="D359" s="20">
        <v>1.5</v>
      </c>
      <c r="E359" s="20">
        <v>30.7</v>
      </c>
      <c r="F359" s="20">
        <v>86.9583333333333</v>
      </c>
      <c r="G359" s="20">
        <v>4.0208333333333304</v>
      </c>
      <c r="H359" s="20">
        <v>24.9</v>
      </c>
      <c r="I359" s="20">
        <v>65</v>
      </c>
      <c r="J359" s="20">
        <v>3.4</v>
      </c>
      <c r="K359" s="20">
        <v>0.444787499999999</v>
      </c>
      <c r="L359" s="20">
        <f t="shared" si="103"/>
        <v>0.20460224999999954</v>
      </c>
      <c r="M359" s="20"/>
      <c r="N359" s="5">
        <f>IF(0&lt;B359&lt;26.5,16*(((10*B359)/#REF!)^#REF!)/30,((-415.85)+(32.24*B359)-(0.43*B359^2))/30)</f>
        <v>4.6138433333333335</v>
      </c>
      <c r="O359" s="6">
        <f t="shared" si="104"/>
        <v>5.0312804691293822</v>
      </c>
      <c r="P359" s="20">
        <f t="shared" si="105"/>
        <v>0</v>
      </c>
      <c r="Q359" s="5">
        <f t="shared" si="93"/>
        <v>4.1164070651655669</v>
      </c>
      <c r="R359" s="5">
        <f t="shared" si="106"/>
        <v>2.0602577149877419</v>
      </c>
      <c r="S359" s="5">
        <f t="shared" si="94"/>
        <v>0.16298284821428535</v>
      </c>
      <c r="T359" s="5">
        <f t="shared" si="95"/>
        <v>1.8769006043280199</v>
      </c>
      <c r="U359" s="5">
        <f t="shared" si="96"/>
        <v>37.614453334094165</v>
      </c>
      <c r="AB359" s="14"/>
      <c r="AD359" s="5">
        <f t="shared" si="97"/>
        <v>2.9000000000000004</v>
      </c>
      <c r="AE359" s="5">
        <f t="shared" si="98"/>
        <v>10.97916666666665</v>
      </c>
      <c r="AF359" s="5">
        <f t="shared" si="99"/>
        <v>3.4949625465735186</v>
      </c>
      <c r="AG359" s="5">
        <f t="shared" si="100"/>
        <v>2.5840371643542337</v>
      </c>
      <c r="AH359" s="5">
        <f t="shared" si="107"/>
        <v>0.45546269110964244</v>
      </c>
      <c r="AI359" s="5">
        <f t="shared" si="101"/>
        <v>3.2350333024022349E-2</v>
      </c>
      <c r="AJ359" s="5">
        <f t="shared" si="108"/>
        <v>5.0006007961412753E-2</v>
      </c>
      <c r="AK359" s="5">
        <f t="shared" si="109"/>
        <v>0.40545668314822969</v>
      </c>
      <c r="AL359" s="5">
        <f t="shared" si="102"/>
        <v>0.75</v>
      </c>
      <c r="AM359" s="5">
        <v>16.7</v>
      </c>
    </row>
    <row r="360" spans="1:39" x14ac:dyDescent="0.2">
      <c r="A360" s="23">
        <v>45646</v>
      </c>
      <c r="B360" s="20">
        <v>26.8</v>
      </c>
      <c r="C360" s="20">
        <v>84.5</v>
      </c>
      <c r="D360" s="20">
        <v>0.9</v>
      </c>
      <c r="E360" s="20">
        <v>31.9</v>
      </c>
      <c r="F360" s="20">
        <v>86.9375</v>
      </c>
      <c r="G360" s="20">
        <v>2.67916666666666</v>
      </c>
      <c r="H360" s="20">
        <v>23.1</v>
      </c>
      <c r="I360" s="20">
        <v>66</v>
      </c>
      <c r="J360" s="20">
        <v>4</v>
      </c>
      <c r="K360" s="20">
        <v>0.33692500000000003</v>
      </c>
      <c r="L360" s="20">
        <f t="shared" si="103"/>
        <v>0.15498550000000003</v>
      </c>
      <c r="M360" s="20"/>
      <c r="N360" s="5">
        <f>IF(0&lt;B360&lt;26.5,16*(((10*B360)/#REF!)^#REF!)/30,((-415.85)+(32.24*B360)-(0.43*B360^2))/30)</f>
        <v>4.6446266666666665</v>
      </c>
      <c r="O360" s="6">
        <f t="shared" si="104"/>
        <v>5.0312804691293822</v>
      </c>
      <c r="P360" s="20">
        <f t="shared" si="105"/>
        <v>0</v>
      </c>
      <c r="Q360" s="5">
        <f t="shared" si="93"/>
        <v>5.0818343205859033</v>
      </c>
      <c r="R360" s="5">
        <f t="shared" si="106"/>
        <v>2.5434531132443978</v>
      </c>
      <c r="S360" s="5">
        <f t="shared" si="94"/>
        <v>0.12362355835714285</v>
      </c>
      <c r="T360" s="5">
        <f t="shared" si="95"/>
        <v>2.0287166066493496</v>
      </c>
      <c r="U360" s="5">
        <f t="shared" si="96"/>
        <v>37.614057534219775</v>
      </c>
      <c r="AB360" s="14"/>
      <c r="AD360" s="5">
        <f t="shared" si="97"/>
        <v>4.3999999999999986</v>
      </c>
      <c r="AE360" s="5">
        <f t="shared" si="98"/>
        <v>10.46875</v>
      </c>
      <c r="AF360" s="5">
        <f t="shared" si="99"/>
        <v>3.7149536445295444</v>
      </c>
      <c r="AG360" s="5">
        <f t="shared" si="100"/>
        <v>2.3472285570583398</v>
      </c>
      <c r="AH360" s="5">
        <f t="shared" si="107"/>
        <v>0.68386254373560229</v>
      </c>
      <c r="AI360" s="5">
        <f t="shared" si="101"/>
        <v>4.7971960854245911E-2</v>
      </c>
      <c r="AJ360" s="5">
        <f t="shared" si="108"/>
        <v>7.1591860047320863E-2</v>
      </c>
      <c r="AK360" s="5">
        <f t="shared" si="109"/>
        <v>0.61227068368828141</v>
      </c>
      <c r="AL360" s="5">
        <f t="shared" si="102"/>
        <v>0.751</v>
      </c>
      <c r="AM360" s="5">
        <v>16.7</v>
      </c>
    </row>
    <row r="361" spans="1:39" x14ac:dyDescent="0.2">
      <c r="A361" s="23">
        <v>45647</v>
      </c>
      <c r="B361" s="20">
        <v>28.4</v>
      </c>
      <c r="C361" s="20">
        <v>79.900000000000006</v>
      </c>
      <c r="D361" s="20">
        <v>1.4</v>
      </c>
      <c r="E361" s="20">
        <v>33.799999999999997</v>
      </c>
      <c r="F361" s="20">
        <v>83.625</v>
      </c>
      <c r="G361" s="20">
        <v>3.7062499999999998</v>
      </c>
      <c r="H361" s="20">
        <v>24</v>
      </c>
      <c r="I361" s="20">
        <v>52</v>
      </c>
      <c r="J361" s="20">
        <v>17.8</v>
      </c>
      <c r="K361" s="20">
        <v>0.64232916666666595</v>
      </c>
      <c r="L361" s="20">
        <f t="shared" si="103"/>
        <v>0.29547141666666638</v>
      </c>
      <c r="M361" s="20"/>
      <c r="N361" s="5">
        <f>IF(0&lt;B361&lt;26.5,16*(((10*B361)/#REF!)^#REF!)/30,((-415.85)+(32.24*B361)-(0.43*B361^2))/30)</f>
        <v>5.0981733333333334</v>
      </c>
      <c r="O361" s="6">
        <f t="shared" si="104"/>
        <v>5.0312804691293822</v>
      </c>
      <c r="P361" s="20">
        <f t="shared" si="105"/>
        <v>0</v>
      </c>
      <c r="Q361" s="5">
        <f t="shared" si="93"/>
        <v>5.5551951572998037</v>
      </c>
      <c r="R361" s="5">
        <f t="shared" si="106"/>
        <v>2.780369749615403</v>
      </c>
      <c r="S361" s="5">
        <f t="shared" si="94"/>
        <v>0.24070276146428538</v>
      </c>
      <c r="T361" s="5">
        <f t="shared" si="95"/>
        <v>2.6680315486196906</v>
      </c>
      <c r="U361" s="5">
        <f t="shared" si="96"/>
        <v>37.617698893064137</v>
      </c>
      <c r="AB361" s="14"/>
      <c r="AD361" s="5">
        <f t="shared" si="97"/>
        <v>4.8999999999999986</v>
      </c>
      <c r="AE361" s="5">
        <f t="shared" si="98"/>
        <v>15.8125</v>
      </c>
      <c r="AF361" s="5">
        <f t="shared" si="99"/>
        <v>4.0879467356658399</v>
      </c>
      <c r="AG361" s="5">
        <f t="shared" si="100"/>
        <v>2.4631465486296187</v>
      </c>
      <c r="AH361" s="5">
        <f t="shared" si="107"/>
        <v>0.8124000935181106</v>
      </c>
      <c r="AI361" s="5">
        <f t="shared" si="101"/>
        <v>5.6753629563388738E-2</v>
      </c>
      <c r="AJ361" s="5">
        <f t="shared" si="108"/>
        <v>0.12846076478755125</v>
      </c>
      <c r="AK361" s="5">
        <f t="shared" si="109"/>
        <v>0.68393932873055929</v>
      </c>
      <c r="AL361" s="5">
        <f t="shared" si="102"/>
        <v>0.7669999999999999</v>
      </c>
      <c r="AM361" s="5">
        <v>16.7</v>
      </c>
    </row>
    <row r="362" spans="1:39" x14ac:dyDescent="0.2">
      <c r="A362" s="23">
        <v>45648</v>
      </c>
      <c r="B362" s="20">
        <v>28.4</v>
      </c>
      <c r="C362" s="20">
        <v>79</v>
      </c>
      <c r="D362" s="20">
        <v>0.9</v>
      </c>
      <c r="E362" s="20">
        <v>33.5</v>
      </c>
      <c r="F362" s="20">
        <v>81.5416666666666</v>
      </c>
      <c r="G362" s="20">
        <v>3.05416666666666</v>
      </c>
      <c r="H362" s="20">
        <v>25.7</v>
      </c>
      <c r="I362" s="20">
        <v>57</v>
      </c>
      <c r="J362" s="20">
        <v>0.2</v>
      </c>
      <c r="K362" s="20">
        <v>0.45324999999999999</v>
      </c>
      <c r="L362" s="20">
        <f t="shared" si="103"/>
        <v>0.20849500000000001</v>
      </c>
      <c r="M362" s="20"/>
      <c r="N362" s="5">
        <f>IF(0&lt;B362&lt;26.5,16*(((10*B362)/#REF!)^#REF!)/30,((-415.85)+(32.24*B362)-(0.43*B362^2))/30)</f>
        <v>5.0981733333333334</v>
      </c>
      <c r="O362" s="6">
        <f t="shared" si="104"/>
        <v>5.0312804691293822</v>
      </c>
      <c r="P362" s="20">
        <f t="shared" si="105"/>
        <v>0</v>
      </c>
      <c r="Q362" s="5">
        <f t="shared" si="93"/>
        <v>4.9560260911499654</v>
      </c>
      <c r="R362" s="5">
        <f t="shared" si="106"/>
        <v>2.4804862173079503</v>
      </c>
      <c r="S362" s="5">
        <f t="shared" si="94"/>
        <v>0.16984831499999994</v>
      </c>
      <c r="T362" s="5">
        <f t="shared" si="95"/>
        <v>2.1300637228825035</v>
      </c>
      <c r="U362" s="5">
        <f t="shared" si="96"/>
        <v>37.618411332838036</v>
      </c>
      <c r="AB362" s="14"/>
      <c r="AD362" s="5">
        <f t="shared" si="97"/>
        <v>3.9000000000000004</v>
      </c>
      <c r="AE362" s="5">
        <f t="shared" si="98"/>
        <v>12.2708333333333</v>
      </c>
      <c r="AF362" s="5">
        <f t="shared" si="99"/>
        <v>4.0269721746729781</v>
      </c>
      <c r="AG362" s="5">
        <f t="shared" si="100"/>
        <v>2.6958147156907444</v>
      </c>
      <c r="AH362" s="5">
        <f t="shared" si="107"/>
        <v>0.66557872949111685</v>
      </c>
      <c r="AI362" s="5">
        <f t="shared" si="101"/>
        <v>4.6883149782021967E-2</v>
      </c>
      <c r="AJ362" s="5">
        <f t="shared" si="108"/>
        <v>8.1672056597972234E-2</v>
      </c>
      <c r="AK362" s="5">
        <f t="shared" si="109"/>
        <v>0.58390667289314457</v>
      </c>
      <c r="AL362" s="5">
        <f t="shared" si="102"/>
        <v>0.7669999999999999</v>
      </c>
      <c r="AM362" s="5">
        <v>16.7</v>
      </c>
    </row>
    <row r="363" spans="1:39" x14ac:dyDescent="0.2">
      <c r="A363" s="23">
        <v>45649</v>
      </c>
      <c r="B363" s="20">
        <v>28.9</v>
      </c>
      <c r="C363" s="20">
        <v>76.599999999999994</v>
      </c>
      <c r="D363" s="20">
        <v>1.1000000000000001</v>
      </c>
      <c r="E363" s="20">
        <v>33.5</v>
      </c>
      <c r="F363" s="20">
        <v>80.125</v>
      </c>
      <c r="G363" s="20">
        <v>3.35</v>
      </c>
      <c r="H363" s="20">
        <v>24.8</v>
      </c>
      <c r="I363" s="20">
        <v>54</v>
      </c>
      <c r="J363" s="20">
        <v>0</v>
      </c>
      <c r="K363" s="20">
        <v>0.79263333333333297</v>
      </c>
      <c r="L363" s="20">
        <f t="shared" si="103"/>
        <v>0.36461133333333318</v>
      </c>
      <c r="M363" s="20"/>
      <c r="N363" s="5">
        <f>IF(0&lt;B363&lt;26.5,16*(((10*B363)/#REF!)^#REF!)/30,((-415.85)+(32.24*B363)-(0.43*B363^2))/30)</f>
        <v>5.2248566666666667</v>
      </c>
      <c r="O363" s="6">
        <f t="shared" si="104"/>
        <v>5.0312804691293822</v>
      </c>
      <c r="P363" s="20">
        <f t="shared" si="105"/>
        <v>0</v>
      </c>
      <c r="Q363" s="5">
        <f t="shared" si="93"/>
        <v>5.2907935331175322</v>
      </c>
      <c r="R363" s="5">
        <f t="shared" si="106"/>
        <v>2.6480369949938907</v>
      </c>
      <c r="S363" s="5">
        <f t="shared" si="94"/>
        <v>0.29896317599999983</v>
      </c>
      <c r="T363" s="5">
        <f t="shared" si="95"/>
        <v>2.4175002029189288</v>
      </c>
      <c r="U363" s="5">
        <f t="shared" si="96"/>
        <v>37.620311172235098</v>
      </c>
      <c r="AB363" s="14"/>
      <c r="AD363" s="5">
        <f t="shared" si="97"/>
        <v>4.3499999999999996</v>
      </c>
      <c r="AE363" s="5">
        <f t="shared" si="98"/>
        <v>13.0625</v>
      </c>
      <c r="AF363" s="5">
        <f t="shared" si="99"/>
        <v>4.0269721746729781</v>
      </c>
      <c r="AG363" s="5">
        <f t="shared" si="100"/>
        <v>2.57035378685043</v>
      </c>
      <c r="AH363" s="5">
        <f t="shared" si="107"/>
        <v>0.72830919391127402</v>
      </c>
      <c r="AI363" s="5">
        <f t="shared" si="101"/>
        <v>5.1110972856295372E-2</v>
      </c>
      <c r="AJ363" s="5">
        <f t="shared" si="108"/>
        <v>9.5135388454660172E-2</v>
      </c>
      <c r="AK363" s="5">
        <f t="shared" si="109"/>
        <v>0.63317380545661384</v>
      </c>
      <c r="AL363" s="5">
        <f t="shared" si="102"/>
        <v>0.77200000000000002</v>
      </c>
      <c r="AM363" s="5">
        <v>16.7</v>
      </c>
    </row>
    <row r="364" spans="1:39" x14ac:dyDescent="0.2">
      <c r="A364" s="23">
        <v>45650</v>
      </c>
      <c r="B364" s="20">
        <v>28.2</v>
      </c>
      <c r="C364" s="20">
        <v>81.5</v>
      </c>
      <c r="D364" s="20">
        <v>1</v>
      </c>
      <c r="E364" s="20">
        <v>33.200000000000003</v>
      </c>
      <c r="F364" s="20">
        <v>84.2916666666666</v>
      </c>
      <c r="G364" s="20">
        <v>3.6</v>
      </c>
      <c r="H364" s="20">
        <v>26.5</v>
      </c>
      <c r="I364" s="20">
        <v>62</v>
      </c>
      <c r="J364" s="20">
        <v>0</v>
      </c>
      <c r="K364" s="20">
        <v>0.574820833333333</v>
      </c>
      <c r="L364" s="20">
        <f t="shared" si="103"/>
        <v>0.26441758333333321</v>
      </c>
      <c r="M364" s="20"/>
      <c r="N364" s="5">
        <f>IF(0&lt;B364&lt;26.5,16*(((10*B364)/#REF!)^#REF!)/30,((-415.85)+(32.24*B364)-(0.43*B364^2))/30)</f>
        <v>5.0454933333333338</v>
      </c>
      <c r="O364" s="6">
        <f t="shared" si="104"/>
        <v>5.0312804691293822</v>
      </c>
      <c r="P364" s="20">
        <f t="shared" si="105"/>
        <v>0</v>
      </c>
      <c r="Q364" s="5">
        <f t="shared" si="93"/>
        <v>4.5734037148845719</v>
      </c>
      <c r="R364" s="5">
        <f t="shared" si="106"/>
        <v>2.2889840917532189</v>
      </c>
      <c r="S364" s="5">
        <f t="shared" si="94"/>
        <v>0.21484339232142838</v>
      </c>
      <c r="T364" s="5">
        <f t="shared" si="95"/>
        <v>2.1445751491987797</v>
      </c>
      <c r="U364" s="5">
        <f t="shared" si="96"/>
        <v>37.616432333466101</v>
      </c>
      <c r="AB364" s="14"/>
      <c r="AD364" s="5">
        <f t="shared" si="97"/>
        <v>3.3500000000000014</v>
      </c>
      <c r="AE364" s="5">
        <f t="shared" si="98"/>
        <v>11.1458333333333</v>
      </c>
      <c r="AF364" s="5">
        <f t="shared" si="99"/>
        <v>3.9667903920272027</v>
      </c>
      <c r="AG364" s="5">
        <f t="shared" si="100"/>
        <v>2.8117918743392765</v>
      </c>
      <c r="AH364" s="5">
        <f t="shared" si="107"/>
        <v>0.57749925884396314</v>
      </c>
      <c r="AI364" s="5">
        <f t="shared" si="101"/>
        <v>4.0865014112344569E-2</v>
      </c>
      <c r="AJ364" s="5">
        <f t="shared" si="108"/>
        <v>6.4367104891983204E-2</v>
      </c>
      <c r="AK364" s="5">
        <f t="shared" si="109"/>
        <v>0.51313215395197997</v>
      </c>
      <c r="AL364" s="5">
        <f t="shared" si="102"/>
        <v>0.7649999999999999</v>
      </c>
      <c r="AM364" s="5">
        <v>16.7</v>
      </c>
    </row>
    <row r="365" spans="1:39" x14ac:dyDescent="0.2">
      <c r="A365" s="23">
        <v>45651</v>
      </c>
      <c r="B365" s="20">
        <v>26.6</v>
      </c>
      <c r="C365" s="20">
        <v>88.5</v>
      </c>
      <c r="D365" s="20">
        <v>0.9</v>
      </c>
      <c r="E365" s="20">
        <v>32.1</v>
      </c>
      <c r="F365" s="20">
        <v>90.7916666666666</v>
      </c>
      <c r="G365" s="20">
        <v>3.1916666666666602</v>
      </c>
      <c r="H365" s="20">
        <v>23.7</v>
      </c>
      <c r="I365" s="20">
        <v>66</v>
      </c>
      <c r="J365" s="20">
        <v>13.6</v>
      </c>
      <c r="K365" s="20">
        <v>0.41626666666666601</v>
      </c>
      <c r="L365" s="20">
        <f t="shared" si="103"/>
        <v>0.19148266666666638</v>
      </c>
      <c r="M365" s="20"/>
      <c r="N365" s="5">
        <f>IF(0&lt;B365&lt;26.5,16*(((10*B365)/#REF!)^#REF!)/30,((-415.85)+(32.24*B365)-(0.43*B365^2))/30)</f>
        <v>4.5827733333333338</v>
      </c>
      <c r="O365" s="6">
        <f t="shared" si="104"/>
        <v>5.0312804691293822</v>
      </c>
      <c r="P365" s="20">
        <f t="shared" si="105"/>
        <v>0</v>
      </c>
      <c r="Q365" s="5">
        <f t="shared" si="93"/>
        <v>4.942730373691691</v>
      </c>
      <c r="R365" s="5">
        <f t="shared" si="106"/>
        <v>2.4738317237080549</v>
      </c>
      <c r="S365" s="5">
        <f t="shared" si="94"/>
        <v>0.15232862399999975</v>
      </c>
      <c r="T365" s="5">
        <f t="shared" si="95"/>
        <v>2.1764401939470273</v>
      </c>
      <c r="U365" s="5">
        <f t="shared" si="96"/>
        <v>37.610891135224676</v>
      </c>
      <c r="AB365" s="14"/>
      <c r="AD365" s="5">
        <f t="shared" si="97"/>
        <v>4.2000000000000011</v>
      </c>
      <c r="AE365" s="5">
        <f t="shared" si="98"/>
        <v>12.3958333333333</v>
      </c>
      <c r="AF365" s="5">
        <f t="shared" si="99"/>
        <v>3.752767188668011</v>
      </c>
      <c r="AG365" s="5">
        <f t="shared" si="100"/>
        <v>2.4239634039032953</v>
      </c>
      <c r="AH365" s="5">
        <f t="shared" si="107"/>
        <v>0.66440189238235781</v>
      </c>
      <c r="AI365" s="5">
        <f t="shared" si="101"/>
        <v>4.6684052055311689E-2</v>
      </c>
      <c r="AJ365" s="5">
        <f t="shared" si="108"/>
        <v>8.2358151243229538E-2</v>
      </c>
      <c r="AK365" s="5">
        <f t="shared" si="109"/>
        <v>0.58204374113912827</v>
      </c>
      <c r="AL365" s="5">
        <f t="shared" si="102"/>
        <v>0.749</v>
      </c>
      <c r="AM365" s="5">
        <v>16.7</v>
      </c>
    </row>
    <row r="366" spans="1:39" x14ac:dyDescent="0.2">
      <c r="A366" s="23">
        <v>45652</v>
      </c>
      <c r="B366" s="20">
        <v>26</v>
      </c>
      <c r="C366" s="20">
        <v>89.6</v>
      </c>
      <c r="D366" s="20">
        <v>1</v>
      </c>
      <c r="E366" s="20">
        <v>29.5</v>
      </c>
      <c r="F366" s="20">
        <v>92.1666666666666</v>
      </c>
      <c r="G366" s="20">
        <v>2.8208333333333302</v>
      </c>
      <c r="H366" s="20">
        <v>24.1</v>
      </c>
      <c r="I366" s="20">
        <v>74</v>
      </c>
      <c r="J366" s="20">
        <v>23.4</v>
      </c>
      <c r="K366" s="20">
        <v>0.27552916666666599</v>
      </c>
      <c r="L366" s="20">
        <f t="shared" si="103"/>
        <v>0.12674341666666636</v>
      </c>
      <c r="M366" s="20"/>
      <c r="N366" s="5">
        <f>IF(0&lt;B366&lt;26.5,16*(((10*B366)/#REF!)^#REF!)/30,((-415.85)+(32.24*B366)-(0.43*B366^2))/30)</f>
        <v>4.3903333333333325</v>
      </c>
      <c r="O366" s="6">
        <f t="shared" si="104"/>
        <v>5.0312804691293822</v>
      </c>
      <c r="P366" s="20">
        <f t="shared" si="105"/>
        <v>0</v>
      </c>
      <c r="Q366" s="5">
        <f t="shared" si="93"/>
        <v>3.9094467098152892</v>
      </c>
      <c r="R366" s="5">
        <f t="shared" si="106"/>
        <v>1.9566742593049242</v>
      </c>
      <c r="S366" s="5">
        <f t="shared" si="94"/>
        <v>0.10001944917857118</v>
      </c>
      <c r="T366" s="5">
        <f t="shared" si="95"/>
        <v>1.4234745398320234</v>
      </c>
      <c r="U366" s="5">
        <f t="shared" si="96"/>
        <v>37.610020375501023</v>
      </c>
      <c r="AB366" s="14"/>
      <c r="AD366" s="5">
        <f t="shared" si="97"/>
        <v>2.6999999999999993</v>
      </c>
      <c r="AE366" s="5">
        <f t="shared" si="98"/>
        <v>9.0833333333333002</v>
      </c>
      <c r="AF366" s="5">
        <f t="shared" si="99"/>
        <v>3.2864083645559687</v>
      </c>
      <c r="AG366" s="5">
        <f t="shared" si="100"/>
        <v>2.476330045344838</v>
      </c>
      <c r="AH366" s="5">
        <f t="shared" si="107"/>
        <v>0.40503915960556536</v>
      </c>
      <c r="AI366" s="5">
        <f t="shared" si="101"/>
        <v>2.8816848542770952E-2</v>
      </c>
      <c r="AJ366" s="5">
        <f t="shared" si="108"/>
        <v>3.6791056997505386E-2</v>
      </c>
      <c r="AK366" s="5">
        <f t="shared" si="109"/>
        <v>0.36824810260805996</v>
      </c>
      <c r="AL366" s="5">
        <f t="shared" si="102"/>
        <v>0.74299999999999999</v>
      </c>
      <c r="AM366" s="5">
        <v>16.7</v>
      </c>
    </row>
    <row r="367" spans="1:39" x14ac:dyDescent="0.2">
      <c r="A367" s="23">
        <v>45653</v>
      </c>
      <c r="B367" s="20">
        <v>26.7</v>
      </c>
      <c r="C367" s="20">
        <v>87</v>
      </c>
      <c r="D367" s="20">
        <v>1.1000000000000001</v>
      </c>
      <c r="E367" s="20">
        <v>30.5</v>
      </c>
      <c r="F367" s="20">
        <v>89.8958333333333</v>
      </c>
      <c r="G367" s="20">
        <v>3.4041666666666601</v>
      </c>
      <c r="H367" s="20">
        <v>24.6</v>
      </c>
      <c r="I367" s="20">
        <v>69</v>
      </c>
      <c r="J367" s="20">
        <v>15.8</v>
      </c>
      <c r="K367" s="20">
        <v>0.42649375</v>
      </c>
      <c r="L367" s="20">
        <f t="shared" si="103"/>
        <v>0.19618712500000002</v>
      </c>
      <c r="M367" s="20"/>
      <c r="N367" s="5">
        <f>IF(0&lt;B367&lt;26.5,16*(((10*B367)/#REF!)^#REF!)/30,((-415.85)+(32.24*B367)-(0.43*B367^2))/30)</f>
        <v>4.6138433333333335</v>
      </c>
      <c r="O367" s="6">
        <f t="shared" si="104"/>
        <v>5.0312804691293822</v>
      </c>
      <c r="P367" s="20">
        <f t="shared" si="105"/>
        <v>0</v>
      </c>
      <c r="Q367" s="5">
        <f t="shared" si="93"/>
        <v>4.1517416794819368</v>
      </c>
      <c r="R367" s="5">
        <f t="shared" si="106"/>
        <v>2.0779426549363351</v>
      </c>
      <c r="S367" s="5">
        <f t="shared" si="94"/>
        <v>0.1562794955357143</v>
      </c>
      <c r="T367" s="5">
        <f t="shared" si="95"/>
        <v>1.7355237093547153</v>
      </c>
      <c r="U367" s="5">
        <f t="shared" si="96"/>
        <v>37.612078534847839</v>
      </c>
      <c r="AB367" s="14"/>
      <c r="AD367" s="5">
        <f t="shared" si="97"/>
        <v>2.9499999999999993</v>
      </c>
      <c r="AE367" s="5">
        <f t="shared" si="98"/>
        <v>10.44791666666665</v>
      </c>
      <c r="AF367" s="5">
        <f t="shared" si="99"/>
        <v>3.4594231358551255</v>
      </c>
      <c r="AG367" s="5">
        <f t="shared" si="100"/>
        <v>2.5431768268137356</v>
      </c>
      <c r="AH367" s="5">
        <f t="shared" si="107"/>
        <v>0.45812315452069496</v>
      </c>
      <c r="AI367" s="5">
        <f t="shared" si="101"/>
        <v>3.2525756312647924E-2</v>
      </c>
      <c r="AJ367" s="5">
        <f t="shared" si="108"/>
        <v>4.78643254150267E-2</v>
      </c>
      <c r="AK367" s="5">
        <f t="shared" si="109"/>
        <v>0.41025882910566824</v>
      </c>
      <c r="AL367" s="5">
        <f t="shared" si="102"/>
        <v>0.75</v>
      </c>
      <c r="AM367" s="5">
        <v>16.7</v>
      </c>
    </row>
    <row r="368" spans="1:39" x14ac:dyDescent="0.2">
      <c r="A368" s="23">
        <v>45654</v>
      </c>
      <c r="B368" s="20">
        <v>26.8</v>
      </c>
      <c r="C368" s="20">
        <v>85</v>
      </c>
      <c r="D368" s="20">
        <v>1</v>
      </c>
      <c r="E368" s="20">
        <v>32.1</v>
      </c>
      <c r="F368" s="20">
        <v>87.7083333333333</v>
      </c>
      <c r="G368" s="20">
        <v>3.36666666666666</v>
      </c>
      <c r="H368" s="20">
        <v>24.6</v>
      </c>
      <c r="I368" s="20">
        <v>65</v>
      </c>
      <c r="J368" s="20">
        <v>3</v>
      </c>
      <c r="K368" s="20">
        <v>0.49158749999999996</v>
      </c>
      <c r="L368" s="20">
        <f t="shared" si="103"/>
        <v>0.22613024999999998</v>
      </c>
      <c r="M368" s="20"/>
      <c r="N368" s="5">
        <f>IF(0&lt;B368&lt;26.5,16*(((10*B368)/#REF!)^#REF!)/30,((-415.85)+(32.24*B368)-(0.43*B368^2))/30)</f>
        <v>4.6446266666666665</v>
      </c>
      <c r="O368" s="6">
        <f t="shared" si="104"/>
        <v>5.0312804691293822</v>
      </c>
      <c r="P368" s="20">
        <f t="shared" si="105"/>
        <v>0</v>
      </c>
      <c r="Q368" s="5">
        <f t="shared" si="93"/>
        <v>4.6914792257314755</v>
      </c>
      <c r="R368" s="5">
        <f t="shared" si="106"/>
        <v>2.3480807695895898</v>
      </c>
      <c r="S368" s="5">
        <f t="shared" si="94"/>
        <v>0.18037188096428566</v>
      </c>
      <c r="T368" s="5">
        <f t="shared" si="95"/>
        <v>2.1259285577844089</v>
      </c>
      <c r="U368" s="5">
        <f t="shared" si="96"/>
        <v>37.613661734345392</v>
      </c>
      <c r="AB368" s="14"/>
      <c r="AD368" s="5">
        <f t="shared" si="97"/>
        <v>3.75</v>
      </c>
      <c r="AE368" s="5">
        <f t="shared" si="98"/>
        <v>11.35416666666665</v>
      </c>
      <c r="AF368" s="5">
        <f t="shared" si="99"/>
        <v>3.752767188668011</v>
      </c>
      <c r="AG368" s="5">
        <f t="shared" si="100"/>
        <v>2.5431768268137356</v>
      </c>
      <c r="AH368" s="5">
        <f t="shared" si="107"/>
        <v>0.60479518092713769</v>
      </c>
      <c r="AI368" s="5">
        <f t="shared" si="101"/>
        <v>4.2654612844705161E-2</v>
      </c>
      <c r="AJ368" s="5">
        <f t="shared" si="108"/>
        <v>6.8669452834435318E-2</v>
      </c>
      <c r="AK368" s="5">
        <f t="shared" si="109"/>
        <v>0.53612572809270231</v>
      </c>
      <c r="AL368" s="5">
        <f t="shared" si="102"/>
        <v>0.751</v>
      </c>
      <c r="AM368" s="5">
        <v>16.7</v>
      </c>
    </row>
    <row r="369" spans="1:39" x14ac:dyDescent="0.2">
      <c r="A369" s="23">
        <v>45655</v>
      </c>
      <c r="B369" s="20">
        <v>25.4</v>
      </c>
      <c r="C369" s="20">
        <v>88.8</v>
      </c>
      <c r="D369" s="20">
        <v>1</v>
      </c>
      <c r="E369" s="20">
        <v>30.9</v>
      </c>
      <c r="F369" s="20">
        <v>90.8333333333333</v>
      </c>
      <c r="G369" s="20">
        <v>3.3916666666666599</v>
      </c>
      <c r="H369" s="20">
        <v>24.4</v>
      </c>
      <c r="I369" s="20">
        <v>70</v>
      </c>
      <c r="J369" s="20">
        <v>0</v>
      </c>
      <c r="K369" s="20">
        <v>0.25708749999999997</v>
      </c>
      <c r="L369" s="20">
        <f t="shared" si="103"/>
        <v>0.11826025</v>
      </c>
      <c r="M369" s="20"/>
      <c r="N369" s="5">
        <f>IF(0&lt;B369&lt;26.5,16*(((10*B369)/#REF!)^#REF!)/30,((-415.85)+(32.24*B369)-(0.43*B369^2))/30)</f>
        <v>4.187573333333332</v>
      </c>
      <c r="O369" s="6">
        <f t="shared" si="104"/>
        <v>5.0312804691293822</v>
      </c>
      <c r="P369" s="20">
        <f t="shared" si="105"/>
        <v>0</v>
      </c>
      <c r="Q369" s="5">
        <f t="shared" si="93"/>
        <v>4.2304321335693347</v>
      </c>
      <c r="R369" s="5">
        <f t="shared" si="106"/>
        <v>2.1173271503380136</v>
      </c>
      <c r="S369" s="5">
        <f t="shared" si="94"/>
        <v>9.2571332464285699E-2</v>
      </c>
      <c r="T369" s="5">
        <f t="shared" si="95"/>
        <v>1.8646762050103671</v>
      </c>
      <c r="U369" s="5">
        <f t="shared" si="96"/>
        <v>37.610653655300048</v>
      </c>
      <c r="AB369" s="14"/>
      <c r="AD369" s="5">
        <f t="shared" si="97"/>
        <v>3.25</v>
      </c>
      <c r="AE369" s="5">
        <f t="shared" si="98"/>
        <v>10.41666666666665</v>
      </c>
      <c r="AF369" s="5">
        <f t="shared" si="99"/>
        <v>3.5308196083479828</v>
      </c>
      <c r="AG369" s="5">
        <f t="shared" si="100"/>
        <v>2.5162512773466017</v>
      </c>
      <c r="AH369" s="5">
        <f t="shared" si="107"/>
        <v>0.50728416550069055</v>
      </c>
      <c r="AI369" s="5">
        <f t="shared" si="101"/>
        <v>3.5926303790179269E-2</v>
      </c>
      <c r="AJ369" s="5">
        <f t="shared" si="108"/>
        <v>5.2842100572988521E-2</v>
      </c>
      <c r="AK369" s="5">
        <f t="shared" si="109"/>
        <v>0.45444206492770201</v>
      </c>
      <c r="AL369" s="5">
        <f t="shared" si="102"/>
        <v>0.73699999999999999</v>
      </c>
      <c r="AM369" s="5">
        <v>16.7</v>
      </c>
    </row>
    <row r="370" spans="1:39" x14ac:dyDescent="0.2">
      <c r="A370" s="23">
        <v>45656</v>
      </c>
      <c r="B370" s="20">
        <v>25.9</v>
      </c>
      <c r="C370" s="20">
        <v>88.6</v>
      </c>
      <c r="D370" s="20">
        <v>1</v>
      </c>
      <c r="E370" s="20">
        <v>31.5</v>
      </c>
      <c r="F370" s="20">
        <v>91.2916666666666</v>
      </c>
      <c r="G370" s="20">
        <v>3.4083333333333301</v>
      </c>
      <c r="H370" s="20">
        <v>23.5</v>
      </c>
      <c r="I370" s="20">
        <v>62</v>
      </c>
      <c r="J370" s="20">
        <v>5.4</v>
      </c>
      <c r="K370" s="20">
        <v>0.56662083333333302</v>
      </c>
      <c r="L370" s="20">
        <f t="shared" si="103"/>
        <v>0.26064558333333321</v>
      </c>
      <c r="M370" s="20"/>
      <c r="N370" s="5">
        <f>IF(0&lt;B370&lt;26.5,16*(((10*B370)/#REF!)^#REF!)/30,((-415.85)+(32.24*B370)-(0.43*B370^2))/30)</f>
        <v>4.3572566666666663</v>
      </c>
      <c r="O370" s="6">
        <f t="shared" si="104"/>
        <v>5.0312804691293822</v>
      </c>
      <c r="P370" s="20">
        <f t="shared" si="105"/>
        <v>0</v>
      </c>
      <c r="Q370" s="5">
        <f t="shared" si="93"/>
        <v>4.7475630121476016</v>
      </c>
      <c r="R370" s="5">
        <f t="shared" si="106"/>
        <v>2.3761506499052047</v>
      </c>
      <c r="S370" s="5">
        <f t="shared" si="94"/>
        <v>0.20541138449999985</v>
      </c>
      <c r="T370" s="5">
        <f t="shared" si="95"/>
        <v>2.11133592040155</v>
      </c>
      <c r="U370" s="5">
        <f t="shared" si="96"/>
        <v>37.610811975249796</v>
      </c>
      <c r="AB370" s="14"/>
      <c r="AD370" s="5">
        <f t="shared" si="97"/>
        <v>4</v>
      </c>
      <c r="AE370" s="5">
        <f t="shared" si="98"/>
        <v>14.6458333333333</v>
      </c>
      <c r="AF370" s="5">
        <f t="shared" si="99"/>
        <v>3.6403206180476344</v>
      </c>
      <c r="AG370" s="5">
        <f t="shared" si="100"/>
        <v>2.3981450197180743</v>
      </c>
      <c r="AH370" s="5">
        <f t="shared" si="107"/>
        <v>0.62108779916478007</v>
      </c>
      <c r="AI370" s="5">
        <f t="shared" si="101"/>
        <v>4.3712969326379275E-2</v>
      </c>
      <c r="AJ370" s="5">
        <f t="shared" si="108"/>
        <v>9.0963483919341531E-2</v>
      </c>
      <c r="AK370" s="5">
        <f t="shared" si="109"/>
        <v>0.53012431524543857</v>
      </c>
      <c r="AL370" s="5">
        <f t="shared" si="102"/>
        <v>0.74199999999999999</v>
      </c>
      <c r="AM370" s="5">
        <v>16.7</v>
      </c>
    </row>
    <row r="371" spans="1:39" x14ac:dyDescent="0.2">
      <c r="A371" s="23">
        <v>45657</v>
      </c>
      <c r="B371" s="20">
        <v>27.3</v>
      </c>
      <c r="C371" s="20">
        <v>82.4</v>
      </c>
      <c r="D371" s="20">
        <v>1.4</v>
      </c>
      <c r="E371" s="20">
        <v>33.299999999999997</v>
      </c>
      <c r="F371" s="20">
        <v>85.5416666666666</v>
      </c>
      <c r="G371" s="20">
        <v>3.3583333333333298</v>
      </c>
      <c r="H371" s="20">
        <v>23.8</v>
      </c>
      <c r="I371" s="20">
        <v>54</v>
      </c>
      <c r="J371" s="20">
        <v>8.6</v>
      </c>
      <c r="K371" s="20">
        <v>0.72889999999999999</v>
      </c>
      <c r="L371" s="20">
        <f t="shared" si="103"/>
        <v>0.33529400000000004</v>
      </c>
      <c r="M371" s="20"/>
      <c r="N371" s="5">
        <f>IF(0&lt;B371&lt;26.5,16*(((10*B371)/#REF!)^#REF!)/30,((-415.85)+(32.24*B371)-(0.43*B371^2))/30)</f>
        <v>4.7942433333333323</v>
      </c>
      <c r="O371" s="6">
        <f t="shared" si="104"/>
        <v>5.0312804691293822</v>
      </c>
      <c r="P371" s="20">
        <f t="shared" si="105"/>
        <v>0</v>
      </c>
      <c r="Q371" s="5">
        <f t="shared" si="93"/>
        <v>5.3392794488085649</v>
      </c>
      <c r="R371" s="5">
        <f t="shared" si="106"/>
        <v>2.6723041484336045</v>
      </c>
      <c r="S371" s="5">
        <f t="shared" si="94"/>
        <v>0.26922650399999992</v>
      </c>
      <c r="T371" s="5">
        <f t="shared" si="95"/>
        <v>2.4468035116396885</v>
      </c>
      <c r="U371" s="5">
        <f t="shared" si="96"/>
        <v>37.615719893692201</v>
      </c>
      <c r="AB371" s="14"/>
      <c r="AD371" s="5">
        <f t="shared" si="97"/>
        <v>4.7499999999999982</v>
      </c>
      <c r="AE371" s="5">
        <f t="shared" si="98"/>
        <v>15.7708333333333</v>
      </c>
      <c r="AF371" s="5">
        <f t="shared" si="99"/>
        <v>3.9867634365677822</v>
      </c>
      <c r="AG371" s="5">
        <f t="shared" si="100"/>
        <v>2.4369634693671198</v>
      </c>
      <c r="AH371" s="5">
        <f t="shared" si="107"/>
        <v>0.77489998360033119</v>
      </c>
      <c r="AI371" s="5">
        <f t="shared" si="101"/>
        <v>5.4201016540730312E-2</v>
      </c>
      <c r="AJ371" s="5">
        <f t="shared" si="108"/>
        <v>0.1222081849136353</v>
      </c>
      <c r="AK371" s="5">
        <f t="shared" si="109"/>
        <v>0.65269179868669591</v>
      </c>
      <c r="AL371" s="5">
        <f t="shared" si="102"/>
        <v>0.75600000000000001</v>
      </c>
      <c r="AM371" s="5">
        <v>16.7</v>
      </c>
    </row>
  </sheetData>
  <mergeCells count="4">
    <mergeCell ref="A1:K1"/>
    <mergeCell ref="A2:K2"/>
    <mergeCell ref="W4:AC4"/>
    <mergeCell ref="AD4:AK4"/>
  </mergeCells>
  <pageMargins left="0.511811024" right="0.511811024" top="0.78740157499999996" bottom="0.78740157499999996" header="0.31496062000000002" footer="0.31496062000000002"/>
  <ignoredErrors>
    <ignoredError sqref="X6:X17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6828E-C98F-42A9-AA45-9027AA84BA99}">
  <dimension ref="A1:I377"/>
  <sheetViews>
    <sheetView workbookViewId="0">
      <selection activeCell="B11" sqref="B11"/>
    </sheetView>
  </sheetViews>
  <sheetFormatPr defaultRowHeight="12.75" x14ac:dyDescent="0.2"/>
  <cols>
    <col min="1" max="1" width="31.1640625" bestFit="1" customWidth="1"/>
    <col min="2" max="2" width="44" bestFit="1" customWidth="1"/>
    <col min="3" max="3" width="53.5" bestFit="1" customWidth="1"/>
    <col min="4" max="4" width="48.33203125" bestFit="1" customWidth="1"/>
    <col min="5" max="5" width="45.6640625" bestFit="1" customWidth="1"/>
    <col min="6" max="6" width="47.33203125" bestFit="1" customWidth="1"/>
    <col min="7" max="7" width="56.33203125" bestFit="1" customWidth="1"/>
    <col min="8" max="8" width="57.83203125" bestFit="1" customWidth="1"/>
    <col min="9" max="9" width="49.83203125" bestFit="1" customWidth="1"/>
  </cols>
  <sheetData>
    <row r="1" spans="1:9" x14ac:dyDescent="0.2">
      <c r="A1" t="s">
        <v>36</v>
      </c>
    </row>
    <row r="2" spans="1:9" x14ac:dyDescent="0.2">
      <c r="A2" t="s">
        <v>37</v>
      </c>
    </row>
    <row r="3" spans="1:9" x14ac:dyDescent="0.2">
      <c r="A3" t="s">
        <v>38</v>
      </c>
    </row>
    <row r="4" spans="1:9" x14ac:dyDescent="0.2">
      <c r="A4" t="s">
        <v>39</v>
      </c>
    </row>
    <row r="5" spans="1:9" x14ac:dyDescent="0.2">
      <c r="A5" t="s">
        <v>40</v>
      </c>
    </row>
    <row r="6" spans="1:9" x14ac:dyDescent="0.2">
      <c r="A6" t="s">
        <v>41</v>
      </c>
    </row>
    <row r="7" spans="1:9" x14ac:dyDescent="0.2">
      <c r="A7" t="s">
        <v>42</v>
      </c>
    </row>
    <row r="8" spans="1:9" x14ac:dyDescent="0.2">
      <c r="A8" t="s">
        <v>43</v>
      </c>
    </row>
    <row r="9" spans="1:9" x14ac:dyDescent="0.2">
      <c r="A9" t="s">
        <v>44</v>
      </c>
    </row>
    <row r="11" spans="1:9" x14ac:dyDescent="0.2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52</v>
      </c>
      <c r="I11" t="s">
        <v>53</v>
      </c>
    </row>
    <row r="12" spans="1:9" x14ac:dyDescent="0.2">
      <c r="A12" s="13">
        <v>45292</v>
      </c>
      <c r="B12">
        <v>11.4</v>
      </c>
      <c r="C12">
        <v>969.3</v>
      </c>
      <c r="D12">
        <v>33.6</v>
      </c>
      <c r="E12">
        <v>27.9</v>
      </c>
      <c r="F12">
        <v>23</v>
      </c>
      <c r="G12">
        <v>68.400000000000006</v>
      </c>
      <c r="H12">
        <v>43</v>
      </c>
      <c r="I12">
        <v>1.7</v>
      </c>
    </row>
    <row r="13" spans="1:9" x14ac:dyDescent="0.2">
      <c r="A13" s="13">
        <v>45293</v>
      </c>
      <c r="B13">
        <v>8.4</v>
      </c>
      <c r="C13">
        <v>969.4</v>
      </c>
      <c r="D13">
        <v>30.8</v>
      </c>
      <c r="E13">
        <v>26.2</v>
      </c>
      <c r="F13">
        <v>22.1</v>
      </c>
      <c r="G13">
        <v>77.3</v>
      </c>
      <c r="H13">
        <v>55</v>
      </c>
      <c r="I13">
        <v>2.2999999999999998</v>
      </c>
    </row>
    <row r="14" spans="1:9" x14ac:dyDescent="0.2">
      <c r="A14" s="13">
        <v>45294</v>
      </c>
      <c r="B14" t="s">
        <v>54</v>
      </c>
      <c r="C14" t="s">
        <v>54</v>
      </c>
      <c r="D14" t="s">
        <v>54</v>
      </c>
      <c r="E14" t="s">
        <v>54</v>
      </c>
      <c r="F14">
        <v>24.2</v>
      </c>
      <c r="G14">
        <v>73.7</v>
      </c>
      <c r="H14">
        <v>51</v>
      </c>
      <c r="I14" t="s">
        <v>54</v>
      </c>
    </row>
    <row r="15" spans="1:9" x14ac:dyDescent="0.2">
      <c r="A15" s="13">
        <v>45295</v>
      </c>
      <c r="B15" t="s">
        <v>54</v>
      </c>
      <c r="C15">
        <v>968.9</v>
      </c>
      <c r="D15">
        <v>35.299999999999997</v>
      </c>
      <c r="E15">
        <v>29.1</v>
      </c>
      <c r="F15">
        <v>24.9</v>
      </c>
      <c r="G15">
        <v>66.099999999999994</v>
      </c>
      <c r="H15">
        <v>36</v>
      </c>
      <c r="I15">
        <v>1.4</v>
      </c>
    </row>
    <row r="16" spans="1:9" x14ac:dyDescent="0.2">
      <c r="A16" s="13">
        <v>45296</v>
      </c>
      <c r="B16">
        <v>2.2000000000000002</v>
      </c>
      <c r="C16">
        <v>968.1</v>
      </c>
      <c r="D16">
        <v>34.9</v>
      </c>
      <c r="E16">
        <v>29.3</v>
      </c>
      <c r="F16">
        <v>24.5</v>
      </c>
      <c r="G16">
        <v>64.3</v>
      </c>
      <c r="H16">
        <v>43</v>
      </c>
      <c r="I16">
        <v>1.7</v>
      </c>
    </row>
    <row r="17" spans="1:9" x14ac:dyDescent="0.2">
      <c r="A17" s="13">
        <v>45297</v>
      </c>
      <c r="B17">
        <v>0</v>
      </c>
      <c r="C17">
        <v>967.7</v>
      </c>
      <c r="D17">
        <v>35.700000000000003</v>
      </c>
      <c r="E17">
        <v>30.3</v>
      </c>
      <c r="F17">
        <v>26.1</v>
      </c>
      <c r="G17">
        <v>60.2</v>
      </c>
      <c r="H17">
        <v>37</v>
      </c>
      <c r="I17">
        <v>2</v>
      </c>
    </row>
    <row r="18" spans="1:9" x14ac:dyDescent="0.2">
      <c r="A18" s="13">
        <v>45298</v>
      </c>
      <c r="B18" t="s">
        <v>54</v>
      </c>
      <c r="C18" t="s">
        <v>54</v>
      </c>
      <c r="D18" t="s">
        <v>54</v>
      </c>
      <c r="E18" t="s">
        <v>54</v>
      </c>
      <c r="F18" t="s">
        <v>54</v>
      </c>
      <c r="G18" t="s">
        <v>54</v>
      </c>
      <c r="H18">
        <v>58</v>
      </c>
      <c r="I18" t="s">
        <v>54</v>
      </c>
    </row>
    <row r="19" spans="1:9" x14ac:dyDescent="0.2">
      <c r="A19" s="13">
        <v>45299</v>
      </c>
      <c r="B19" t="s">
        <v>54</v>
      </c>
      <c r="C19" t="s">
        <v>54</v>
      </c>
      <c r="D19" t="s">
        <v>54</v>
      </c>
      <c r="E19" t="s">
        <v>54</v>
      </c>
      <c r="F19" t="s">
        <v>54</v>
      </c>
      <c r="G19" t="s">
        <v>54</v>
      </c>
      <c r="H19">
        <v>42</v>
      </c>
      <c r="I19" t="s">
        <v>54</v>
      </c>
    </row>
    <row r="20" spans="1:9" x14ac:dyDescent="0.2">
      <c r="A20" s="13">
        <v>45300</v>
      </c>
      <c r="B20" t="s">
        <v>54</v>
      </c>
      <c r="C20" t="s">
        <v>54</v>
      </c>
      <c r="D20" t="s">
        <v>54</v>
      </c>
      <c r="E20" t="s">
        <v>54</v>
      </c>
      <c r="F20" t="s">
        <v>54</v>
      </c>
      <c r="G20" t="s">
        <v>54</v>
      </c>
      <c r="H20">
        <v>30</v>
      </c>
      <c r="I20" t="s">
        <v>54</v>
      </c>
    </row>
    <row r="21" spans="1:9" x14ac:dyDescent="0.2">
      <c r="A21" s="13">
        <v>45301</v>
      </c>
      <c r="B21" t="s">
        <v>54</v>
      </c>
      <c r="C21">
        <v>968.7</v>
      </c>
      <c r="D21">
        <v>34.4</v>
      </c>
      <c r="E21" t="s">
        <v>54</v>
      </c>
      <c r="F21" t="s">
        <v>54</v>
      </c>
      <c r="G21">
        <v>55.4</v>
      </c>
      <c r="H21">
        <v>37</v>
      </c>
      <c r="I21">
        <v>3.3</v>
      </c>
    </row>
    <row r="22" spans="1:9" x14ac:dyDescent="0.2">
      <c r="A22" s="13">
        <v>45302</v>
      </c>
      <c r="B22" t="s">
        <v>54</v>
      </c>
      <c r="C22">
        <v>969.2</v>
      </c>
      <c r="D22">
        <v>34.1</v>
      </c>
      <c r="E22">
        <v>29</v>
      </c>
      <c r="F22">
        <v>24.2</v>
      </c>
      <c r="G22">
        <v>60.7</v>
      </c>
      <c r="H22">
        <v>41</v>
      </c>
      <c r="I22">
        <v>3.5</v>
      </c>
    </row>
    <row r="23" spans="1:9" x14ac:dyDescent="0.2">
      <c r="A23" s="13">
        <v>45303</v>
      </c>
      <c r="B23">
        <v>0</v>
      </c>
      <c r="C23">
        <v>968.8</v>
      </c>
      <c r="D23">
        <v>33.700000000000003</v>
      </c>
      <c r="E23">
        <v>28.7</v>
      </c>
      <c r="F23">
        <v>23.9</v>
      </c>
      <c r="G23">
        <v>55.5</v>
      </c>
      <c r="H23">
        <v>37</v>
      </c>
      <c r="I23">
        <v>3.1</v>
      </c>
    </row>
    <row r="24" spans="1:9" x14ac:dyDescent="0.2">
      <c r="A24" s="13">
        <v>45304</v>
      </c>
      <c r="B24">
        <v>0</v>
      </c>
      <c r="C24">
        <v>969.8</v>
      </c>
      <c r="D24">
        <v>34.9</v>
      </c>
      <c r="E24" t="s">
        <v>54</v>
      </c>
      <c r="F24">
        <v>23.5</v>
      </c>
      <c r="G24">
        <v>52.1</v>
      </c>
      <c r="H24">
        <v>29</v>
      </c>
      <c r="I24">
        <v>2.4</v>
      </c>
    </row>
    <row r="25" spans="1:9" x14ac:dyDescent="0.2">
      <c r="A25" s="13">
        <v>45305</v>
      </c>
      <c r="B25" t="s">
        <v>54</v>
      </c>
      <c r="C25">
        <v>971.6</v>
      </c>
      <c r="D25">
        <v>35</v>
      </c>
      <c r="E25" t="s">
        <v>54</v>
      </c>
      <c r="F25">
        <v>25.5</v>
      </c>
      <c r="G25">
        <v>53.2</v>
      </c>
      <c r="H25">
        <v>30</v>
      </c>
      <c r="I25">
        <v>2.7</v>
      </c>
    </row>
    <row r="26" spans="1:9" x14ac:dyDescent="0.2">
      <c r="A26" s="13">
        <v>45306</v>
      </c>
      <c r="B26" t="s">
        <v>54</v>
      </c>
      <c r="C26">
        <v>971.5</v>
      </c>
      <c r="D26">
        <v>35.9</v>
      </c>
      <c r="E26">
        <v>29.2</v>
      </c>
      <c r="F26">
        <v>24.1</v>
      </c>
      <c r="G26">
        <v>55.3</v>
      </c>
      <c r="H26">
        <v>29</v>
      </c>
      <c r="I26">
        <v>2.9</v>
      </c>
    </row>
    <row r="27" spans="1:9" x14ac:dyDescent="0.2">
      <c r="A27" s="13">
        <v>45307</v>
      </c>
      <c r="B27">
        <v>0</v>
      </c>
      <c r="C27">
        <v>970.9</v>
      </c>
      <c r="D27">
        <v>35.4</v>
      </c>
      <c r="E27">
        <v>29.8</v>
      </c>
      <c r="F27">
        <v>24.7</v>
      </c>
      <c r="G27">
        <v>51.9</v>
      </c>
      <c r="H27">
        <v>32</v>
      </c>
      <c r="I27">
        <v>3.4</v>
      </c>
    </row>
    <row r="28" spans="1:9" x14ac:dyDescent="0.2">
      <c r="A28" s="13">
        <v>45308</v>
      </c>
      <c r="B28">
        <v>0</v>
      </c>
      <c r="C28">
        <v>970.8</v>
      </c>
      <c r="D28">
        <v>35.799999999999997</v>
      </c>
      <c r="E28">
        <v>29.7</v>
      </c>
      <c r="F28">
        <v>23.8</v>
      </c>
      <c r="G28">
        <v>46.2</v>
      </c>
      <c r="H28">
        <v>25</v>
      </c>
      <c r="I28">
        <v>3.1</v>
      </c>
    </row>
    <row r="29" spans="1:9" x14ac:dyDescent="0.2">
      <c r="A29" s="13">
        <v>45309</v>
      </c>
      <c r="B29">
        <v>0</v>
      </c>
      <c r="C29">
        <v>970.1</v>
      </c>
      <c r="D29">
        <v>36.200000000000003</v>
      </c>
      <c r="E29">
        <v>30</v>
      </c>
      <c r="F29">
        <v>24.3</v>
      </c>
      <c r="G29">
        <v>48.8</v>
      </c>
      <c r="H29">
        <v>25</v>
      </c>
      <c r="I29">
        <v>2.6</v>
      </c>
    </row>
    <row r="30" spans="1:9" x14ac:dyDescent="0.2">
      <c r="A30" s="13">
        <v>45310</v>
      </c>
      <c r="B30">
        <v>0</v>
      </c>
      <c r="C30">
        <v>969.5</v>
      </c>
      <c r="D30">
        <v>36.5</v>
      </c>
      <c r="E30">
        <v>30.6</v>
      </c>
      <c r="F30">
        <v>25.3</v>
      </c>
      <c r="G30">
        <v>50.7</v>
      </c>
      <c r="H30">
        <v>30</v>
      </c>
      <c r="I30">
        <v>2.5</v>
      </c>
    </row>
    <row r="31" spans="1:9" x14ac:dyDescent="0.2">
      <c r="A31" s="13">
        <v>45311</v>
      </c>
      <c r="B31">
        <v>0</v>
      </c>
      <c r="C31">
        <v>968.7</v>
      </c>
      <c r="D31">
        <v>37.299999999999997</v>
      </c>
      <c r="E31">
        <v>30.8</v>
      </c>
      <c r="F31">
        <v>25.9</v>
      </c>
      <c r="G31">
        <v>50.8</v>
      </c>
      <c r="H31">
        <v>26</v>
      </c>
      <c r="I31">
        <v>2.5</v>
      </c>
    </row>
    <row r="32" spans="1:9" x14ac:dyDescent="0.2">
      <c r="A32" s="13">
        <v>45312</v>
      </c>
      <c r="B32">
        <v>4.2</v>
      </c>
      <c r="C32">
        <v>970</v>
      </c>
      <c r="D32">
        <v>32.200000000000003</v>
      </c>
      <c r="E32">
        <v>27.5</v>
      </c>
      <c r="F32">
        <v>23.2</v>
      </c>
      <c r="G32">
        <v>70.900000000000006</v>
      </c>
      <c r="H32">
        <v>50</v>
      </c>
      <c r="I32">
        <v>2</v>
      </c>
    </row>
    <row r="33" spans="1:9" x14ac:dyDescent="0.2">
      <c r="A33" s="13">
        <v>45313</v>
      </c>
      <c r="B33" t="s">
        <v>54</v>
      </c>
      <c r="C33">
        <v>969.5</v>
      </c>
      <c r="D33">
        <v>36.4</v>
      </c>
      <c r="E33" t="s">
        <v>54</v>
      </c>
      <c r="F33">
        <v>23.9</v>
      </c>
      <c r="G33">
        <v>63.7</v>
      </c>
      <c r="H33">
        <v>37</v>
      </c>
      <c r="I33">
        <v>2</v>
      </c>
    </row>
    <row r="34" spans="1:9" x14ac:dyDescent="0.2">
      <c r="A34" s="13">
        <v>45314</v>
      </c>
      <c r="B34">
        <v>0</v>
      </c>
      <c r="C34" t="s">
        <v>54</v>
      </c>
      <c r="D34" t="s">
        <v>54</v>
      </c>
      <c r="E34" t="s">
        <v>54</v>
      </c>
      <c r="F34">
        <v>25.2</v>
      </c>
      <c r="G34">
        <v>72.900000000000006</v>
      </c>
      <c r="H34">
        <v>55</v>
      </c>
      <c r="I34" t="s">
        <v>54</v>
      </c>
    </row>
    <row r="35" spans="1:9" x14ac:dyDescent="0.2">
      <c r="A35" s="13">
        <v>45315</v>
      </c>
      <c r="B35" t="s">
        <v>54</v>
      </c>
      <c r="C35" t="s">
        <v>54</v>
      </c>
      <c r="D35" t="s">
        <v>54</v>
      </c>
      <c r="E35" t="s">
        <v>54</v>
      </c>
      <c r="F35" t="s">
        <v>54</v>
      </c>
      <c r="G35" t="s">
        <v>54</v>
      </c>
      <c r="H35" t="s">
        <v>54</v>
      </c>
      <c r="I35" t="s">
        <v>54</v>
      </c>
    </row>
    <row r="36" spans="1:9" x14ac:dyDescent="0.2">
      <c r="A36" s="13">
        <v>45316</v>
      </c>
      <c r="B36" t="s">
        <v>54</v>
      </c>
      <c r="C36" t="s">
        <v>54</v>
      </c>
      <c r="D36" t="s">
        <v>54</v>
      </c>
      <c r="E36" t="s">
        <v>54</v>
      </c>
      <c r="F36" t="s">
        <v>54</v>
      </c>
      <c r="G36" t="s">
        <v>54</v>
      </c>
      <c r="H36" t="s">
        <v>54</v>
      </c>
      <c r="I36" t="s">
        <v>54</v>
      </c>
    </row>
    <row r="37" spans="1:9" x14ac:dyDescent="0.2">
      <c r="A37" s="13">
        <v>45317</v>
      </c>
      <c r="B37" t="s">
        <v>54</v>
      </c>
      <c r="C37" t="s">
        <v>54</v>
      </c>
      <c r="D37" t="s">
        <v>54</v>
      </c>
      <c r="E37" t="s">
        <v>54</v>
      </c>
      <c r="F37" t="s">
        <v>54</v>
      </c>
      <c r="G37" t="s">
        <v>54</v>
      </c>
      <c r="H37" t="s">
        <v>54</v>
      </c>
      <c r="I37" t="s">
        <v>54</v>
      </c>
    </row>
    <row r="38" spans="1:9" x14ac:dyDescent="0.2">
      <c r="A38" s="13">
        <v>45318</v>
      </c>
      <c r="B38" t="s">
        <v>54</v>
      </c>
      <c r="C38" t="s">
        <v>54</v>
      </c>
      <c r="D38" t="s">
        <v>54</v>
      </c>
      <c r="E38" t="s">
        <v>54</v>
      </c>
      <c r="F38" t="s">
        <v>54</v>
      </c>
      <c r="G38" t="s">
        <v>54</v>
      </c>
      <c r="H38" t="s">
        <v>54</v>
      </c>
      <c r="I38" t="s">
        <v>54</v>
      </c>
    </row>
    <row r="39" spans="1:9" x14ac:dyDescent="0.2">
      <c r="A39" s="13">
        <v>45319</v>
      </c>
      <c r="B39" t="s">
        <v>54</v>
      </c>
      <c r="C39" t="s">
        <v>54</v>
      </c>
      <c r="D39" t="s">
        <v>54</v>
      </c>
      <c r="E39" t="s">
        <v>54</v>
      </c>
      <c r="F39" t="s">
        <v>54</v>
      </c>
      <c r="G39" t="s">
        <v>54</v>
      </c>
      <c r="H39" t="s">
        <v>54</v>
      </c>
      <c r="I39" t="s">
        <v>54</v>
      </c>
    </row>
    <row r="40" spans="1:9" x14ac:dyDescent="0.2">
      <c r="A40" s="13">
        <v>45320</v>
      </c>
      <c r="B40" t="s">
        <v>54</v>
      </c>
      <c r="C40" t="s">
        <v>54</v>
      </c>
      <c r="D40" t="s">
        <v>54</v>
      </c>
      <c r="E40" t="s">
        <v>54</v>
      </c>
      <c r="F40" t="s">
        <v>54</v>
      </c>
      <c r="G40" t="s">
        <v>54</v>
      </c>
      <c r="H40" t="s">
        <v>54</v>
      </c>
      <c r="I40" t="s">
        <v>54</v>
      </c>
    </row>
    <row r="41" spans="1:9" x14ac:dyDescent="0.2">
      <c r="A41" s="13">
        <v>45321</v>
      </c>
      <c r="B41" t="s">
        <v>54</v>
      </c>
      <c r="C41" t="s">
        <v>54</v>
      </c>
      <c r="D41" t="s">
        <v>54</v>
      </c>
      <c r="E41" t="s">
        <v>54</v>
      </c>
      <c r="F41" t="s">
        <v>54</v>
      </c>
      <c r="G41" t="s">
        <v>54</v>
      </c>
      <c r="H41" t="s">
        <v>54</v>
      </c>
      <c r="I41" t="s">
        <v>54</v>
      </c>
    </row>
    <row r="42" spans="1:9" x14ac:dyDescent="0.2">
      <c r="A42" s="13">
        <v>45322</v>
      </c>
      <c r="B42" t="s">
        <v>54</v>
      </c>
      <c r="C42" t="s">
        <v>54</v>
      </c>
      <c r="D42" t="s">
        <v>54</v>
      </c>
      <c r="E42" t="s">
        <v>54</v>
      </c>
      <c r="F42" t="s">
        <v>54</v>
      </c>
      <c r="G42" t="s">
        <v>54</v>
      </c>
      <c r="H42" t="s">
        <v>54</v>
      </c>
      <c r="I42" t="s">
        <v>54</v>
      </c>
    </row>
    <row r="43" spans="1:9" x14ac:dyDescent="0.2">
      <c r="A43" s="13">
        <v>45323</v>
      </c>
      <c r="B43" t="s">
        <v>54</v>
      </c>
      <c r="C43" t="s">
        <v>54</v>
      </c>
      <c r="D43" t="s">
        <v>54</v>
      </c>
      <c r="E43" t="s">
        <v>54</v>
      </c>
      <c r="F43" t="s">
        <v>54</v>
      </c>
      <c r="G43" t="s">
        <v>54</v>
      </c>
      <c r="H43" t="s">
        <v>54</v>
      </c>
      <c r="I43" t="s">
        <v>54</v>
      </c>
    </row>
    <row r="44" spans="1:9" x14ac:dyDescent="0.2">
      <c r="A44" s="13">
        <v>45324</v>
      </c>
      <c r="B44" t="s">
        <v>54</v>
      </c>
      <c r="C44" t="s">
        <v>54</v>
      </c>
      <c r="D44" t="s">
        <v>54</v>
      </c>
      <c r="E44" t="s">
        <v>54</v>
      </c>
      <c r="F44" t="s">
        <v>54</v>
      </c>
      <c r="G44" t="s">
        <v>54</v>
      </c>
      <c r="H44" t="s">
        <v>54</v>
      </c>
      <c r="I44" t="s">
        <v>54</v>
      </c>
    </row>
    <row r="45" spans="1:9" x14ac:dyDescent="0.2">
      <c r="A45" s="13">
        <v>45325</v>
      </c>
      <c r="B45" t="s">
        <v>54</v>
      </c>
      <c r="C45" t="s">
        <v>54</v>
      </c>
      <c r="D45" t="s">
        <v>54</v>
      </c>
      <c r="E45" t="s">
        <v>54</v>
      </c>
      <c r="F45" t="s">
        <v>54</v>
      </c>
      <c r="G45" t="s">
        <v>54</v>
      </c>
      <c r="H45" t="s">
        <v>54</v>
      </c>
      <c r="I45" t="s">
        <v>54</v>
      </c>
    </row>
    <row r="46" spans="1:9" x14ac:dyDescent="0.2">
      <c r="A46" s="13">
        <v>45326</v>
      </c>
      <c r="B46" t="s">
        <v>54</v>
      </c>
      <c r="C46" t="s">
        <v>54</v>
      </c>
      <c r="D46" t="s">
        <v>54</v>
      </c>
      <c r="E46" t="s">
        <v>54</v>
      </c>
      <c r="F46" t="s">
        <v>54</v>
      </c>
      <c r="G46" t="s">
        <v>54</v>
      </c>
      <c r="H46" t="s">
        <v>54</v>
      </c>
      <c r="I46" t="s">
        <v>54</v>
      </c>
    </row>
    <row r="47" spans="1:9" x14ac:dyDescent="0.2">
      <c r="A47" s="13">
        <v>45327</v>
      </c>
      <c r="B47" t="s">
        <v>54</v>
      </c>
      <c r="C47" t="s">
        <v>54</v>
      </c>
      <c r="D47" t="s">
        <v>54</v>
      </c>
      <c r="E47" t="s">
        <v>54</v>
      </c>
      <c r="F47" t="s">
        <v>54</v>
      </c>
      <c r="G47" t="s">
        <v>54</v>
      </c>
      <c r="H47" t="s">
        <v>54</v>
      </c>
      <c r="I47" t="s">
        <v>54</v>
      </c>
    </row>
    <row r="48" spans="1:9" x14ac:dyDescent="0.2">
      <c r="A48" s="13">
        <v>45328</v>
      </c>
      <c r="B48" t="s">
        <v>54</v>
      </c>
      <c r="C48" t="s">
        <v>54</v>
      </c>
      <c r="D48" t="s">
        <v>54</v>
      </c>
      <c r="E48" t="s">
        <v>54</v>
      </c>
      <c r="F48" t="s">
        <v>54</v>
      </c>
      <c r="G48" t="s">
        <v>54</v>
      </c>
      <c r="H48" t="s">
        <v>54</v>
      </c>
      <c r="I48" t="s">
        <v>54</v>
      </c>
    </row>
    <row r="49" spans="1:9" x14ac:dyDescent="0.2">
      <c r="A49" s="13">
        <v>45329</v>
      </c>
      <c r="B49" t="s">
        <v>54</v>
      </c>
      <c r="C49" t="s">
        <v>54</v>
      </c>
      <c r="D49" t="s">
        <v>54</v>
      </c>
      <c r="E49" t="s">
        <v>54</v>
      </c>
      <c r="F49" t="s">
        <v>54</v>
      </c>
      <c r="G49" t="s">
        <v>54</v>
      </c>
      <c r="H49" t="s">
        <v>54</v>
      </c>
      <c r="I49" t="s">
        <v>54</v>
      </c>
    </row>
    <row r="50" spans="1:9" x14ac:dyDescent="0.2">
      <c r="A50" s="13">
        <v>45330</v>
      </c>
      <c r="B50" t="s">
        <v>54</v>
      </c>
      <c r="C50" t="s">
        <v>54</v>
      </c>
      <c r="D50" t="s">
        <v>54</v>
      </c>
      <c r="E50" t="s">
        <v>54</v>
      </c>
      <c r="F50" t="s">
        <v>54</v>
      </c>
      <c r="G50" t="s">
        <v>54</v>
      </c>
      <c r="H50" t="s">
        <v>54</v>
      </c>
      <c r="I50" t="s">
        <v>54</v>
      </c>
    </row>
    <row r="51" spans="1:9" x14ac:dyDescent="0.2">
      <c r="A51" s="13">
        <v>45331</v>
      </c>
      <c r="B51" t="s">
        <v>54</v>
      </c>
      <c r="C51" t="s">
        <v>54</v>
      </c>
      <c r="D51" t="s">
        <v>54</v>
      </c>
      <c r="E51" t="s">
        <v>54</v>
      </c>
      <c r="F51" t="s">
        <v>54</v>
      </c>
      <c r="G51" t="s">
        <v>54</v>
      </c>
      <c r="H51" t="s">
        <v>54</v>
      </c>
      <c r="I51" t="s">
        <v>54</v>
      </c>
    </row>
    <row r="52" spans="1:9" x14ac:dyDescent="0.2">
      <c r="A52" s="13">
        <v>45332</v>
      </c>
      <c r="B52" t="s">
        <v>54</v>
      </c>
      <c r="C52" t="s">
        <v>54</v>
      </c>
      <c r="D52" t="s">
        <v>54</v>
      </c>
      <c r="E52" t="s">
        <v>54</v>
      </c>
      <c r="F52" t="s">
        <v>54</v>
      </c>
      <c r="G52" t="s">
        <v>54</v>
      </c>
      <c r="H52" t="s">
        <v>54</v>
      </c>
      <c r="I52" t="s">
        <v>54</v>
      </c>
    </row>
    <row r="53" spans="1:9" x14ac:dyDescent="0.2">
      <c r="A53" s="13">
        <v>45333</v>
      </c>
      <c r="B53" t="s">
        <v>54</v>
      </c>
      <c r="C53" t="s">
        <v>54</v>
      </c>
      <c r="D53" t="s">
        <v>54</v>
      </c>
      <c r="E53" t="s">
        <v>54</v>
      </c>
      <c r="F53" t="s">
        <v>54</v>
      </c>
      <c r="G53" t="s">
        <v>54</v>
      </c>
      <c r="H53">
        <v>42</v>
      </c>
      <c r="I53" t="s">
        <v>54</v>
      </c>
    </row>
    <row r="54" spans="1:9" x14ac:dyDescent="0.2">
      <c r="A54" s="13">
        <v>45334</v>
      </c>
      <c r="B54" t="s">
        <v>54</v>
      </c>
      <c r="C54">
        <v>971.5</v>
      </c>
      <c r="D54">
        <v>32.9</v>
      </c>
      <c r="E54">
        <v>27.2</v>
      </c>
      <c r="F54">
        <v>23.9</v>
      </c>
      <c r="G54">
        <v>68.5</v>
      </c>
      <c r="H54">
        <v>38</v>
      </c>
      <c r="I54">
        <v>4.5999999999999996</v>
      </c>
    </row>
    <row r="55" spans="1:9" x14ac:dyDescent="0.2">
      <c r="A55" s="13">
        <v>45335</v>
      </c>
      <c r="B55">
        <v>0.6</v>
      </c>
      <c r="C55">
        <v>971.4</v>
      </c>
      <c r="D55">
        <v>33.1</v>
      </c>
      <c r="E55">
        <v>27.6</v>
      </c>
      <c r="F55">
        <v>23.1</v>
      </c>
      <c r="G55">
        <v>66.400000000000006</v>
      </c>
      <c r="H55">
        <v>42</v>
      </c>
      <c r="I55">
        <v>3.5</v>
      </c>
    </row>
    <row r="56" spans="1:9" x14ac:dyDescent="0.2">
      <c r="A56" s="13">
        <v>45336</v>
      </c>
      <c r="B56" t="s">
        <v>54</v>
      </c>
      <c r="C56" t="s">
        <v>54</v>
      </c>
      <c r="D56" t="s">
        <v>54</v>
      </c>
      <c r="E56" t="s">
        <v>54</v>
      </c>
      <c r="F56" t="s">
        <v>54</v>
      </c>
      <c r="G56" t="s">
        <v>54</v>
      </c>
      <c r="H56" t="s">
        <v>54</v>
      </c>
      <c r="I56" t="s">
        <v>54</v>
      </c>
    </row>
    <row r="57" spans="1:9" x14ac:dyDescent="0.2">
      <c r="A57" s="13">
        <v>45337</v>
      </c>
      <c r="B57" t="s">
        <v>54</v>
      </c>
      <c r="C57" t="s">
        <v>54</v>
      </c>
      <c r="D57" t="s">
        <v>54</v>
      </c>
      <c r="E57" t="s">
        <v>54</v>
      </c>
      <c r="F57" t="s">
        <v>54</v>
      </c>
      <c r="G57" t="s">
        <v>54</v>
      </c>
      <c r="H57">
        <v>44</v>
      </c>
      <c r="I57" t="s">
        <v>54</v>
      </c>
    </row>
    <row r="58" spans="1:9" x14ac:dyDescent="0.2">
      <c r="A58" s="13">
        <v>45338</v>
      </c>
      <c r="B58" t="s">
        <v>54</v>
      </c>
      <c r="C58" t="s">
        <v>54</v>
      </c>
      <c r="D58" t="s">
        <v>54</v>
      </c>
      <c r="E58" t="s">
        <v>54</v>
      </c>
      <c r="F58" t="s">
        <v>54</v>
      </c>
      <c r="G58" t="s">
        <v>54</v>
      </c>
      <c r="H58" t="s">
        <v>54</v>
      </c>
      <c r="I58" t="s">
        <v>54</v>
      </c>
    </row>
    <row r="59" spans="1:9" x14ac:dyDescent="0.2">
      <c r="A59" s="13">
        <v>45339</v>
      </c>
      <c r="B59" t="s">
        <v>54</v>
      </c>
      <c r="C59" t="s">
        <v>54</v>
      </c>
      <c r="D59" t="s">
        <v>54</v>
      </c>
      <c r="E59" t="s">
        <v>54</v>
      </c>
      <c r="F59" t="s">
        <v>54</v>
      </c>
      <c r="G59" t="s">
        <v>54</v>
      </c>
      <c r="H59" t="s">
        <v>54</v>
      </c>
      <c r="I59" t="s">
        <v>54</v>
      </c>
    </row>
    <row r="60" spans="1:9" x14ac:dyDescent="0.2">
      <c r="A60" s="13">
        <v>45340</v>
      </c>
      <c r="B60" t="s">
        <v>54</v>
      </c>
      <c r="C60" t="s">
        <v>54</v>
      </c>
      <c r="D60" t="s">
        <v>54</v>
      </c>
      <c r="E60" t="s">
        <v>54</v>
      </c>
      <c r="F60" t="s">
        <v>54</v>
      </c>
      <c r="G60" t="s">
        <v>54</v>
      </c>
      <c r="H60" t="s">
        <v>54</v>
      </c>
      <c r="I60" t="s">
        <v>54</v>
      </c>
    </row>
    <row r="61" spans="1:9" x14ac:dyDescent="0.2">
      <c r="A61" s="13">
        <v>45341</v>
      </c>
      <c r="B61" t="s">
        <v>54</v>
      </c>
      <c r="C61" t="s">
        <v>54</v>
      </c>
      <c r="D61" t="s">
        <v>54</v>
      </c>
      <c r="E61" t="s">
        <v>54</v>
      </c>
      <c r="F61" t="s">
        <v>54</v>
      </c>
      <c r="G61" t="s">
        <v>54</v>
      </c>
      <c r="H61" t="s">
        <v>54</v>
      </c>
      <c r="I61" t="s">
        <v>54</v>
      </c>
    </row>
    <row r="62" spans="1:9" x14ac:dyDescent="0.2">
      <c r="A62" s="13">
        <v>45342</v>
      </c>
      <c r="B62" t="s">
        <v>54</v>
      </c>
      <c r="C62" t="s">
        <v>54</v>
      </c>
      <c r="D62" t="s">
        <v>54</v>
      </c>
      <c r="E62" t="s">
        <v>54</v>
      </c>
      <c r="F62" t="s">
        <v>54</v>
      </c>
      <c r="G62" t="s">
        <v>54</v>
      </c>
      <c r="H62" t="s">
        <v>54</v>
      </c>
      <c r="I62" t="s">
        <v>54</v>
      </c>
    </row>
    <row r="63" spans="1:9" x14ac:dyDescent="0.2">
      <c r="A63" s="13">
        <v>45343</v>
      </c>
      <c r="B63" t="s">
        <v>54</v>
      </c>
      <c r="C63" t="s">
        <v>54</v>
      </c>
      <c r="D63" t="s">
        <v>54</v>
      </c>
      <c r="E63" t="s">
        <v>54</v>
      </c>
      <c r="F63" t="s">
        <v>54</v>
      </c>
      <c r="G63" t="s">
        <v>54</v>
      </c>
      <c r="H63" t="s">
        <v>54</v>
      </c>
      <c r="I63" t="s">
        <v>54</v>
      </c>
    </row>
    <row r="64" spans="1:9" x14ac:dyDescent="0.2">
      <c r="A64" s="13">
        <v>45344</v>
      </c>
      <c r="B64" t="s">
        <v>54</v>
      </c>
      <c r="C64" t="s">
        <v>54</v>
      </c>
      <c r="D64" t="s">
        <v>54</v>
      </c>
      <c r="E64" t="s">
        <v>54</v>
      </c>
      <c r="F64" t="s">
        <v>54</v>
      </c>
      <c r="G64" t="s">
        <v>54</v>
      </c>
      <c r="H64" t="s">
        <v>54</v>
      </c>
      <c r="I64" t="s">
        <v>54</v>
      </c>
    </row>
    <row r="65" spans="1:9" x14ac:dyDescent="0.2">
      <c r="A65" s="13">
        <v>45345</v>
      </c>
      <c r="B65" t="s">
        <v>54</v>
      </c>
      <c r="C65" t="s">
        <v>54</v>
      </c>
      <c r="D65" t="s">
        <v>54</v>
      </c>
      <c r="E65" t="s">
        <v>54</v>
      </c>
      <c r="F65" t="s">
        <v>54</v>
      </c>
      <c r="G65" t="s">
        <v>54</v>
      </c>
      <c r="H65" t="s">
        <v>54</v>
      </c>
      <c r="I65" t="s">
        <v>54</v>
      </c>
    </row>
    <row r="66" spans="1:9" x14ac:dyDescent="0.2">
      <c r="A66" s="13">
        <v>45346</v>
      </c>
      <c r="B66" t="s">
        <v>54</v>
      </c>
      <c r="C66" t="s">
        <v>54</v>
      </c>
      <c r="D66" t="s">
        <v>54</v>
      </c>
      <c r="E66" t="s">
        <v>54</v>
      </c>
      <c r="F66" t="s">
        <v>54</v>
      </c>
      <c r="G66" t="s">
        <v>54</v>
      </c>
      <c r="H66" t="s">
        <v>54</v>
      </c>
      <c r="I66" t="s">
        <v>54</v>
      </c>
    </row>
    <row r="67" spans="1:9" x14ac:dyDescent="0.2">
      <c r="A67" s="13">
        <v>45347</v>
      </c>
      <c r="B67" t="s">
        <v>54</v>
      </c>
      <c r="C67" t="s">
        <v>54</v>
      </c>
      <c r="D67" t="s">
        <v>54</v>
      </c>
      <c r="E67" t="s">
        <v>54</v>
      </c>
      <c r="F67" t="s">
        <v>54</v>
      </c>
      <c r="G67" t="s">
        <v>54</v>
      </c>
      <c r="H67" t="s">
        <v>54</v>
      </c>
      <c r="I67" t="s">
        <v>54</v>
      </c>
    </row>
    <row r="68" spans="1:9" x14ac:dyDescent="0.2">
      <c r="A68" s="13">
        <v>45348</v>
      </c>
      <c r="B68" t="s">
        <v>54</v>
      </c>
      <c r="C68" t="s">
        <v>54</v>
      </c>
      <c r="D68" t="s">
        <v>54</v>
      </c>
      <c r="E68" t="s">
        <v>54</v>
      </c>
      <c r="F68" t="s">
        <v>54</v>
      </c>
      <c r="G68" t="s">
        <v>54</v>
      </c>
      <c r="H68" t="s">
        <v>54</v>
      </c>
      <c r="I68" t="s">
        <v>54</v>
      </c>
    </row>
    <row r="69" spans="1:9" x14ac:dyDescent="0.2">
      <c r="A69" s="13">
        <v>45349</v>
      </c>
      <c r="B69" t="s">
        <v>54</v>
      </c>
      <c r="C69" t="s">
        <v>54</v>
      </c>
      <c r="D69" t="s">
        <v>54</v>
      </c>
      <c r="E69" t="s">
        <v>54</v>
      </c>
      <c r="F69" t="s">
        <v>54</v>
      </c>
      <c r="G69" t="s">
        <v>54</v>
      </c>
      <c r="H69" t="s">
        <v>54</v>
      </c>
      <c r="I69" t="s">
        <v>54</v>
      </c>
    </row>
    <row r="70" spans="1:9" x14ac:dyDescent="0.2">
      <c r="A70" s="13">
        <v>45350</v>
      </c>
      <c r="B70" t="s">
        <v>54</v>
      </c>
      <c r="C70" t="s">
        <v>54</v>
      </c>
      <c r="D70" t="s">
        <v>54</v>
      </c>
      <c r="E70" t="s">
        <v>54</v>
      </c>
      <c r="F70" t="s">
        <v>54</v>
      </c>
      <c r="G70" t="s">
        <v>54</v>
      </c>
      <c r="H70" t="s">
        <v>54</v>
      </c>
      <c r="I70" t="s">
        <v>54</v>
      </c>
    </row>
    <row r="71" spans="1:9" x14ac:dyDescent="0.2">
      <c r="A71" s="13">
        <v>45351</v>
      </c>
      <c r="B71" t="s">
        <v>54</v>
      </c>
      <c r="C71" t="s">
        <v>54</v>
      </c>
      <c r="D71" t="s">
        <v>54</v>
      </c>
      <c r="E71" t="s">
        <v>54</v>
      </c>
      <c r="F71" t="s">
        <v>54</v>
      </c>
      <c r="G71" t="s">
        <v>54</v>
      </c>
      <c r="H71" t="s">
        <v>54</v>
      </c>
      <c r="I71" t="s">
        <v>54</v>
      </c>
    </row>
    <row r="72" spans="1:9" x14ac:dyDescent="0.2">
      <c r="A72" s="13">
        <v>45352</v>
      </c>
      <c r="B72" t="s">
        <v>54</v>
      </c>
      <c r="C72" t="s">
        <v>54</v>
      </c>
      <c r="D72" t="s">
        <v>54</v>
      </c>
      <c r="E72" t="s">
        <v>54</v>
      </c>
      <c r="F72" t="s">
        <v>54</v>
      </c>
      <c r="G72" t="s">
        <v>54</v>
      </c>
      <c r="H72" t="s">
        <v>54</v>
      </c>
      <c r="I72" t="s">
        <v>54</v>
      </c>
    </row>
    <row r="73" spans="1:9" x14ac:dyDescent="0.2">
      <c r="A73" s="13">
        <v>45353</v>
      </c>
      <c r="B73" t="s">
        <v>54</v>
      </c>
      <c r="C73" t="s">
        <v>54</v>
      </c>
      <c r="D73" t="s">
        <v>54</v>
      </c>
      <c r="E73" t="s">
        <v>54</v>
      </c>
      <c r="F73" t="s">
        <v>54</v>
      </c>
      <c r="G73" t="s">
        <v>54</v>
      </c>
      <c r="H73" t="s">
        <v>54</v>
      </c>
      <c r="I73" t="s">
        <v>54</v>
      </c>
    </row>
    <row r="74" spans="1:9" x14ac:dyDescent="0.2">
      <c r="A74" s="13">
        <v>45354</v>
      </c>
      <c r="B74" t="s">
        <v>54</v>
      </c>
      <c r="C74" t="s">
        <v>54</v>
      </c>
      <c r="D74" t="s">
        <v>54</v>
      </c>
      <c r="E74" t="s">
        <v>54</v>
      </c>
      <c r="F74" t="s">
        <v>54</v>
      </c>
      <c r="G74" t="s">
        <v>54</v>
      </c>
      <c r="H74" t="s">
        <v>54</v>
      </c>
      <c r="I74" t="s">
        <v>54</v>
      </c>
    </row>
    <row r="75" spans="1:9" x14ac:dyDescent="0.2">
      <c r="A75" s="13">
        <v>45355</v>
      </c>
      <c r="B75" t="s">
        <v>54</v>
      </c>
      <c r="C75" t="s">
        <v>54</v>
      </c>
      <c r="D75" t="s">
        <v>54</v>
      </c>
      <c r="E75" t="s">
        <v>54</v>
      </c>
      <c r="F75" t="s">
        <v>54</v>
      </c>
      <c r="G75" t="s">
        <v>54</v>
      </c>
      <c r="H75" t="s">
        <v>54</v>
      </c>
      <c r="I75" t="s">
        <v>54</v>
      </c>
    </row>
    <row r="76" spans="1:9" x14ac:dyDescent="0.2">
      <c r="A76" s="13">
        <v>45356</v>
      </c>
      <c r="B76" t="s">
        <v>54</v>
      </c>
      <c r="C76" t="s">
        <v>54</v>
      </c>
      <c r="D76" t="s">
        <v>54</v>
      </c>
      <c r="E76" t="s">
        <v>54</v>
      </c>
      <c r="F76" t="s">
        <v>54</v>
      </c>
      <c r="G76" t="s">
        <v>54</v>
      </c>
      <c r="H76" t="s">
        <v>54</v>
      </c>
      <c r="I76" t="s">
        <v>54</v>
      </c>
    </row>
    <row r="77" spans="1:9" x14ac:dyDescent="0.2">
      <c r="A77" s="13">
        <v>45357</v>
      </c>
      <c r="B77" t="s">
        <v>54</v>
      </c>
      <c r="C77" t="s">
        <v>54</v>
      </c>
      <c r="D77" t="s">
        <v>54</v>
      </c>
      <c r="E77" t="s">
        <v>54</v>
      </c>
      <c r="F77" t="s">
        <v>54</v>
      </c>
      <c r="G77" t="s">
        <v>54</v>
      </c>
      <c r="H77" t="s">
        <v>54</v>
      </c>
      <c r="I77" t="s">
        <v>54</v>
      </c>
    </row>
    <row r="78" spans="1:9" x14ac:dyDescent="0.2">
      <c r="A78" s="13">
        <v>45358</v>
      </c>
      <c r="B78" t="s">
        <v>54</v>
      </c>
      <c r="C78" t="s">
        <v>54</v>
      </c>
      <c r="D78" t="s">
        <v>54</v>
      </c>
      <c r="E78" t="s">
        <v>54</v>
      </c>
      <c r="F78" t="s">
        <v>54</v>
      </c>
      <c r="G78" t="s">
        <v>54</v>
      </c>
      <c r="H78" t="s">
        <v>54</v>
      </c>
      <c r="I78" t="s">
        <v>54</v>
      </c>
    </row>
    <row r="79" spans="1:9" x14ac:dyDescent="0.2">
      <c r="A79" s="13">
        <v>45359</v>
      </c>
      <c r="B79" t="s">
        <v>54</v>
      </c>
      <c r="C79" t="s">
        <v>54</v>
      </c>
      <c r="D79" t="s">
        <v>54</v>
      </c>
      <c r="E79" t="s">
        <v>54</v>
      </c>
      <c r="F79" t="s">
        <v>54</v>
      </c>
      <c r="G79" t="s">
        <v>54</v>
      </c>
      <c r="H79" t="s">
        <v>54</v>
      </c>
      <c r="I79" t="s">
        <v>54</v>
      </c>
    </row>
    <row r="80" spans="1:9" x14ac:dyDescent="0.2">
      <c r="A80" s="13">
        <v>45360</v>
      </c>
      <c r="B80" t="s">
        <v>54</v>
      </c>
      <c r="C80" t="s">
        <v>54</v>
      </c>
      <c r="D80" t="s">
        <v>54</v>
      </c>
      <c r="E80" t="s">
        <v>54</v>
      </c>
      <c r="F80" t="s">
        <v>54</v>
      </c>
      <c r="G80" t="s">
        <v>54</v>
      </c>
      <c r="H80" t="s">
        <v>54</v>
      </c>
      <c r="I80" t="s">
        <v>54</v>
      </c>
    </row>
    <row r="81" spans="1:9" x14ac:dyDescent="0.2">
      <c r="A81" s="13">
        <v>45361</v>
      </c>
      <c r="B81" t="s">
        <v>54</v>
      </c>
      <c r="C81" t="s">
        <v>54</v>
      </c>
      <c r="D81" t="s">
        <v>54</v>
      </c>
      <c r="E81" t="s">
        <v>54</v>
      </c>
      <c r="F81" t="s">
        <v>54</v>
      </c>
      <c r="G81" t="s">
        <v>54</v>
      </c>
      <c r="H81" t="s">
        <v>54</v>
      </c>
      <c r="I81" t="s">
        <v>54</v>
      </c>
    </row>
    <row r="82" spans="1:9" x14ac:dyDescent="0.2">
      <c r="A82" s="13">
        <v>45362</v>
      </c>
      <c r="B82" t="s">
        <v>54</v>
      </c>
      <c r="C82" t="s">
        <v>54</v>
      </c>
      <c r="D82" t="s">
        <v>54</v>
      </c>
      <c r="E82" t="s">
        <v>54</v>
      </c>
      <c r="F82" t="s">
        <v>54</v>
      </c>
      <c r="G82" t="s">
        <v>54</v>
      </c>
      <c r="H82" t="s">
        <v>54</v>
      </c>
      <c r="I82" t="s">
        <v>54</v>
      </c>
    </row>
    <row r="83" spans="1:9" x14ac:dyDescent="0.2">
      <c r="A83" s="13">
        <v>45363</v>
      </c>
      <c r="B83" t="s">
        <v>54</v>
      </c>
      <c r="C83" t="s">
        <v>54</v>
      </c>
      <c r="D83" t="s">
        <v>54</v>
      </c>
      <c r="E83" t="s">
        <v>54</v>
      </c>
      <c r="F83" t="s">
        <v>54</v>
      </c>
      <c r="G83" t="s">
        <v>54</v>
      </c>
      <c r="H83" t="s">
        <v>54</v>
      </c>
      <c r="I83" t="s">
        <v>54</v>
      </c>
    </row>
    <row r="84" spans="1:9" x14ac:dyDescent="0.2">
      <c r="A84" s="13">
        <v>45364</v>
      </c>
      <c r="B84" t="s">
        <v>54</v>
      </c>
      <c r="C84" t="s">
        <v>54</v>
      </c>
      <c r="D84" t="s">
        <v>54</v>
      </c>
      <c r="E84" t="s">
        <v>54</v>
      </c>
      <c r="F84" t="s">
        <v>54</v>
      </c>
      <c r="G84" t="s">
        <v>54</v>
      </c>
      <c r="H84" t="s">
        <v>54</v>
      </c>
      <c r="I84" t="s">
        <v>54</v>
      </c>
    </row>
    <row r="85" spans="1:9" x14ac:dyDescent="0.2">
      <c r="A85" s="13">
        <v>45365</v>
      </c>
      <c r="B85" t="s">
        <v>54</v>
      </c>
      <c r="C85" t="s">
        <v>54</v>
      </c>
      <c r="D85" t="s">
        <v>54</v>
      </c>
      <c r="E85" t="s">
        <v>54</v>
      </c>
      <c r="F85" t="s">
        <v>54</v>
      </c>
      <c r="G85" t="s">
        <v>54</v>
      </c>
      <c r="H85" t="s">
        <v>54</v>
      </c>
      <c r="I85" t="s">
        <v>54</v>
      </c>
    </row>
    <row r="86" spans="1:9" x14ac:dyDescent="0.2">
      <c r="A86" s="13">
        <v>45366</v>
      </c>
      <c r="B86" t="s">
        <v>54</v>
      </c>
      <c r="C86" t="s">
        <v>54</v>
      </c>
      <c r="D86" t="s">
        <v>54</v>
      </c>
      <c r="E86" t="s">
        <v>54</v>
      </c>
      <c r="F86" t="s">
        <v>54</v>
      </c>
      <c r="G86" t="s">
        <v>54</v>
      </c>
      <c r="H86" t="s">
        <v>54</v>
      </c>
      <c r="I86" t="s">
        <v>54</v>
      </c>
    </row>
    <row r="87" spans="1:9" x14ac:dyDescent="0.2">
      <c r="A87" s="13">
        <v>45367</v>
      </c>
      <c r="B87" t="s">
        <v>54</v>
      </c>
      <c r="C87" t="s">
        <v>54</v>
      </c>
      <c r="D87" t="s">
        <v>54</v>
      </c>
      <c r="E87" t="s">
        <v>54</v>
      </c>
      <c r="F87" t="s">
        <v>54</v>
      </c>
      <c r="G87" t="s">
        <v>54</v>
      </c>
      <c r="H87" t="s">
        <v>54</v>
      </c>
      <c r="I87" t="s">
        <v>54</v>
      </c>
    </row>
    <row r="88" spans="1:9" x14ac:dyDescent="0.2">
      <c r="A88" s="13">
        <v>45368</v>
      </c>
      <c r="B88" t="s">
        <v>54</v>
      </c>
      <c r="C88" t="s">
        <v>54</v>
      </c>
      <c r="D88" t="s">
        <v>54</v>
      </c>
      <c r="E88" t="s">
        <v>54</v>
      </c>
      <c r="F88" t="s">
        <v>54</v>
      </c>
      <c r="G88" t="s">
        <v>54</v>
      </c>
      <c r="H88" t="s">
        <v>54</v>
      </c>
      <c r="I88" t="s">
        <v>54</v>
      </c>
    </row>
    <row r="89" spans="1:9" x14ac:dyDescent="0.2">
      <c r="A89" s="13">
        <v>45369</v>
      </c>
      <c r="B89" t="s">
        <v>54</v>
      </c>
      <c r="C89" t="s">
        <v>54</v>
      </c>
      <c r="D89" t="s">
        <v>54</v>
      </c>
      <c r="E89" t="s">
        <v>54</v>
      </c>
      <c r="F89" t="s">
        <v>54</v>
      </c>
      <c r="G89" t="s">
        <v>54</v>
      </c>
      <c r="H89" t="s">
        <v>54</v>
      </c>
      <c r="I89" t="s">
        <v>54</v>
      </c>
    </row>
    <row r="90" spans="1:9" x14ac:dyDescent="0.2">
      <c r="A90" s="13">
        <v>45370</v>
      </c>
      <c r="B90" t="s">
        <v>54</v>
      </c>
      <c r="C90" t="s">
        <v>54</v>
      </c>
      <c r="D90" t="s">
        <v>54</v>
      </c>
      <c r="E90" t="s">
        <v>54</v>
      </c>
      <c r="F90" t="s">
        <v>54</v>
      </c>
      <c r="G90" t="s">
        <v>54</v>
      </c>
      <c r="H90" t="s">
        <v>54</v>
      </c>
      <c r="I90" t="s">
        <v>54</v>
      </c>
    </row>
    <row r="91" spans="1:9" x14ac:dyDescent="0.2">
      <c r="A91" s="13">
        <v>45371</v>
      </c>
      <c r="B91" t="s">
        <v>54</v>
      </c>
      <c r="C91" t="s">
        <v>54</v>
      </c>
      <c r="D91" t="s">
        <v>54</v>
      </c>
      <c r="E91" t="s">
        <v>54</v>
      </c>
      <c r="F91" t="s">
        <v>54</v>
      </c>
      <c r="G91" t="s">
        <v>54</v>
      </c>
      <c r="H91" t="s">
        <v>54</v>
      </c>
      <c r="I91" t="s">
        <v>54</v>
      </c>
    </row>
    <row r="92" spans="1:9" x14ac:dyDescent="0.2">
      <c r="A92" s="13">
        <v>45372</v>
      </c>
      <c r="B92" t="s">
        <v>54</v>
      </c>
      <c r="C92" t="s">
        <v>54</v>
      </c>
      <c r="D92" t="s">
        <v>54</v>
      </c>
      <c r="E92" t="s">
        <v>54</v>
      </c>
      <c r="F92" t="s">
        <v>54</v>
      </c>
      <c r="G92" t="s">
        <v>54</v>
      </c>
      <c r="H92" t="s">
        <v>54</v>
      </c>
      <c r="I92" t="s">
        <v>54</v>
      </c>
    </row>
    <row r="93" spans="1:9" x14ac:dyDescent="0.2">
      <c r="A93" s="13">
        <v>45373</v>
      </c>
      <c r="B93" t="s">
        <v>54</v>
      </c>
      <c r="C93" t="s">
        <v>54</v>
      </c>
      <c r="D93" t="s">
        <v>54</v>
      </c>
      <c r="E93" t="s">
        <v>54</v>
      </c>
      <c r="F93" t="s">
        <v>54</v>
      </c>
      <c r="G93" t="s">
        <v>54</v>
      </c>
      <c r="H93" t="s">
        <v>54</v>
      </c>
      <c r="I93" t="s">
        <v>54</v>
      </c>
    </row>
    <row r="94" spans="1:9" x14ac:dyDescent="0.2">
      <c r="A94" s="13">
        <v>45374</v>
      </c>
      <c r="B94" t="s">
        <v>54</v>
      </c>
      <c r="C94" t="s">
        <v>54</v>
      </c>
      <c r="D94" t="s">
        <v>54</v>
      </c>
      <c r="E94" t="s">
        <v>54</v>
      </c>
      <c r="F94" t="s">
        <v>54</v>
      </c>
      <c r="G94" t="s">
        <v>54</v>
      </c>
      <c r="H94" t="s">
        <v>54</v>
      </c>
      <c r="I94" t="s">
        <v>54</v>
      </c>
    </row>
    <row r="95" spans="1:9" x14ac:dyDescent="0.2">
      <c r="A95" s="13">
        <v>45375</v>
      </c>
      <c r="B95" t="s">
        <v>54</v>
      </c>
      <c r="C95" t="s">
        <v>54</v>
      </c>
      <c r="D95" t="s">
        <v>54</v>
      </c>
      <c r="E95" t="s">
        <v>54</v>
      </c>
      <c r="F95" t="s">
        <v>54</v>
      </c>
      <c r="G95" t="s">
        <v>54</v>
      </c>
      <c r="H95" t="s">
        <v>54</v>
      </c>
      <c r="I95" t="s">
        <v>54</v>
      </c>
    </row>
    <row r="96" spans="1:9" x14ac:dyDescent="0.2">
      <c r="A96" s="13">
        <v>45376</v>
      </c>
      <c r="B96" t="s">
        <v>54</v>
      </c>
      <c r="C96">
        <v>968</v>
      </c>
      <c r="D96">
        <v>33.5</v>
      </c>
      <c r="E96" t="s">
        <v>54</v>
      </c>
      <c r="F96" t="s">
        <v>54</v>
      </c>
      <c r="G96">
        <v>60.4</v>
      </c>
      <c r="H96">
        <v>41</v>
      </c>
      <c r="I96">
        <v>2.8</v>
      </c>
    </row>
    <row r="97" spans="1:9" x14ac:dyDescent="0.2">
      <c r="A97" s="13">
        <v>45377</v>
      </c>
      <c r="B97">
        <v>0</v>
      </c>
      <c r="C97">
        <v>969.2</v>
      </c>
      <c r="D97">
        <v>34.1</v>
      </c>
      <c r="E97">
        <v>28.8</v>
      </c>
      <c r="F97">
        <v>24.6</v>
      </c>
      <c r="G97">
        <v>63.6</v>
      </c>
      <c r="H97">
        <v>43</v>
      </c>
      <c r="I97">
        <v>2.2000000000000002</v>
      </c>
    </row>
    <row r="98" spans="1:9" x14ac:dyDescent="0.2">
      <c r="A98" s="13">
        <v>45378</v>
      </c>
      <c r="B98">
        <v>0</v>
      </c>
      <c r="C98">
        <v>970</v>
      </c>
      <c r="D98">
        <v>33.9</v>
      </c>
      <c r="E98">
        <v>28.5</v>
      </c>
      <c r="F98">
        <v>24.7</v>
      </c>
      <c r="G98">
        <v>66</v>
      </c>
      <c r="H98">
        <v>45</v>
      </c>
      <c r="I98">
        <v>2.8</v>
      </c>
    </row>
    <row r="99" spans="1:9" x14ac:dyDescent="0.2">
      <c r="A99" s="13">
        <v>45379</v>
      </c>
      <c r="B99">
        <v>0</v>
      </c>
      <c r="C99">
        <v>970.4</v>
      </c>
      <c r="D99">
        <v>34.9</v>
      </c>
      <c r="E99">
        <v>29</v>
      </c>
      <c r="F99">
        <v>24.4</v>
      </c>
      <c r="G99">
        <v>63.9</v>
      </c>
      <c r="H99">
        <v>37</v>
      </c>
      <c r="I99">
        <v>3.6</v>
      </c>
    </row>
    <row r="100" spans="1:9" x14ac:dyDescent="0.2">
      <c r="A100" s="13">
        <v>45380</v>
      </c>
      <c r="B100">
        <v>0</v>
      </c>
      <c r="C100">
        <v>970.8</v>
      </c>
      <c r="D100">
        <v>33.4</v>
      </c>
      <c r="E100">
        <v>28.5</v>
      </c>
      <c r="F100">
        <v>24.7</v>
      </c>
      <c r="G100">
        <v>65.400000000000006</v>
      </c>
      <c r="H100">
        <v>44</v>
      </c>
      <c r="I100">
        <v>3.7</v>
      </c>
    </row>
    <row r="101" spans="1:9" x14ac:dyDescent="0.2">
      <c r="A101" s="13">
        <v>45381</v>
      </c>
      <c r="B101">
        <v>0</v>
      </c>
      <c r="C101">
        <v>970.3</v>
      </c>
      <c r="D101">
        <v>34</v>
      </c>
      <c r="E101">
        <v>28.4</v>
      </c>
      <c r="F101">
        <v>23.2</v>
      </c>
      <c r="G101">
        <v>60.7</v>
      </c>
      <c r="H101">
        <v>40</v>
      </c>
      <c r="I101">
        <v>3</v>
      </c>
    </row>
    <row r="102" spans="1:9" x14ac:dyDescent="0.2">
      <c r="A102" s="13">
        <v>45382</v>
      </c>
      <c r="B102">
        <v>0</v>
      </c>
      <c r="C102">
        <v>969</v>
      </c>
      <c r="D102">
        <v>35.299999999999997</v>
      </c>
      <c r="E102">
        <v>29.9</v>
      </c>
      <c r="F102">
        <v>25.1</v>
      </c>
      <c r="G102">
        <v>57</v>
      </c>
      <c r="H102">
        <v>40</v>
      </c>
      <c r="I102">
        <v>2.5</v>
      </c>
    </row>
    <row r="103" spans="1:9" x14ac:dyDescent="0.2">
      <c r="A103" s="13">
        <v>45383</v>
      </c>
      <c r="B103">
        <v>0</v>
      </c>
      <c r="C103">
        <v>969.1</v>
      </c>
      <c r="D103">
        <v>35.799999999999997</v>
      </c>
      <c r="E103">
        <v>28.2</v>
      </c>
      <c r="F103">
        <v>24.2</v>
      </c>
      <c r="G103">
        <v>69.400000000000006</v>
      </c>
      <c r="H103">
        <v>36</v>
      </c>
      <c r="I103">
        <v>2.4</v>
      </c>
    </row>
    <row r="104" spans="1:9" x14ac:dyDescent="0.2">
      <c r="A104" s="13">
        <v>45384</v>
      </c>
      <c r="B104" t="s">
        <v>54</v>
      </c>
      <c r="C104">
        <v>969.3</v>
      </c>
      <c r="D104">
        <v>34</v>
      </c>
      <c r="E104">
        <v>27.5</v>
      </c>
      <c r="F104">
        <v>23.5</v>
      </c>
      <c r="G104">
        <v>75.3</v>
      </c>
      <c r="H104">
        <v>43</v>
      </c>
      <c r="I104">
        <v>2</v>
      </c>
    </row>
    <row r="105" spans="1:9" x14ac:dyDescent="0.2">
      <c r="A105" s="13">
        <v>45385</v>
      </c>
      <c r="B105" t="s">
        <v>54</v>
      </c>
      <c r="C105">
        <v>969.5</v>
      </c>
      <c r="D105">
        <v>32.4</v>
      </c>
      <c r="E105">
        <v>26.5</v>
      </c>
      <c r="F105">
        <v>22.4</v>
      </c>
      <c r="G105">
        <v>78.5</v>
      </c>
      <c r="H105">
        <v>52</v>
      </c>
      <c r="I105">
        <v>1.8</v>
      </c>
    </row>
    <row r="106" spans="1:9" x14ac:dyDescent="0.2">
      <c r="A106" s="13">
        <v>45386</v>
      </c>
      <c r="B106" t="s">
        <v>54</v>
      </c>
      <c r="C106">
        <v>970.1</v>
      </c>
      <c r="D106">
        <v>31.4</v>
      </c>
      <c r="E106">
        <v>26</v>
      </c>
      <c r="F106">
        <v>21.9</v>
      </c>
      <c r="G106">
        <v>83.3</v>
      </c>
      <c r="H106">
        <v>59</v>
      </c>
      <c r="I106">
        <v>1.5</v>
      </c>
    </row>
    <row r="107" spans="1:9" x14ac:dyDescent="0.2">
      <c r="A107" s="13">
        <v>45387</v>
      </c>
      <c r="B107">
        <v>2.6</v>
      </c>
      <c r="C107">
        <v>969.8</v>
      </c>
      <c r="D107">
        <v>33.5</v>
      </c>
      <c r="E107">
        <v>27.8</v>
      </c>
      <c r="F107">
        <v>23.3</v>
      </c>
      <c r="G107">
        <v>73</v>
      </c>
      <c r="H107">
        <v>47</v>
      </c>
      <c r="I107">
        <v>2.4</v>
      </c>
    </row>
    <row r="108" spans="1:9" x14ac:dyDescent="0.2">
      <c r="A108" s="13">
        <v>45388</v>
      </c>
      <c r="B108">
        <v>1.4</v>
      </c>
      <c r="C108">
        <v>969.5</v>
      </c>
      <c r="D108">
        <v>32.700000000000003</v>
      </c>
      <c r="E108">
        <v>28</v>
      </c>
      <c r="F108">
        <v>24.8</v>
      </c>
      <c r="G108">
        <v>67.599999999999994</v>
      </c>
      <c r="H108">
        <v>43</v>
      </c>
      <c r="I108">
        <v>2.6</v>
      </c>
    </row>
    <row r="109" spans="1:9" x14ac:dyDescent="0.2">
      <c r="A109" s="13">
        <v>45389</v>
      </c>
      <c r="B109">
        <v>0</v>
      </c>
      <c r="C109">
        <v>970</v>
      </c>
      <c r="D109">
        <v>33.200000000000003</v>
      </c>
      <c r="E109">
        <v>27.9</v>
      </c>
      <c r="F109">
        <v>24.6</v>
      </c>
      <c r="G109">
        <v>69.2</v>
      </c>
      <c r="H109">
        <v>45</v>
      </c>
      <c r="I109">
        <v>3.4</v>
      </c>
    </row>
    <row r="110" spans="1:9" x14ac:dyDescent="0.2">
      <c r="A110" s="13">
        <v>45390</v>
      </c>
      <c r="B110">
        <v>0.2</v>
      </c>
      <c r="C110">
        <v>970.1</v>
      </c>
      <c r="D110">
        <v>32.6</v>
      </c>
      <c r="E110">
        <v>27.5</v>
      </c>
      <c r="F110">
        <v>23.9</v>
      </c>
      <c r="G110">
        <v>68.7</v>
      </c>
      <c r="H110">
        <v>46</v>
      </c>
      <c r="I110">
        <v>3.3</v>
      </c>
    </row>
    <row r="111" spans="1:9" x14ac:dyDescent="0.2">
      <c r="A111" s="13">
        <v>45391</v>
      </c>
      <c r="B111">
        <v>0</v>
      </c>
      <c r="C111">
        <v>969.5</v>
      </c>
      <c r="D111">
        <v>33.299999999999997</v>
      </c>
      <c r="E111">
        <v>28.2</v>
      </c>
      <c r="F111">
        <v>24.3</v>
      </c>
      <c r="G111">
        <v>67.900000000000006</v>
      </c>
      <c r="H111">
        <v>47</v>
      </c>
      <c r="I111">
        <v>3.1</v>
      </c>
    </row>
    <row r="112" spans="1:9" x14ac:dyDescent="0.2">
      <c r="A112" s="13">
        <v>45392</v>
      </c>
      <c r="B112">
        <v>0</v>
      </c>
      <c r="C112">
        <v>968.6</v>
      </c>
      <c r="D112">
        <v>33.4</v>
      </c>
      <c r="E112">
        <v>28.3</v>
      </c>
      <c r="F112">
        <v>24.4</v>
      </c>
      <c r="G112">
        <v>69.7</v>
      </c>
      <c r="H112">
        <v>48</v>
      </c>
      <c r="I112">
        <v>2.1</v>
      </c>
    </row>
    <row r="113" spans="1:9" x14ac:dyDescent="0.2">
      <c r="A113" s="13">
        <v>45393</v>
      </c>
      <c r="B113">
        <v>0</v>
      </c>
      <c r="C113">
        <v>969.1</v>
      </c>
      <c r="D113">
        <v>33.5</v>
      </c>
      <c r="E113">
        <v>28.5</v>
      </c>
      <c r="F113">
        <v>24.6</v>
      </c>
      <c r="G113">
        <v>68.2</v>
      </c>
      <c r="H113">
        <v>46</v>
      </c>
      <c r="I113">
        <v>2.6</v>
      </c>
    </row>
    <row r="114" spans="1:9" x14ac:dyDescent="0.2">
      <c r="A114" s="13">
        <v>45394</v>
      </c>
      <c r="B114">
        <v>0</v>
      </c>
      <c r="C114">
        <v>969.9</v>
      </c>
      <c r="D114">
        <v>32.9</v>
      </c>
      <c r="E114">
        <v>27.2</v>
      </c>
      <c r="F114">
        <v>24.1</v>
      </c>
      <c r="G114">
        <v>73.2</v>
      </c>
      <c r="H114">
        <v>46</v>
      </c>
      <c r="I114">
        <v>2.6</v>
      </c>
    </row>
    <row r="115" spans="1:9" x14ac:dyDescent="0.2">
      <c r="A115" s="13">
        <v>45395</v>
      </c>
      <c r="B115">
        <v>0.2</v>
      </c>
      <c r="C115">
        <v>969.7</v>
      </c>
      <c r="D115">
        <v>32.700000000000003</v>
      </c>
      <c r="E115">
        <v>27.7</v>
      </c>
      <c r="F115">
        <v>24</v>
      </c>
      <c r="G115">
        <v>68</v>
      </c>
      <c r="H115">
        <v>47</v>
      </c>
      <c r="I115">
        <v>3</v>
      </c>
    </row>
    <row r="116" spans="1:9" x14ac:dyDescent="0.2">
      <c r="A116" s="13">
        <v>45396</v>
      </c>
      <c r="B116">
        <v>0</v>
      </c>
      <c r="C116">
        <v>969.1</v>
      </c>
      <c r="D116">
        <v>33.6</v>
      </c>
      <c r="E116">
        <v>28.2</v>
      </c>
      <c r="F116">
        <v>23.3</v>
      </c>
      <c r="G116">
        <v>59.4</v>
      </c>
      <c r="H116">
        <v>35</v>
      </c>
      <c r="I116">
        <v>3</v>
      </c>
    </row>
    <row r="117" spans="1:9" x14ac:dyDescent="0.2">
      <c r="A117" s="13">
        <v>45397</v>
      </c>
      <c r="B117">
        <v>0</v>
      </c>
      <c r="C117">
        <v>969.3</v>
      </c>
      <c r="D117">
        <v>33.700000000000003</v>
      </c>
      <c r="E117">
        <v>28.6</v>
      </c>
      <c r="F117">
        <v>24.2</v>
      </c>
      <c r="G117">
        <v>63.2</v>
      </c>
      <c r="H117">
        <v>41</v>
      </c>
      <c r="I117">
        <v>2.8</v>
      </c>
    </row>
    <row r="118" spans="1:9" x14ac:dyDescent="0.2">
      <c r="A118" s="13">
        <v>45398</v>
      </c>
      <c r="B118">
        <v>0</v>
      </c>
      <c r="C118">
        <v>970</v>
      </c>
      <c r="D118">
        <v>34.200000000000003</v>
      </c>
      <c r="E118">
        <v>28.8</v>
      </c>
      <c r="F118">
        <v>24.7</v>
      </c>
      <c r="G118">
        <v>63.9</v>
      </c>
      <c r="H118">
        <v>44</v>
      </c>
      <c r="I118">
        <v>3.4</v>
      </c>
    </row>
    <row r="119" spans="1:9" x14ac:dyDescent="0.2">
      <c r="A119" s="13">
        <v>45399</v>
      </c>
      <c r="B119">
        <v>1</v>
      </c>
      <c r="C119">
        <v>969.5</v>
      </c>
      <c r="D119">
        <v>31.7</v>
      </c>
      <c r="E119">
        <v>26.5</v>
      </c>
      <c r="F119">
        <v>23.2</v>
      </c>
      <c r="G119">
        <v>79.2</v>
      </c>
      <c r="H119">
        <v>56</v>
      </c>
      <c r="I119">
        <v>2.5</v>
      </c>
    </row>
    <row r="120" spans="1:9" x14ac:dyDescent="0.2">
      <c r="A120" s="13">
        <v>45400</v>
      </c>
      <c r="B120">
        <v>4.2</v>
      </c>
      <c r="C120">
        <v>969.1</v>
      </c>
      <c r="D120">
        <v>31.7</v>
      </c>
      <c r="E120">
        <v>27</v>
      </c>
      <c r="F120">
        <v>23.5</v>
      </c>
      <c r="G120">
        <v>72.5</v>
      </c>
      <c r="H120">
        <v>49</v>
      </c>
      <c r="I120">
        <v>3.4</v>
      </c>
    </row>
    <row r="121" spans="1:9" x14ac:dyDescent="0.2">
      <c r="A121" s="13">
        <v>45401</v>
      </c>
      <c r="B121">
        <v>0</v>
      </c>
      <c r="C121">
        <v>970.1</v>
      </c>
      <c r="D121">
        <v>33.4</v>
      </c>
      <c r="E121">
        <v>28</v>
      </c>
      <c r="F121">
        <v>24.4</v>
      </c>
      <c r="G121">
        <v>63.8</v>
      </c>
      <c r="H121">
        <v>42</v>
      </c>
      <c r="I121">
        <v>3.1</v>
      </c>
    </row>
    <row r="122" spans="1:9" x14ac:dyDescent="0.2">
      <c r="A122" s="13">
        <v>45402</v>
      </c>
      <c r="B122">
        <v>0</v>
      </c>
      <c r="C122">
        <v>971.2</v>
      </c>
      <c r="D122">
        <v>31.9</v>
      </c>
      <c r="E122">
        <v>27.4</v>
      </c>
      <c r="F122">
        <v>24</v>
      </c>
      <c r="G122">
        <v>65</v>
      </c>
      <c r="H122">
        <v>46</v>
      </c>
      <c r="I122">
        <v>3.7</v>
      </c>
    </row>
    <row r="123" spans="1:9" x14ac:dyDescent="0.2">
      <c r="A123" s="13">
        <v>45403</v>
      </c>
      <c r="B123">
        <v>0</v>
      </c>
      <c r="C123">
        <v>970.3</v>
      </c>
      <c r="D123">
        <v>31.3</v>
      </c>
      <c r="E123">
        <v>26.5</v>
      </c>
      <c r="F123">
        <v>23</v>
      </c>
      <c r="G123">
        <v>69.8</v>
      </c>
      <c r="H123">
        <v>55</v>
      </c>
      <c r="I123">
        <v>2.7</v>
      </c>
    </row>
    <row r="124" spans="1:9" x14ac:dyDescent="0.2">
      <c r="A124" s="13">
        <v>45404</v>
      </c>
      <c r="B124">
        <v>0</v>
      </c>
      <c r="C124">
        <v>969.4</v>
      </c>
      <c r="D124">
        <v>34.1</v>
      </c>
      <c r="E124">
        <v>28.1</v>
      </c>
      <c r="F124">
        <v>23.5</v>
      </c>
      <c r="G124">
        <v>66.900000000000006</v>
      </c>
      <c r="H124">
        <v>41</v>
      </c>
      <c r="I124">
        <v>2.6</v>
      </c>
    </row>
    <row r="125" spans="1:9" x14ac:dyDescent="0.2">
      <c r="A125" s="13">
        <v>45405</v>
      </c>
      <c r="B125">
        <v>0</v>
      </c>
      <c r="C125">
        <v>970.5</v>
      </c>
      <c r="D125">
        <v>32.5</v>
      </c>
      <c r="E125">
        <v>27.7</v>
      </c>
      <c r="F125">
        <v>24.6</v>
      </c>
      <c r="G125">
        <v>70.400000000000006</v>
      </c>
      <c r="H125">
        <v>52</v>
      </c>
      <c r="I125">
        <v>2.2000000000000002</v>
      </c>
    </row>
    <row r="126" spans="1:9" x14ac:dyDescent="0.2">
      <c r="A126" s="13">
        <v>45406</v>
      </c>
      <c r="B126">
        <v>0</v>
      </c>
      <c r="C126">
        <v>970.1</v>
      </c>
      <c r="D126">
        <v>34</v>
      </c>
      <c r="E126">
        <v>28.3</v>
      </c>
      <c r="F126">
        <v>23.9</v>
      </c>
      <c r="G126">
        <v>65.5</v>
      </c>
      <c r="H126">
        <v>42</v>
      </c>
      <c r="I126">
        <v>2.4</v>
      </c>
    </row>
    <row r="127" spans="1:9" x14ac:dyDescent="0.2">
      <c r="A127" s="13">
        <v>45407</v>
      </c>
      <c r="B127">
        <v>0</v>
      </c>
      <c r="C127">
        <v>969.8</v>
      </c>
      <c r="D127">
        <v>32.9</v>
      </c>
      <c r="E127">
        <v>28.3</v>
      </c>
      <c r="F127">
        <v>24.7</v>
      </c>
      <c r="G127">
        <v>67</v>
      </c>
      <c r="H127">
        <v>43</v>
      </c>
      <c r="I127">
        <v>3.2</v>
      </c>
    </row>
    <row r="128" spans="1:9" x14ac:dyDescent="0.2">
      <c r="A128" s="13">
        <v>45408</v>
      </c>
      <c r="B128">
        <v>0</v>
      </c>
      <c r="C128">
        <v>969.1</v>
      </c>
      <c r="D128">
        <v>33.6</v>
      </c>
      <c r="E128">
        <v>27.4</v>
      </c>
      <c r="F128">
        <v>23.8</v>
      </c>
      <c r="G128">
        <v>69.8</v>
      </c>
      <c r="H128">
        <v>42</v>
      </c>
      <c r="I128">
        <v>3.5</v>
      </c>
    </row>
    <row r="129" spans="1:9" x14ac:dyDescent="0.2">
      <c r="A129" s="13">
        <v>45409</v>
      </c>
      <c r="B129">
        <v>0</v>
      </c>
      <c r="C129">
        <v>969.3</v>
      </c>
      <c r="D129">
        <v>31.4</v>
      </c>
      <c r="E129">
        <v>27.2</v>
      </c>
      <c r="F129">
        <v>23.8</v>
      </c>
      <c r="G129">
        <v>69.8</v>
      </c>
      <c r="H129">
        <v>46</v>
      </c>
      <c r="I129">
        <v>3.3</v>
      </c>
    </row>
    <row r="130" spans="1:9" x14ac:dyDescent="0.2">
      <c r="A130" s="13">
        <v>45410</v>
      </c>
      <c r="B130">
        <v>0</v>
      </c>
      <c r="C130">
        <v>969.7</v>
      </c>
      <c r="D130">
        <v>33.299999999999997</v>
      </c>
      <c r="E130">
        <v>27.5</v>
      </c>
      <c r="F130">
        <v>23.8</v>
      </c>
      <c r="G130">
        <v>63.2</v>
      </c>
      <c r="H130">
        <v>32</v>
      </c>
      <c r="I130">
        <v>3.5</v>
      </c>
    </row>
    <row r="131" spans="1:9" x14ac:dyDescent="0.2">
      <c r="A131" s="13">
        <v>45411</v>
      </c>
      <c r="B131">
        <v>0</v>
      </c>
      <c r="C131">
        <v>970.3</v>
      </c>
      <c r="D131">
        <v>33.4</v>
      </c>
      <c r="E131">
        <v>27.5</v>
      </c>
      <c r="F131">
        <v>22.6</v>
      </c>
      <c r="G131">
        <v>62.6</v>
      </c>
      <c r="H131">
        <v>40</v>
      </c>
      <c r="I131">
        <v>3.5</v>
      </c>
    </row>
    <row r="132" spans="1:9" x14ac:dyDescent="0.2">
      <c r="A132" s="13">
        <v>45412</v>
      </c>
      <c r="B132">
        <v>0</v>
      </c>
      <c r="C132">
        <v>970.8</v>
      </c>
      <c r="D132">
        <v>33.5</v>
      </c>
      <c r="E132">
        <v>27.7</v>
      </c>
      <c r="F132">
        <v>22.8</v>
      </c>
      <c r="G132">
        <v>63.9</v>
      </c>
      <c r="H132">
        <v>40</v>
      </c>
      <c r="I132">
        <v>3.1</v>
      </c>
    </row>
    <row r="133" spans="1:9" x14ac:dyDescent="0.2">
      <c r="A133" s="13">
        <v>45413</v>
      </c>
      <c r="B133">
        <v>0</v>
      </c>
      <c r="C133">
        <v>970.1</v>
      </c>
      <c r="D133">
        <v>32.799999999999997</v>
      </c>
      <c r="E133">
        <v>27.6</v>
      </c>
      <c r="F133">
        <v>23.5</v>
      </c>
      <c r="G133">
        <v>63.8</v>
      </c>
      <c r="H133">
        <v>42</v>
      </c>
      <c r="I133">
        <v>2.8</v>
      </c>
    </row>
    <row r="134" spans="1:9" x14ac:dyDescent="0.2">
      <c r="A134" s="13">
        <v>45414</v>
      </c>
      <c r="B134">
        <v>0</v>
      </c>
      <c r="C134">
        <v>968.8</v>
      </c>
      <c r="D134">
        <v>33.6</v>
      </c>
      <c r="E134">
        <v>28</v>
      </c>
      <c r="F134">
        <v>23.8</v>
      </c>
      <c r="G134">
        <v>63.1</v>
      </c>
      <c r="H134">
        <v>37</v>
      </c>
      <c r="I134">
        <v>3.8</v>
      </c>
    </row>
    <row r="135" spans="1:9" x14ac:dyDescent="0.2">
      <c r="A135" s="13">
        <v>45415</v>
      </c>
      <c r="B135">
        <v>0</v>
      </c>
      <c r="C135">
        <v>968.8</v>
      </c>
      <c r="D135">
        <v>33.700000000000003</v>
      </c>
      <c r="E135">
        <v>27.8</v>
      </c>
      <c r="F135">
        <v>23.7</v>
      </c>
      <c r="G135">
        <v>65.5</v>
      </c>
      <c r="H135">
        <v>35</v>
      </c>
      <c r="I135">
        <v>3.8</v>
      </c>
    </row>
    <row r="136" spans="1:9" x14ac:dyDescent="0.2">
      <c r="A136" s="13">
        <v>45416</v>
      </c>
      <c r="B136">
        <v>0</v>
      </c>
      <c r="C136">
        <v>970.5</v>
      </c>
      <c r="D136">
        <v>31.5</v>
      </c>
      <c r="E136">
        <v>26.4</v>
      </c>
      <c r="F136">
        <v>22.1</v>
      </c>
      <c r="G136">
        <v>71.2</v>
      </c>
      <c r="H136">
        <v>49</v>
      </c>
      <c r="I136">
        <v>3.6</v>
      </c>
    </row>
    <row r="137" spans="1:9" x14ac:dyDescent="0.2">
      <c r="A137" s="13">
        <v>45417</v>
      </c>
      <c r="B137">
        <v>0</v>
      </c>
      <c r="C137">
        <v>970.6</v>
      </c>
      <c r="D137">
        <v>32.799999999999997</v>
      </c>
      <c r="E137">
        <v>27.3</v>
      </c>
      <c r="F137">
        <v>23.2</v>
      </c>
      <c r="G137">
        <v>63.4</v>
      </c>
      <c r="H137">
        <v>38</v>
      </c>
      <c r="I137">
        <v>3.7</v>
      </c>
    </row>
    <row r="138" spans="1:9" x14ac:dyDescent="0.2">
      <c r="A138" s="13">
        <v>45418</v>
      </c>
      <c r="B138">
        <v>0</v>
      </c>
      <c r="C138">
        <v>969.6</v>
      </c>
      <c r="D138">
        <v>29.5</v>
      </c>
      <c r="E138">
        <v>26.6</v>
      </c>
      <c r="F138">
        <v>24.2</v>
      </c>
      <c r="G138">
        <v>70</v>
      </c>
      <c r="H138">
        <v>50</v>
      </c>
      <c r="I138">
        <v>3.4</v>
      </c>
    </row>
    <row r="139" spans="1:9" x14ac:dyDescent="0.2">
      <c r="A139" s="13">
        <v>45419</v>
      </c>
      <c r="B139">
        <v>0</v>
      </c>
      <c r="C139">
        <v>969.5</v>
      </c>
      <c r="D139">
        <v>32.799999999999997</v>
      </c>
      <c r="E139">
        <v>26.5</v>
      </c>
      <c r="F139">
        <v>22.9</v>
      </c>
      <c r="G139">
        <v>65.099999999999994</v>
      </c>
      <c r="H139">
        <v>44</v>
      </c>
      <c r="I139">
        <v>4</v>
      </c>
    </row>
    <row r="140" spans="1:9" x14ac:dyDescent="0.2">
      <c r="A140" s="13">
        <v>45420</v>
      </c>
      <c r="B140">
        <v>0</v>
      </c>
      <c r="C140">
        <v>970.1</v>
      </c>
      <c r="D140">
        <v>32.200000000000003</v>
      </c>
      <c r="E140">
        <v>26.6</v>
      </c>
      <c r="F140">
        <v>23</v>
      </c>
      <c r="G140">
        <v>70.3</v>
      </c>
      <c r="H140">
        <v>45</v>
      </c>
      <c r="I140">
        <v>3.3</v>
      </c>
    </row>
    <row r="141" spans="1:9" x14ac:dyDescent="0.2">
      <c r="A141" s="13">
        <v>45421</v>
      </c>
      <c r="B141">
        <v>0</v>
      </c>
      <c r="C141">
        <v>970.9</v>
      </c>
      <c r="D141">
        <v>28.1</v>
      </c>
      <c r="E141">
        <v>25.5</v>
      </c>
      <c r="F141">
        <v>23.8</v>
      </c>
      <c r="G141">
        <v>75.400000000000006</v>
      </c>
      <c r="H141">
        <v>58</v>
      </c>
      <c r="I141">
        <v>4</v>
      </c>
    </row>
    <row r="142" spans="1:9" x14ac:dyDescent="0.2">
      <c r="A142" s="13">
        <v>45422</v>
      </c>
      <c r="B142">
        <v>0.8</v>
      </c>
      <c r="C142">
        <v>970.2</v>
      </c>
      <c r="D142">
        <v>33.200000000000003</v>
      </c>
      <c r="E142">
        <v>26.7</v>
      </c>
      <c r="F142">
        <v>21</v>
      </c>
      <c r="G142">
        <v>64.5</v>
      </c>
      <c r="H142">
        <v>34</v>
      </c>
      <c r="I142">
        <v>3.3</v>
      </c>
    </row>
    <row r="143" spans="1:9" x14ac:dyDescent="0.2">
      <c r="A143" s="13">
        <v>45423</v>
      </c>
      <c r="B143">
        <v>0</v>
      </c>
      <c r="C143">
        <v>970.1</v>
      </c>
      <c r="D143">
        <v>33.6</v>
      </c>
      <c r="E143">
        <v>27.2</v>
      </c>
      <c r="F143">
        <v>23.1</v>
      </c>
      <c r="G143">
        <v>67.5</v>
      </c>
      <c r="H143">
        <v>41</v>
      </c>
      <c r="I143">
        <v>3.4</v>
      </c>
    </row>
    <row r="144" spans="1:9" x14ac:dyDescent="0.2">
      <c r="A144" s="13">
        <v>45424</v>
      </c>
      <c r="B144">
        <v>0</v>
      </c>
      <c r="C144">
        <v>970.4</v>
      </c>
      <c r="D144">
        <v>33.9</v>
      </c>
      <c r="E144">
        <v>27.3</v>
      </c>
      <c r="F144">
        <v>23.7</v>
      </c>
      <c r="G144">
        <v>67.099999999999994</v>
      </c>
      <c r="H144">
        <v>37</v>
      </c>
      <c r="I144">
        <v>3.1</v>
      </c>
    </row>
    <row r="145" spans="1:9" x14ac:dyDescent="0.2">
      <c r="A145" s="13">
        <v>45425</v>
      </c>
      <c r="B145">
        <v>0</v>
      </c>
      <c r="C145">
        <v>970.9</v>
      </c>
      <c r="D145">
        <v>34.4</v>
      </c>
      <c r="E145" t="s">
        <v>54</v>
      </c>
      <c r="F145">
        <v>24.1</v>
      </c>
      <c r="G145">
        <v>69.400000000000006</v>
      </c>
      <c r="H145">
        <v>36</v>
      </c>
      <c r="I145">
        <v>2.5</v>
      </c>
    </row>
    <row r="146" spans="1:9" x14ac:dyDescent="0.2">
      <c r="A146" s="13">
        <v>45426</v>
      </c>
      <c r="B146" t="s">
        <v>54</v>
      </c>
      <c r="C146" t="s">
        <v>54</v>
      </c>
      <c r="D146" t="s">
        <v>54</v>
      </c>
      <c r="E146" t="s">
        <v>54</v>
      </c>
      <c r="F146" t="s">
        <v>54</v>
      </c>
      <c r="G146" t="s">
        <v>54</v>
      </c>
      <c r="H146" t="s">
        <v>54</v>
      </c>
      <c r="I146" t="s">
        <v>54</v>
      </c>
    </row>
    <row r="147" spans="1:9" x14ac:dyDescent="0.2">
      <c r="A147" s="13">
        <v>45427</v>
      </c>
      <c r="B147" t="s">
        <v>54</v>
      </c>
      <c r="C147" t="s">
        <v>54</v>
      </c>
      <c r="D147" t="s">
        <v>54</v>
      </c>
      <c r="E147" t="s">
        <v>54</v>
      </c>
      <c r="F147" t="s">
        <v>54</v>
      </c>
      <c r="G147" t="s">
        <v>54</v>
      </c>
      <c r="H147">
        <v>26</v>
      </c>
      <c r="I147" t="s">
        <v>54</v>
      </c>
    </row>
    <row r="148" spans="1:9" x14ac:dyDescent="0.2">
      <c r="A148" s="13">
        <v>45428</v>
      </c>
      <c r="B148" t="s">
        <v>54</v>
      </c>
      <c r="C148">
        <v>971.5</v>
      </c>
      <c r="D148">
        <v>32.799999999999997</v>
      </c>
      <c r="E148" t="s">
        <v>54</v>
      </c>
      <c r="F148">
        <v>20.9</v>
      </c>
      <c r="G148">
        <v>61.9</v>
      </c>
      <c r="H148">
        <v>32</v>
      </c>
      <c r="I148">
        <v>3.3</v>
      </c>
    </row>
    <row r="149" spans="1:9" x14ac:dyDescent="0.2">
      <c r="A149" s="13">
        <v>45429</v>
      </c>
      <c r="B149" t="s">
        <v>54</v>
      </c>
      <c r="C149">
        <v>972.1</v>
      </c>
      <c r="D149">
        <v>32.6</v>
      </c>
      <c r="E149" t="s">
        <v>54</v>
      </c>
      <c r="F149">
        <v>22</v>
      </c>
      <c r="G149">
        <v>65.5</v>
      </c>
      <c r="H149">
        <v>38</v>
      </c>
      <c r="I149">
        <v>3.8</v>
      </c>
    </row>
    <row r="150" spans="1:9" x14ac:dyDescent="0.2">
      <c r="A150" s="13">
        <v>45430</v>
      </c>
      <c r="B150" t="s">
        <v>54</v>
      </c>
      <c r="C150">
        <v>972.1</v>
      </c>
      <c r="D150">
        <v>32.299999999999997</v>
      </c>
      <c r="E150">
        <v>27.2</v>
      </c>
      <c r="F150">
        <v>23.3</v>
      </c>
      <c r="G150">
        <v>65.2</v>
      </c>
      <c r="H150">
        <v>43</v>
      </c>
      <c r="I150">
        <v>3.3</v>
      </c>
    </row>
    <row r="151" spans="1:9" x14ac:dyDescent="0.2">
      <c r="A151" s="13">
        <v>45431</v>
      </c>
      <c r="B151">
        <v>0</v>
      </c>
      <c r="C151" t="s">
        <v>54</v>
      </c>
      <c r="D151" t="s">
        <v>54</v>
      </c>
      <c r="E151" t="s">
        <v>54</v>
      </c>
      <c r="F151">
        <v>22.2</v>
      </c>
      <c r="G151" t="s">
        <v>54</v>
      </c>
      <c r="H151">
        <v>58</v>
      </c>
      <c r="I151" t="s">
        <v>54</v>
      </c>
    </row>
    <row r="152" spans="1:9" x14ac:dyDescent="0.2">
      <c r="A152" s="13">
        <v>45432</v>
      </c>
      <c r="B152" t="s">
        <v>54</v>
      </c>
      <c r="C152">
        <v>972.3</v>
      </c>
      <c r="D152">
        <v>32.299999999999997</v>
      </c>
      <c r="E152">
        <v>26.9</v>
      </c>
      <c r="F152" t="s">
        <v>54</v>
      </c>
      <c r="G152">
        <v>60.8</v>
      </c>
      <c r="H152">
        <v>41</v>
      </c>
      <c r="I152">
        <v>3.3</v>
      </c>
    </row>
    <row r="153" spans="1:9" x14ac:dyDescent="0.2">
      <c r="A153" s="13">
        <v>45433</v>
      </c>
      <c r="B153">
        <v>0</v>
      </c>
      <c r="C153">
        <v>972.7</v>
      </c>
      <c r="D153">
        <v>32.700000000000003</v>
      </c>
      <c r="E153">
        <v>26.8</v>
      </c>
      <c r="F153">
        <v>22</v>
      </c>
      <c r="G153">
        <v>64</v>
      </c>
      <c r="H153">
        <v>41</v>
      </c>
      <c r="I153">
        <v>4</v>
      </c>
    </row>
    <row r="154" spans="1:9" x14ac:dyDescent="0.2">
      <c r="A154" s="13">
        <v>45434</v>
      </c>
      <c r="B154">
        <v>1</v>
      </c>
      <c r="C154">
        <v>973.3</v>
      </c>
      <c r="D154">
        <v>31.9</v>
      </c>
      <c r="E154">
        <v>25.8</v>
      </c>
      <c r="F154">
        <v>21.7</v>
      </c>
      <c r="G154">
        <v>70.599999999999994</v>
      </c>
      <c r="H154">
        <v>36</v>
      </c>
      <c r="I154">
        <v>3.6</v>
      </c>
    </row>
    <row r="155" spans="1:9" x14ac:dyDescent="0.2">
      <c r="A155" s="13">
        <v>45435</v>
      </c>
      <c r="B155" t="s">
        <v>54</v>
      </c>
      <c r="C155" t="s">
        <v>54</v>
      </c>
      <c r="D155" t="s">
        <v>54</v>
      </c>
      <c r="E155" t="s">
        <v>54</v>
      </c>
      <c r="F155" t="s">
        <v>54</v>
      </c>
      <c r="G155" t="s">
        <v>54</v>
      </c>
      <c r="H155">
        <v>62</v>
      </c>
      <c r="I155" t="s">
        <v>54</v>
      </c>
    </row>
    <row r="156" spans="1:9" x14ac:dyDescent="0.2">
      <c r="A156" s="13">
        <v>45436</v>
      </c>
      <c r="B156" t="s">
        <v>54</v>
      </c>
      <c r="C156" t="s">
        <v>54</v>
      </c>
      <c r="D156" t="s">
        <v>54</v>
      </c>
      <c r="E156" t="s">
        <v>54</v>
      </c>
      <c r="F156" t="s">
        <v>54</v>
      </c>
      <c r="G156" t="s">
        <v>54</v>
      </c>
      <c r="H156" t="s">
        <v>54</v>
      </c>
      <c r="I156" t="s">
        <v>54</v>
      </c>
    </row>
    <row r="157" spans="1:9" x14ac:dyDescent="0.2">
      <c r="A157" s="13">
        <v>45437</v>
      </c>
      <c r="B157" t="s">
        <v>54</v>
      </c>
      <c r="C157" t="s">
        <v>54</v>
      </c>
      <c r="D157" t="s">
        <v>54</v>
      </c>
      <c r="E157" t="s">
        <v>54</v>
      </c>
      <c r="F157" t="s">
        <v>54</v>
      </c>
      <c r="G157" t="s">
        <v>54</v>
      </c>
      <c r="H157" t="s">
        <v>54</v>
      </c>
      <c r="I157" t="s">
        <v>54</v>
      </c>
    </row>
    <row r="158" spans="1:9" x14ac:dyDescent="0.2">
      <c r="A158" s="13">
        <v>45438</v>
      </c>
      <c r="B158" t="s">
        <v>54</v>
      </c>
      <c r="C158" t="s">
        <v>54</v>
      </c>
      <c r="D158" t="s">
        <v>54</v>
      </c>
      <c r="E158" t="s">
        <v>54</v>
      </c>
      <c r="F158" t="s">
        <v>54</v>
      </c>
      <c r="G158" t="s">
        <v>54</v>
      </c>
      <c r="H158" t="s">
        <v>54</v>
      </c>
      <c r="I158" t="s">
        <v>54</v>
      </c>
    </row>
    <row r="159" spans="1:9" x14ac:dyDescent="0.2">
      <c r="A159" s="13">
        <v>45439</v>
      </c>
      <c r="B159" t="s">
        <v>54</v>
      </c>
      <c r="C159" t="s">
        <v>54</v>
      </c>
      <c r="D159" t="s">
        <v>54</v>
      </c>
      <c r="E159" t="s">
        <v>54</v>
      </c>
      <c r="F159" t="s">
        <v>54</v>
      </c>
      <c r="G159" t="s">
        <v>54</v>
      </c>
      <c r="H159" t="s">
        <v>54</v>
      </c>
      <c r="I159" t="s">
        <v>54</v>
      </c>
    </row>
    <row r="160" spans="1:9" x14ac:dyDescent="0.2">
      <c r="A160" s="13">
        <v>45440</v>
      </c>
      <c r="B160" t="s">
        <v>54</v>
      </c>
      <c r="C160" t="s">
        <v>54</v>
      </c>
      <c r="D160" t="s">
        <v>54</v>
      </c>
      <c r="E160" t="s">
        <v>54</v>
      </c>
      <c r="F160" t="s">
        <v>54</v>
      </c>
      <c r="G160" t="s">
        <v>54</v>
      </c>
      <c r="H160" t="s">
        <v>54</v>
      </c>
      <c r="I160" t="s">
        <v>54</v>
      </c>
    </row>
    <row r="161" spans="1:9" x14ac:dyDescent="0.2">
      <c r="A161" s="13">
        <v>45441</v>
      </c>
      <c r="B161" t="s">
        <v>54</v>
      </c>
      <c r="C161">
        <v>973</v>
      </c>
      <c r="D161">
        <v>32.200000000000003</v>
      </c>
      <c r="E161">
        <v>26.5</v>
      </c>
      <c r="F161" t="s">
        <v>54</v>
      </c>
      <c r="G161">
        <v>57.1</v>
      </c>
      <c r="H161">
        <v>33</v>
      </c>
      <c r="I161">
        <v>2.8</v>
      </c>
    </row>
    <row r="162" spans="1:9" x14ac:dyDescent="0.2">
      <c r="A162" s="13">
        <v>45442</v>
      </c>
      <c r="B162">
        <v>0</v>
      </c>
      <c r="C162">
        <v>972.8</v>
      </c>
      <c r="D162">
        <v>32.6</v>
      </c>
      <c r="E162">
        <v>26.5</v>
      </c>
      <c r="F162">
        <v>21.4</v>
      </c>
      <c r="G162">
        <v>62.2</v>
      </c>
      <c r="H162">
        <v>36</v>
      </c>
      <c r="I162">
        <v>3.3</v>
      </c>
    </row>
    <row r="163" spans="1:9" x14ac:dyDescent="0.2">
      <c r="A163" s="13">
        <v>45443</v>
      </c>
      <c r="B163">
        <v>0</v>
      </c>
      <c r="C163">
        <v>973.8</v>
      </c>
      <c r="D163">
        <v>31.6</v>
      </c>
      <c r="E163">
        <v>26.4</v>
      </c>
      <c r="F163">
        <v>22.6</v>
      </c>
      <c r="G163">
        <v>60.5</v>
      </c>
      <c r="H163">
        <v>38</v>
      </c>
      <c r="I163">
        <v>4.0999999999999996</v>
      </c>
    </row>
    <row r="164" spans="1:9" x14ac:dyDescent="0.2">
      <c r="A164" s="13">
        <v>45444</v>
      </c>
      <c r="B164">
        <v>0</v>
      </c>
      <c r="C164">
        <v>974.4</v>
      </c>
      <c r="D164">
        <v>31.5</v>
      </c>
      <c r="E164">
        <v>26.2</v>
      </c>
      <c r="F164">
        <v>21.7</v>
      </c>
      <c r="G164">
        <v>57.8</v>
      </c>
      <c r="H164">
        <v>34</v>
      </c>
      <c r="I164">
        <v>4.2</v>
      </c>
    </row>
    <row r="165" spans="1:9" x14ac:dyDescent="0.2">
      <c r="A165" s="13">
        <v>45445</v>
      </c>
      <c r="B165">
        <v>0</v>
      </c>
      <c r="C165">
        <v>974.2</v>
      </c>
      <c r="D165">
        <v>30.9</v>
      </c>
      <c r="E165">
        <v>24.9</v>
      </c>
      <c r="F165">
        <v>22.3</v>
      </c>
      <c r="G165">
        <v>77</v>
      </c>
      <c r="H165">
        <v>50</v>
      </c>
      <c r="I165">
        <v>4.0999999999999996</v>
      </c>
    </row>
    <row r="166" spans="1:9" x14ac:dyDescent="0.2">
      <c r="A166" s="13">
        <v>45446</v>
      </c>
      <c r="B166" t="s">
        <v>54</v>
      </c>
      <c r="C166" t="s">
        <v>54</v>
      </c>
      <c r="D166" t="s">
        <v>54</v>
      </c>
      <c r="E166" t="s">
        <v>54</v>
      </c>
      <c r="F166">
        <v>21.3</v>
      </c>
      <c r="G166" t="s">
        <v>54</v>
      </c>
      <c r="H166">
        <v>86</v>
      </c>
      <c r="I166" t="s">
        <v>54</v>
      </c>
    </row>
    <row r="167" spans="1:9" x14ac:dyDescent="0.2">
      <c r="A167" s="13">
        <v>45447</v>
      </c>
      <c r="B167" t="s">
        <v>54</v>
      </c>
      <c r="C167" t="s">
        <v>54</v>
      </c>
      <c r="D167" t="s">
        <v>54</v>
      </c>
      <c r="E167" t="s">
        <v>54</v>
      </c>
      <c r="F167" t="s">
        <v>54</v>
      </c>
      <c r="G167" t="s">
        <v>54</v>
      </c>
      <c r="H167" t="s">
        <v>54</v>
      </c>
      <c r="I167" t="s">
        <v>54</v>
      </c>
    </row>
    <row r="168" spans="1:9" x14ac:dyDescent="0.2">
      <c r="A168" s="13">
        <v>45448</v>
      </c>
      <c r="B168" t="s">
        <v>54</v>
      </c>
      <c r="C168" t="s">
        <v>54</v>
      </c>
      <c r="D168" t="s">
        <v>54</v>
      </c>
      <c r="E168" t="s">
        <v>54</v>
      </c>
      <c r="F168" t="s">
        <v>54</v>
      </c>
      <c r="G168" t="s">
        <v>54</v>
      </c>
      <c r="H168" t="s">
        <v>54</v>
      </c>
      <c r="I168" t="s">
        <v>54</v>
      </c>
    </row>
    <row r="169" spans="1:9" x14ac:dyDescent="0.2">
      <c r="A169" s="13">
        <v>45449</v>
      </c>
      <c r="B169" t="s">
        <v>54</v>
      </c>
      <c r="C169" t="s">
        <v>54</v>
      </c>
      <c r="D169" t="s">
        <v>54</v>
      </c>
      <c r="E169" t="s">
        <v>54</v>
      </c>
      <c r="F169" t="s">
        <v>54</v>
      </c>
      <c r="G169" t="s">
        <v>54</v>
      </c>
      <c r="H169" t="s">
        <v>54</v>
      </c>
      <c r="I169" t="s">
        <v>54</v>
      </c>
    </row>
    <row r="170" spans="1:9" x14ac:dyDescent="0.2">
      <c r="A170" s="13">
        <v>45450</v>
      </c>
      <c r="B170" t="s">
        <v>54</v>
      </c>
      <c r="C170" t="s">
        <v>54</v>
      </c>
      <c r="D170" t="s">
        <v>54</v>
      </c>
      <c r="E170" t="s">
        <v>54</v>
      </c>
      <c r="F170" t="s">
        <v>54</v>
      </c>
      <c r="G170" t="s">
        <v>54</v>
      </c>
      <c r="H170" t="s">
        <v>54</v>
      </c>
      <c r="I170" t="s">
        <v>54</v>
      </c>
    </row>
    <row r="171" spans="1:9" x14ac:dyDescent="0.2">
      <c r="A171" s="13">
        <v>45451</v>
      </c>
      <c r="B171" t="s">
        <v>54</v>
      </c>
      <c r="C171" t="s">
        <v>54</v>
      </c>
      <c r="D171" t="s">
        <v>54</v>
      </c>
      <c r="E171" t="s">
        <v>54</v>
      </c>
      <c r="F171" t="s">
        <v>54</v>
      </c>
      <c r="G171" t="s">
        <v>54</v>
      </c>
      <c r="H171" t="s">
        <v>54</v>
      </c>
      <c r="I171" t="s">
        <v>54</v>
      </c>
    </row>
    <row r="172" spans="1:9" x14ac:dyDescent="0.2">
      <c r="A172" s="13">
        <v>45452</v>
      </c>
      <c r="B172" t="s">
        <v>54</v>
      </c>
      <c r="C172" t="s">
        <v>54</v>
      </c>
      <c r="D172" t="s">
        <v>54</v>
      </c>
      <c r="E172" t="s">
        <v>54</v>
      </c>
      <c r="F172" t="s">
        <v>54</v>
      </c>
      <c r="G172" t="s">
        <v>54</v>
      </c>
      <c r="H172" t="s">
        <v>54</v>
      </c>
      <c r="I172" t="s">
        <v>54</v>
      </c>
    </row>
    <row r="173" spans="1:9" x14ac:dyDescent="0.2">
      <c r="A173" s="13">
        <v>45453</v>
      </c>
      <c r="B173" t="s">
        <v>54</v>
      </c>
      <c r="C173" t="s">
        <v>54</v>
      </c>
      <c r="D173" t="s">
        <v>54</v>
      </c>
      <c r="E173" t="s">
        <v>54</v>
      </c>
      <c r="F173" t="s">
        <v>54</v>
      </c>
      <c r="G173" t="s">
        <v>54</v>
      </c>
      <c r="H173" t="s">
        <v>54</v>
      </c>
      <c r="I173" t="s">
        <v>54</v>
      </c>
    </row>
    <row r="174" spans="1:9" x14ac:dyDescent="0.2">
      <c r="A174" s="13">
        <v>45454</v>
      </c>
      <c r="B174" t="s">
        <v>54</v>
      </c>
      <c r="C174" t="s">
        <v>54</v>
      </c>
      <c r="D174" t="s">
        <v>54</v>
      </c>
      <c r="E174" t="s">
        <v>54</v>
      </c>
      <c r="F174" t="s">
        <v>54</v>
      </c>
      <c r="G174" t="s">
        <v>54</v>
      </c>
      <c r="H174" t="s">
        <v>54</v>
      </c>
      <c r="I174" t="s">
        <v>54</v>
      </c>
    </row>
    <row r="175" spans="1:9" x14ac:dyDescent="0.2">
      <c r="A175" s="13">
        <v>45455</v>
      </c>
      <c r="B175" t="s">
        <v>54</v>
      </c>
      <c r="C175" t="s">
        <v>54</v>
      </c>
      <c r="D175" t="s">
        <v>54</v>
      </c>
      <c r="E175" t="s">
        <v>54</v>
      </c>
      <c r="F175" t="s">
        <v>54</v>
      </c>
      <c r="G175" t="s">
        <v>54</v>
      </c>
      <c r="H175" t="s">
        <v>54</v>
      </c>
      <c r="I175" t="s">
        <v>54</v>
      </c>
    </row>
    <row r="176" spans="1:9" x14ac:dyDescent="0.2">
      <c r="A176" s="13">
        <v>45456</v>
      </c>
      <c r="B176" t="s">
        <v>54</v>
      </c>
      <c r="C176" t="s">
        <v>54</v>
      </c>
      <c r="D176" t="s">
        <v>54</v>
      </c>
      <c r="E176" t="s">
        <v>54</v>
      </c>
      <c r="F176" t="s">
        <v>54</v>
      </c>
      <c r="G176" t="s">
        <v>54</v>
      </c>
      <c r="H176" t="s">
        <v>54</v>
      </c>
      <c r="I176" t="s">
        <v>54</v>
      </c>
    </row>
    <row r="177" spans="1:9" x14ac:dyDescent="0.2">
      <c r="A177" s="13">
        <v>45457</v>
      </c>
      <c r="B177" t="s">
        <v>54</v>
      </c>
      <c r="C177" t="s">
        <v>54</v>
      </c>
      <c r="D177" t="s">
        <v>54</v>
      </c>
      <c r="E177" t="s">
        <v>54</v>
      </c>
      <c r="F177" t="s">
        <v>54</v>
      </c>
      <c r="G177" t="s">
        <v>54</v>
      </c>
      <c r="H177" t="s">
        <v>54</v>
      </c>
      <c r="I177" t="s">
        <v>54</v>
      </c>
    </row>
    <row r="178" spans="1:9" x14ac:dyDescent="0.2">
      <c r="A178" s="13">
        <v>45458</v>
      </c>
      <c r="B178" t="s">
        <v>54</v>
      </c>
      <c r="C178" t="s">
        <v>54</v>
      </c>
      <c r="D178" t="s">
        <v>54</v>
      </c>
      <c r="E178" t="s">
        <v>54</v>
      </c>
      <c r="F178" t="s">
        <v>54</v>
      </c>
      <c r="G178" t="s">
        <v>54</v>
      </c>
      <c r="H178" t="s">
        <v>54</v>
      </c>
      <c r="I178" t="s">
        <v>54</v>
      </c>
    </row>
    <row r="179" spans="1:9" x14ac:dyDescent="0.2">
      <c r="A179" s="13">
        <v>45459</v>
      </c>
      <c r="B179" t="s">
        <v>54</v>
      </c>
      <c r="C179" t="s">
        <v>54</v>
      </c>
      <c r="D179" t="s">
        <v>54</v>
      </c>
      <c r="E179" t="s">
        <v>54</v>
      </c>
      <c r="F179" t="s">
        <v>54</v>
      </c>
      <c r="G179" t="s">
        <v>54</v>
      </c>
      <c r="H179" t="s">
        <v>54</v>
      </c>
      <c r="I179" t="s">
        <v>54</v>
      </c>
    </row>
    <row r="180" spans="1:9" x14ac:dyDescent="0.2">
      <c r="A180" s="13">
        <v>45460</v>
      </c>
      <c r="B180" t="s">
        <v>54</v>
      </c>
      <c r="C180" t="s">
        <v>54</v>
      </c>
      <c r="D180" t="s">
        <v>54</v>
      </c>
      <c r="E180" t="s">
        <v>54</v>
      </c>
      <c r="F180" t="s">
        <v>54</v>
      </c>
      <c r="G180" t="s">
        <v>54</v>
      </c>
      <c r="H180" t="s">
        <v>54</v>
      </c>
      <c r="I180" t="s">
        <v>54</v>
      </c>
    </row>
    <row r="181" spans="1:9" x14ac:dyDescent="0.2">
      <c r="A181" s="13">
        <v>45461</v>
      </c>
      <c r="B181" t="s">
        <v>54</v>
      </c>
      <c r="C181" t="s">
        <v>54</v>
      </c>
      <c r="D181" t="s">
        <v>54</v>
      </c>
      <c r="E181" t="s">
        <v>54</v>
      </c>
      <c r="F181" t="s">
        <v>54</v>
      </c>
      <c r="G181" t="s">
        <v>54</v>
      </c>
      <c r="H181" t="s">
        <v>54</v>
      </c>
      <c r="I181" t="s">
        <v>54</v>
      </c>
    </row>
    <row r="182" spans="1:9" x14ac:dyDescent="0.2">
      <c r="A182" s="13">
        <v>45462</v>
      </c>
      <c r="B182" t="s">
        <v>54</v>
      </c>
      <c r="C182" t="s">
        <v>54</v>
      </c>
      <c r="D182" t="s">
        <v>54</v>
      </c>
      <c r="E182" t="s">
        <v>54</v>
      </c>
      <c r="F182" t="s">
        <v>54</v>
      </c>
      <c r="G182" t="s">
        <v>54</v>
      </c>
      <c r="H182" t="s">
        <v>54</v>
      </c>
      <c r="I182" t="s">
        <v>54</v>
      </c>
    </row>
    <row r="183" spans="1:9" x14ac:dyDescent="0.2">
      <c r="A183" s="13">
        <v>45463</v>
      </c>
      <c r="B183" t="s">
        <v>54</v>
      </c>
      <c r="C183" t="s">
        <v>54</v>
      </c>
      <c r="D183" t="s">
        <v>54</v>
      </c>
      <c r="E183" t="s">
        <v>54</v>
      </c>
      <c r="F183" t="s">
        <v>54</v>
      </c>
      <c r="G183" t="s">
        <v>54</v>
      </c>
      <c r="H183" t="s">
        <v>54</v>
      </c>
      <c r="I183" t="s">
        <v>54</v>
      </c>
    </row>
    <row r="184" spans="1:9" x14ac:dyDescent="0.2">
      <c r="A184" s="13">
        <v>45464</v>
      </c>
      <c r="B184" t="s">
        <v>54</v>
      </c>
      <c r="C184" t="s">
        <v>54</v>
      </c>
      <c r="D184" t="s">
        <v>54</v>
      </c>
      <c r="E184" t="s">
        <v>54</v>
      </c>
      <c r="F184" t="s">
        <v>54</v>
      </c>
      <c r="G184" t="s">
        <v>54</v>
      </c>
      <c r="H184" t="s">
        <v>54</v>
      </c>
      <c r="I184" t="s">
        <v>54</v>
      </c>
    </row>
    <row r="185" spans="1:9" x14ac:dyDescent="0.2">
      <c r="A185" s="13">
        <v>45465</v>
      </c>
      <c r="B185" t="s">
        <v>54</v>
      </c>
      <c r="C185" t="s">
        <v>54</v>
      </c>
      <c r="D185" t="s">
        <v>54</v>
      </c>
      <c r="E185" t="s">
        <v>54</v>
      </c>
      <c r="F185" t="s">
        <v>54</v>
      </c>
      <c r="G185" t="s">
        <v>54</v>
      </c>
      <c r="H185" t="s">
        <v>54</v>
      </c>
      <c r="I185" t="s">
        <v>54</v>
      </c>
    </row>
    <row r="186" spans="1:9" x14ac:dyDescent="0.2">
      <c r="A186" s="13">
        <v>45466</v>
      </c>
      <c r="B186" t="s">
        <v>54</v>
      </c>
      <c r="C186" t="s">
        <v>54</v>
      </c>
      <c r="D186" t="s">
        <v>54</v>
      </c>
      <c r="E186" t="s">
        <v>54</v>
      </c>
      <c r="F186" t="s">
        <v>54</v>
      </c>
      <c r="G186" t="s">
        <v>54</v>
      </c>
      <c r="H186" t="s">
        <v>54</v>
      </c>
      <c r="I186" t="s">
        <v>54</v>
      </c>
    </row>
    <row r="187" spans="1:9" x14ac:dyDescent="0.2">
      <c r="A187" s="13">
        <v>45467</v>
      </c>
      <c r="B187" t="s">
        <v>54</v>
      </c>
      <c r="C187" t="s">
        <v>54</v>
      </c>
      <c r="D187" t="s">
        <v>54</v>
      </c>
      <c r="E187" t="s">
        <v>54</v>
      </c>
      <c r="F187" t="s">
        <v>54</v>
      </c>
      <c r="G187" t="s">
        <v>54</v>
      </c>
      <c r="H187" t="s">
        <v>54</v>
      </c>
      <c r="I187" t="s">
        <v>54</v>
      </c>
    </row>
    <row r="188" spans="1:9" x14ac:dyDescent="0.2">
      <c r="A188" s="13">
        <v>45468</v>
      </c>
      <c r="B188" t="s">
        <v>54</v>
      </c>
      <c r="C188" t="s">
        <v>54</v>
      </c>
      <c r="D188" t="s">
        <v>54</v>
      </c>
      <c r="E188" t="s">
        <v>54</v>
      </c>
      <c r="F188" t="s">
        <v>54</v>
      </c>
      <c r="G188" t="s">
        <v>54</v>
      </c>
      <c r="H188" t="s">
        <v>54</v>
      </c>
      <c r="I188" t="s">
        <v>54</v>
      </c>
    </row>
    <row r="189" spans="1:9" x14ac:dyDescent="0.2">
      <c r="A189" s="13">
        <v>45469</v>
      </c>
      <c r="B189" t="s">
        <v>54</v>
      </c>
      <c r="C189" t="s">
        <v>54</v>
      </c>
      <c r="D189" t="s">
        <v>54</v>
      </c>
      <c r="E189" t="s">
        <v>54</v>
      </c>
      <c r="F189" t="s">
        <v>54</v>
      </c>
      <c r="G189" t="s">
        <v>54</v>
      </c>
      <c r="H189" t="s">
        <v>54</v>
      </c>
      <c r="I189" t="s">
        <v>54</v>
      </c>
    </row>
    <row r="190" spans="1:9" x14ac:dyDescent="0.2">
      <c r="A190" s="13">
        <v>45470</v>
      </c>
      <c r="B190" t="s">
        <v>54</v>
      </c>
      <c r="C190" t="s">
        <v>54</v>
      </c>
      <c r="D190" t="s">
        <v>54</v>
      </c>
      <c r="E190" t="s">
        <v>54</v>
      </c>
      <c r="F190" t="s">
        <v>54</v>
      </c>
      <c r="G190" t="s">
        <v>54</v>
      </c>
      <c r="H190" t="s">
        <v>54</v>
      </c>
      <c r="I190" t="s">
        <v>54</v>
      </c>
    </row>
    <row r="191" spans="1:9" x14ac:dyDescent="0.2">
      <c r="A191" s="13">
        <v>45471</v>
      </c>
      <c r="B191" t="s">
        <v>54</v>
      </c>
      <c r="C191" t="s">
        <v>54</v>
      </c>
      <c r="D191" t="s">
        <v>54</v>
      </c>
      <c r="E191" t="s">
        <v>54</v>
      </c>
      <c r="F191" t="s">
        <v>54</v>
      </c>
      <c r="G191" t="s">
        <v>54</v>
      </c>
      <c r="H191" t="s">
        <v>54</v>
      </c>
      <c r="I191" t="s">
        <v>54</v>
      </c>
    </row>
    <row r="192" spans="1:9" x14ac:dyDescent="0.2">
      <c r="A192" s="13">
        <v>45472</v>
      </c>
      <c r="B192" t="s">
        <v>54</v>
      </c>
      <c r="C192" t="s">
        <v>54</v>
      </c>
      <c r="D192" t="s">
        <v>54</v>
      </c>
      <c r="E192" t="s">
        <v>54</v>
      </c>
      <c r="F192" t="s">
        <v>54</v>
      </c>
      <c r="G192" t="s">
        <v>54</v>
      </c>
      <c r="H192">
        <v>46</v>
      </c>
      <c r="I192" t="s">
        <v>54</v>
      </c>
    </row>
    <row r="193" spans="1:9" x14ac:dyDescent="0.2">
      <c r="A193" s="13">
        <v>45473</v>
      </c>
      <c r="B193" t="s">
        <v>54</v>
      </c>
      <c r="C193" t="s">
        <v>54</v>
      </c>
      <c r="D193" t="s">
        <v>54</v>
      </c>
      <c r="E193" t="s">
        <v>54</v>
      </c>
      <c r="F193" t="s">
        <v>54</v>
      </c>
      <c r="G193" t="s">
        <v>54</v>
      </c>
      <c r="H193">
        <v>27</v>
      </c>
      <c r="I193" t="s">
        <v>54</v>
      </c>
    </row>
    <row r="194" spans="1:9" x14ac:dyDescent="0.2">
      <c r="A194" s="13">
        <v>45474</v>
      </c>
      <c r="B194" t="s">
        <v>54</v>
      </c>
      <c r="C194">
        <v>973.4</v>
      </c>
      <c r="D194">
        <v>32.5</v>
      </c>
      <c r="E194">
        <v>25.7</v>
      </c>
      <c r="F194">
        <v>20</v>
      </c>
      <c r="G194">
        <v>55.5</v>
      </c>
      <c r="H194">
        <v>31</v>
      </c>
      <c r="I194">
        <v>3.2</v>
      </c>
    </row>
    <row r="195" spans="1:9" x14ac:dyDescent="0.2">
      <c r="A195" s="13">
        <v>45475</v>
      </c>
      <c r="B195">
        <v>0</v>
      </c>
      <c r="C195">
        <v>974.4</v>
      </c>
      <c r="D195">
        <v>31.4</v>
      </c>
      <c r="E195">
        <v>25.4</v>
      </c>
      <c r="F195">
        <v>20.6</v>
      </c>
      <c r="G195">
        <v>57.7</v>
      </c>
      <c r="H195">
        <v>32</v>
      </c>
      <c r="I195">
        <v>3.8</v>
      </c>
    </row>
    <row r="196" spans="1:9" x14ac:dyDescent="0.2">
      <c r="A196" s="13">
        <v>45476</v>
      </c>
      <c r="B196">
        <v>0</v>
      </c>
      <c r="C196">
        <v>973.3</v>
      </c>
      <c r="D196">
        <v>30.9</v>
      </c>
      <c r="E196">
        <v>24.9</v>
      </c>
      <c r="F196">
        <v>19.2</v>
      </c>
      <c r="G196">
        <v>55.8</v>
      </c>
      <c r="H196">
        <v>37</v>
      </c>
      <c r="I196">
        <v>3.7</v>
      </c>
    </row>
    <row r="197" spans="1:9" x14ac:dyDescent="0.2">
      <c r="A197" s="13">
        <v>45477</v>
      </c>
      <c r="B197">
        <v>0</v>
      </c>
      <c r="C197">
        <v>972.1</v>
      </c>
      <c r="D197">
        <v>30.7</v>
      </c>
      <c r="E197">
        <v>25.1</v>
      </c>
      <c r="F197">
        <v>20.2</v>
      </c>
      <c r="G197">
        <v>57.9</v>
      </c>
      <c r="H197">
        <v>32</v>
      </c>
      <c r="I197">
        <v>3.7</v>
      </c>
    </row>
    <row r="198" spans="1:9" x14ac:dyDescent="0.2">
      <c r="A198" s="13">
        <v>45478</v>
      </c>
      <c r="B198">
        <v>0</v>
      </c>
      <c r="C198">
        <v>973.7</v>
      </c>
      <c r="D198">
        <v>31.3</v>
      </c>
      <c r="E198">
        <v>25.6</v>
      </c>
      <c r="F198">
        <v>20.3</v>
      </c>
      <c r="G198">
        <v>57.8</v>
      </c>
      <c r="H198">
        <v>37</v>
      </c>
      <c r="I198">
        <v>3.8</v>
      </c>
    </row>
    <row r="199" spans="1:9" x14ac:dyDescent="0.2">
      <c r="A199" s="13">
        <v>45479</v>
      </c>
      <c r="B199">
        <v>0</v>
      </c>
      <c r="C199">
        <v>974.6</v>
      </c>
      <c r="D199">
        <v>30.3</v>
      </c>
      <c r="E199">
        <v>25.1</v>
      </c>
      <c r="F199">
        <v>21.4</v>
      </c>
      <c r="G199">
        <v>70.7</v>
      </c>
      <c r="H199">
        <v>51</v>
      </c>
      <c r="I199">
        <v>3.5</v>
      </c>
    </row>
    <row r="200" spans="1:9" x14ac:dyDescent="0.2">
      <c r="A200" s="13">
        <v>45480</v>
      </c>
      <c r="B200">
        <v>0</v>
      </c>
      <c r="C200" t="s">
        <v>54</v>
      </c>
      <c r="D200" t="s">
        <v>54</v>
      </c>
      <c r="E200" t="s">
        <v>54</v>
      </c>
      <c r="F200">
        <v>22.1</v>
      </c>
      <c r="G200">
        <v>75.5</v>
      </c>
      <c r="H200">
        <v>59</v>
      </c>
      <c r="I200" t="s">
        <v>54</v>
      </c>
    </row>
    <row r="201" spans="1:9" x14ac:dyDescent="0.2">
      <c r="A201" s="13">
        <v>45481</v>
      </c>
      <c r="B201" t="s">
        <v>54</v>
      </c>
      <c r="C201" t="s">
        <v>54</v>
      </c>
      <c r="D201" t="s">
        <v>54</v>
      </c>
      <c r="E201" t="s">
        <v>54</v>
      </c>
      <c r="F201" t="s">
        <v>54</v>
      </c>
      <c r="G201" t="s">
        <v>54</v>
      </c>
      <c r="H201" t="s">
        <v>54</v>
      </c>
      <c r="I201" t="s">
        <v>54</v>
      </c>
    </row>
    <row r="202" spans="1:9" x14ac:dyDescent="0.2">
      <c r="A202" s="13">
        <v>45482</v>
      </c>
      <c r="B202" t="s">
        <v>54</v>
      </c>
      <c r="C202" t="s">
        <v>54</v>
      </c>
      <c r="D202" t="s">
        <v>54</v>
      </c>
      <c r="E202" t="s">
        <v>54</v>
      </c>
      <c r="F202" t="s">
        <v>54</v>
      </c>
      <c r="G202" t="s">
        <v>54</v>
      </c>
      <c r="H202" t="s">
        <v>54</v>
      </c>
      <c r="I202" t="s">
        <v>54</v>
      </c>
    </row>
    <row r="203" spans="1:9" x14ac:dyDescent="0.2">
      <c r="A203" s="13">
        <v>45483</v>
      </c>
      <c r="B203" t="s">
        <v>54</v>
      </c>
      <c r="C203">
        <v>972.5</v>
      </c>
      <c r="D203">
        <v>32</v>
      </c>
      <c r="E203">
        <v>24.8</v>
      </c>
      <c r="F203" t="s">
        <v>54</v>
      </c>
      <c r="G203">
        <v>71.7</v>
      </c>
      <c r="H203">
        <v>42</v>
      </c>
      <c r="I203">
        <v>3.6</v>
      </c>
    </row>
    <row r="204" spans="1:9" x14ac:dyDescent="0.2">
      <c r="A204" s="13">
        <v>45484</v>
      </c>
      <c r="B204">
        <v>21.6</v>
      </c>
      <c r="C204">
        <v>974.5</v>
      </c>
      <c r="D204">
        <v>30.2</v>
      </c>
      <c r="E204">
        <v>24.6</v>
      </c>
      <c r="F204">
        <v>21</v>
      </c>
      <c r="G204">
        <v>66.8</v>
      </c>
      <c r="H204">
        <v>31</v>
      </c>
      <c r="I204">
        <v>3.5</v>
      </c>
    </row>
    <row r="205" spans="1:9" x14ac:dyDescent="0.2">
      <c r="A205" s="13">
        <v>45485</v>
      </c>
      <c r="B205">
        <v>0</v>
      </c>
      <c r="C205">
        <v>975.4</v>
      </c>
      <c r="D205">
        <v>29.7</v>
      </c>
      <c r="E205" t="s">
        <v>54</v>
      </c>
      <c r="F205">
        <v>20.3</v>
      </c>
      <c r="G205">
        <v>66.7</v>
      </c>
      <c r="H205">
        <v>45</v>
      </c>
      <c r="I205">
        <v>3.8</v>
      </c>
    </row>
    <row r="206" spans="1:9" x14ac:dyDescent="0.2">
      <c r="A206" s="13">
        <v>45486</v>
      </c>
      <c r="B206" t="s">
        <v>54</v>
      </c>
      <c r="C206" t="s">
        <v>54</v>
      </c>
      <c r="D206" t="s">
        <v>54</v>
      </c>
      <c r="E206" t="s">
        <v>54</v>
      </c>
      <c r="F206" t="s">
        <v>54</v>
      </c>
      <c r="G206" t="s">
        <v>54</v>
      </c>
      <c r="H206" t="s">
        <v>54</v>
      </c>
      <c r="I206" t="s">
        <v>54</v>
      </c>
    </row>
    <row r="207" spans="1:9" x14ac:dyDescent="0.2">
      <c r="A207" s="13">
        <v>45487</v>
      </c>
      <c r="B207" t="s">
        <v>54</v>
      </c>
      <c r="C207" t="s">
        <v>54</v>
      </c>
      <c r="D207" t="s">
        <v>54</v>
      </c>
      <c r="E207" t="s">
        <v>54</v>
      </c>
      <c r="F207" t="s">
        <v>54</v>
      </c>
      <c r="G207" t="s">
        <v>54</v>
      </c>
      <c r="H207" t="s">
        <v>54</v>
      </c>
      <c r="I207" t="s">
        <v>54</v>
      </c>
    </row>
    <row r="208" spans="1:9" x14ac:dyDescent="0.2">
      <c r="A208" s="13">
        <v>45488</v>
      </c>
      <c r="B208" t="s">
        <v>54</v>
      </c>
      <c r="C208" t="s">
        <v>54</v>
      </c>
      <c r="D208" t="s">
        <v>54</v>
      </c>
      <c r="E208" t="s">
        <v>54</v>
      </c>
      <c r="F208" t="s">
        <v>54</v>
      </c>
      <c r="G208" t="s">
        <v>54</v>
      </c>
      <c r="H208" t="s">
        <v>54</v>
      </c>
      <c r="I208" t="s">
        <v>54</v>
      </c>
    </row>
    <row r="209" spans="1:9" x14ac:dyDescent="0.2">
      <c r="A209" s="13">
        <v>45489</v>
      </c>
      <c r="B209" t="s">
        <v>54</v>
      </c>
      <c r="C209" t="s">
        <v>54</v>
      </c>
      <c r="D209" t="s">
        <v>54</v>
      </c>
      <c r="E209" t="s">
        <v>54</v>
      </c>
      <c r="F209" t="s">
        <v>54</v>
      </c>
      <c r="G209" t="s">
        <v>54</v>
      </c>
      <c r="H209" t="s">
        <v>54</v>
      </c>
      <c r="I209" t="s">
        <v>54</v>
      </c>
    </row>
    <row r="210" spans="1:9" x14ac:dyDescent="0.2">
      <c r="A210" s="13">
        <v>45490</v>
      </c>
      <c r="B210" t="s">
        <v>54</v>
      </c>
      <c r="C210" t="s">
        <v>54</v>
      </c>
      <c r="D210" t="s">
        <v>54</v>
      </c>
      <c r="E210" t="s">
        <v>54</v>
      </c>
      <c r="F210" t="s">
        <v>54</v>
      </c>
      <c r="G210" t="s">
        <v>54</v>
      </c>
      <c r="H210" t="s">
        <v>54</v>
      </c>
      <c r="I210" t="s">
        <v>54</v>
      </c>
    </row>
    <row r="211" spans="1:9" x14ac:dyDescent="0.2">
      <c r="A211" s="13">
        <v>45491</v>
      </c>
      <c r="B211" t="s">
        <v>54</v>
      </c>
      <c r="C211" t="s">
        <v>54</v>
      </c>
      <c r="D211" t="s">
        <v>54</v>
      </c>
      <c r="E211" t="s">
        <v>54</v>
      </c>
      <c r="F211" t="s">
        <v>54</v>
      </c>
      <c r="G211" t="s">
        <v>54</v>
      </c>
      <c r="H211" t="s">
        <v>54</v>
      </c>
      <c r="I211" t="s">
        <v>54</v>
      </c>
    </row>
    <row r="212" spans="1:9" x14ac:dyDescent="0.2">
      <c r="A212" s="13">
        <v>45492</v>
      </c>
      <c r="B212" t="s">
        <v>54</v>
      </c>
      <c r="C212" t="s">
        <v>54</v>
      </c>
      <c r="D212" t="s">
        <v>54</v>
      </c>
      <c r="E212" t="s">
        <v>54</v>
      </c>
      <c r="F212" t="s">
        <v>54</v>
      </c>
      <c r="G212" t="s">
        <v>54</v>
      </c>
      <c r="H212" t="s">
        <v>54</v>
      </c>
      <c r="I212" t="s">
        <v>54</v>
      </c>
    </row>
    <row r="213" spans="1:9" x14ac:dyDescent="0.2">
      <c r="A213" s="13">
        <v>45493</v>
      </c>
      <c r="B213" t="s">
        <v>54</v>
      </c>
      <c r="C213" t="s">
        <v>54</v>
      </c>
      <c r="D213" t="s">
        <v>54</v>
      </c>
      <c r="E213" t="s">
        <v>54</v>
      </c>
      <c r="F213" t="s">
        <v>54</v>
      </c>
      <c r="G213" t="s">
        <v>54</v>
      </c>
      <c r="H213" t="s">
        <v>54</v>
      </c>
      <c r="I213" t="s">
        <v>54</v>
      </c>
    </row>
    <row r="214" spans="1:9" x14ac:dyDescent="0.2">
      <c r="A214" s="13">
        <v>45494</v>
      </c>
      <c r="B214" t="s">
        <v>54</v>
      </c>
      <c r="C214" t="s">
        <v>54</v>
      </c>
      <c r="D214" t="s">
        <v>54</v>
      </c>
      <c r="E214" t="s">
        <v>54</v>
      </c>
      <c r="F214" t="s">
        <v>54</v>
      </c>
      <c r="G214" t="s">
        <v>54</v>
      </c>
      <c r="H214" t="s">
        <v>54</v>
      </c>
      <c r="I214" t="s">
        <v>54</v>
      </c>
    </row>
    <row r="215" spans="1:9" x14ac:dyDescent="0.2">
      <c r="A215" s="13">
        <v>45495</v>
      </c>
      <c r="B215" t="s">
        <v>54</v>
      </c>
      <c r="C215" t="s">
        <v>54</v>
      </c>
      <c r="D215" t="s">
        <v>54</v>
      </c>
      <c r="E215" t="s">
        <v>54</v>
      </c>
      <c r="F215" t="s">
        <v>54</v>
      </c>
      <c r="G215" t="s">
        <v>54</v>
      </c>
      <c r="H215" t="s">
        <v>54</v>
      </c>
      <c r="I215" t="s">
        <v>54</v>
      </c>
    </row>
    <row r="216" spans="1:9" x14ac:dyDescent="0.2">
      <c r="A216" s="13">
        <v>45496</v>
      </c>
      <c r="B216" t="s">
        <v>54</v>
      </c>
      <c r="C216" t="s">
        <v>54</v>
      </c>
      <c r="D216" t="s">
        <v>54</v>
      </c>
      <c r="E216" t="s">
        <v>54</v>
      </c>
      <c r="F216" t="s">
        <v>54</v>
      </c>
      <c r="G216" t="s">
        <v>54</v>
      </c>
      <c r="H216" t="s">
        <v>54</v>
      </c>
      <c r="I216" t="s">
        <v>54</v>
      </c>
    </row>
    <row r="217" spans="1:9" x14ac:dyDescent="0.2">
      <c r="A217" s="13">
        <v>45497</v>
      </c>
      <c r="B217" t="s">
        <v>54</v>
      </c>
      <c r="C217" t="s">
        <v>54</v>
      </c>
      <c r="D217" t="s">
        <v>54</v>
      </c>
      <c r="E217" t="s">
        <v>54</v>
      </c>
      <c r="F217" t="s">
        <v>54</v>
      </c>
      <c r="G217" t="s">
        <v>54</v>
      </c>
      <c r="H217" t="s">
        <v>54</v>
      </c>
      <c r="I217" t="s">
        <v>54</v>
      </c>
    </row>
    <row r="218" spans="1:9" x14ac:dyDescent="0.2">
      <c r="A218" s="13">
        <v>45498</v>
      </c>
      <c r="B218" t="s">
        <v>54</v>
      </c>
      <c r="C218" t="s">
        <v>54</v>
      </c>
      <c r="D218" t="s">
        <v>54</v>
      </c>
      <c r="E218" t="s">
        <v>54</v>
      </c>
      <c r="F218" t="s">
        <v>54</v>
      </c>
      <c r="G218" t="s">
        <v>54</v>
      </c>
      <c r="H218" t="s">
        <v>54</v>
      </c>
      <c r="I218" t="s">
        <v>54</v>
      </c>
    </row>
    <row r="219" spans="1:9" x14ac:dyDescent="0.2">
      <c r="A219" s="13">
        <v>45499</v>
      </c>
      <c r="B219" t="s">
        <v>54</v>
      </c>
      <c r="C219" t="s">
        <v>54</v>
      </c>
      <c r="D219" t="s">
        <v>54</v>
      </c>
      <c r="E219" t="s">
        <v>54</v>
      </c>
      <c r="F219" t="s">
        <v>54</v>
      </c>
      <c r="G219" t="s">
        <v>54</v>
      </c>
      <c r="H219" t="s">
        <v>54</v>
      </c>
      <c r="I219" t="s">
        <v>54</v>
      </c>
    </row>
    <row r="220" spans="1:9" x14ac:dyDescent="0.2">
      <c r="A220" s="13">
        <v>45500</v>
      </c>
      <c r="B220" t="s">
        <v>54</v>
      </c>
      <c r="C220" t="s">
        <v>54</v>
      </c>
      <c r="D220" t="s">
        <v>54</v>
      </c>
      <c r="E220" t="s">
        <v>54</v>
      </c>
      <c r="F220" t="s">
        <v>54</v>
      </c>
      <c r="G220" t="s">
        <v>54</v>
      </c>
      <c r="H220" t="s">
        <v>54</v>
      </c>
      <c r="I220" t="s">
        <v>54</v>
      </c>
    </row>
    <row r="221" spans="1:9" x14ac:dyDescent="0.2">
      <c r="A221" s="13">
        <v>45501</v>
      </c>
      <c r="B221" t="s">
        <v>54</v>
      </c>
      <c r="C221" t="s">
        <v>54</v>
      </c>
      <c r="D221" t="s">
        <v>54</v>
      </c>
      <c r="E221" t="s">
        <v>54</v>
      </c>
      <c r="F221" t="s">
        <v>54</v>
      </c>
      <c r="G221" t="s">
        <v>54</v>
      </c>
      <c r="H221">
        <v>73</v>
      </c>
      <c r="I221" t="s">
        <v>54</v>
      </c>
    </row>
    <row r="222" spans="1:9" x14ac:dyDescent="0.2">
      <c r="A222" s="13">
        <v>45502</v>
      </c>
      <c r="B222" t="s">
        <v>54</v>
      </c>
      <c r="C222" t="s">
        <v>54</v>
      </c>
      <c r="D222" t="s">
        <v>54</v>
      </c>
      <c r="E222" t="s">
        <v>54</v>
      </c>
      <c r="F222" t="s">
        <v>54</v>
      </c>
      <c r="G222" t="s">
        <v>54</v>
      </c>
      <c r="H222" t="s">
        <v>54</v>
      </c>
      <c r="I222" t="s">
        <v>54</v>
      </c>
    </row>
    <row r="223" spans="1:9" x14ac:dyDescent="0.2">
      <c r="A223" s="13">
        <v>45503</v>
      </c>
      <c r="B223" t="s">
        <v>54</v>
      </c>
      <c r="C223" t="s">
        <v>54</v>
      </c>
      <c r="D223" t="s">
        <v>54</v>
      </c>
      <c r="E223" t="s">
        <v>54</v>
      </c>
      <c r="F223" t="s">
        <v>54</v>
      </c>
      <c r="G223" t="s">
        <v>54</v>
      </c>
      <c r="H223" t="s">
        <v>54</v>
      </c>
      <c r="I223" t="s">
        <v>54</v>
      </c>
    </row>
    <row r="224" spans="1:9" x14ac:dyDescent="0.2">
      <c r="A224" s="13">
        <v>45504</v>
      </c>
      <c r="B224" t="s">
        <v>54</v>
      </c>
      <c r="C224" t="s">
        <v>54</v>
      </c>
      <c r="D224" t="s">
        <v>54</v>
      </c>
      <c r="E224" t="s">
        <v>54</v>
      </c>
      <c r="F224" t="s">
        <v>54</v>
      </c>
      <c r="G224" t="s">
        <v>54</v>
      </c>
      <c r="H224" t="s">
        <v>54</v>
      </c>
      <c r="I224" t="s">
        <v>54</v>
      </c>
    </row>
    <row r="225" spans="1:9" x14ac:dyDescent="0.2">
      <c r="A225" s="13">
        <v>45505</v>
      </c>
      <c r="B225" t="s">
        <v>54</v>
      </c>
      <c r="C225" t="s">
        <v>54</v>
      </c>
      <c r="D225" t="s">
        <v>54</v>
      </c>
      <c r="E225" t="s">
        <v>54</v>
      </c>
      <c r="F225" t="s">
        <v>54</v>
      </c>
      <c r="G225" t="s">
        <v>54</v>
      </c>
      <c r="H225">
        <v>38</v>
      </c>
      <c r="I225" t="s">
        <v>54</v>
      </c>
    </row>
    <row r="226" spans="1:9" x14ac:dyDescent="0.2">
      <c r="A226" s="13">
        <v>45506</v>
      </c>
      <c r="B226" t="s">
        <v>54</v>
      </c>
      <c r="C226">
        <v>975</v>
      </c>
      <c r="D226">
        <v>30.9</v>
      </c>
      <c r="E226">
        <v>24.6</v>
      </c>
      <c r="F226">
        <v>20.9</v>
      </c>
      <c r="G226">
        <v>59.9</v>
      </c>
      <c r="H226">
        <v>29</v>
      </c>
      <c r="I226">
        <v>3.6</v>
      </c>
    </row>
    <row r="227" spans="1:9" x14ac:dyDescent="0.2">
      <c r="A227" s="13">
        <v>45507</v>
      </c>
      <c r="B227">
        <v>1.6</v>
      </c>
      <c r="C227">
        <v>974.7</v>
      </c>
      <c r="D227">
        <v>30.3</v>
      </c>
      <c r="E227">
        <v>24.4</v>
      </c>
      <c r="F227">
        <v>19.600000000000001</v>
      </c>
      <c r="G227">
        <v>60.3</v>
      </c>
      <c r="H227">
        <v>30</v>
      </c>
      <c r="I227">
        <v>3.9</v>
      </c>
    </row>
    <row r="228" spans="1:9" x14ac:dyDescent="0.2">
      <c r="A228" s="13">
        <v>45508</v>
      </c>
      <c r="B228">
        <v>0</v>
      </c>
      <c r="C228">
        <v>974.8</v>
      </c>
      <c r="D228">
        <v>31.5</v>
      </c>
      <c r="E228">
        <v>24.7</v>
      </c>
      <c r="F228">
        <v>19.3</v>
      </c>
      <c r="G228">
        <v>54.4</v>
      </c>
      <c r="H228">
        <v>24</v>
      </c>
      <c r="I228">
        <v>3.9</v>
      </c>
    </row>
    <row r="229" spans="1:9" x14ac:dyDescent="0.2">
      <c r="A229" s="13">
        <v>45509</v>
      </c>
      <c r="B229">
        <v>0</v>
      </c>
      <c r="C229">
        <v>975.2</v>
      </c>
      <c r="D229">
        <v>31.4</v>
      </c>
      <c r="E229">
        <v>24.1</v>
      </c>
      <c r="F229">
        <v>18</v>
      </c>
      <c r="G229">
        <v>55.7</v>
      </c>
      <c r="H229">
        <v>27</v>
      </c>
      <c r="I229">
        <v>4</v>
      </c>
    </row>
    <row r="230" spans="1:9" x14ac:dyDescent="0.2">
      <c r="A230" s="13">
        <v>45510</v>
      </c>
      <c r="B230">
        <v>0</v>
      </c>
      <c r="C230">
        <v>974.5</v>
      </c>
      <c r="D230">
        <v>30.1</v>
      </c>
      <c r="E230">
        <v>24.1</v>
      </c>
      <c r="F230">
        <v>18.8</v>
      </c>
      <c r="G230">
        <v>57.7</v>
      </c>
      <c r="H230">
        <v>33</v>
      </c>
      <c r="I230">
        <v>4</v>
      </c>
    </row>
    <row r="231" spans="1:9" x14ac:dyDescent="0.2">
      <c r="A231" s="13">
        <v>45511</v>
      </c>
      <c r="B231">
        <v>0</v>
      </c>
      <c r="C231">
        <v>972.6</v>
      </c>
      <c r="D231">
        <v>31.6</v>
      </c>
      <c r="E231">
        <v>25</v>
      </c>
      <c r="F231">
        <v>19.600000000000001</v>
      </c>
      <c r="G231">
        <v>54.9</v>
      </c>
      <c r="H231">
        <v>28</v>
      </c>
      <c r="I231">
        <v>3.9</v>
      </c>
    </row>
    <row r="232" spans="1:9" x14ac:dyDescent="0.2">
      <c r="A232" s="13">
        <v>45512</v>
      </c>
      <c r="B232">
        <v>0</v>
      </c>
      <c r="C232">
        <v>972.2</v>
      </c>
      <c r="D232">
        <v>32.4</v>
      </c>
      <c r="E232">
        <v>25.9</v>
      </c>
      <c r="F232">
        <v>20.100000000000001</v>
      </c>
      <c r="G232">
        <v>55.1</v>
      </c>
      <c r="H232">
        <v>30</v>
      </c>
      <c r="I232">
        <v>3.8</v>
      </c>
    </row>
    <row r="233" spans="1:9" x14ac:dyDescent="0.2">
      <c r="A233" s="13">
        <v>45513</v>
      </c>
      <c r="B233">
        <v>0</v>
      </c>
      <c r="C233">
        <v>972.8</v>
      </c>
      <c r="D233">
        <v>32.700000000000003</v>
      </c>
      <c r="E233">
        <v>26.3</v>
      </c>
      <c r="F233">
        <v>21.3</v>
      </c>
      <c r="G233">
        <v>60</v>
      </c>
      <c r="H233">
        <v>33</v>
      </c>
      <c r="I233">
        <v>3.1</v>
      </c>
    </row>
    <row r="234" spans="1:9" x14ac:dyDescent="0.2">
      <c r="A234" s="13">
        <v>45514</v>
      </c>
      <c r="B234">
        <v>0</v>
      </c>
      <c r="C234">
        <v>972.1</v>
      </c>
      <c r="D234">
        <v>35.299999999999997</v>
      </c>
      <c r="E234" t="s">
        <v>54</v>
      </c>
      <c r="F234">
        <v>20.2</v>
      </c>
      <c r="G234">
        <v>55.8</v>
      </c>
      <c r="H234">
        <v>23</v>
      </c>
      <c r="I234">
        <v>2.5</v>
      </c>
    </row>
    <row r="235" spans="1:9" x14ac:dyDescent="0.2">
      <c r="A235" s="13">
        <v>45515</v>
      </c>
      <c r="B235" t="s">
        <v>54</v>
      </c>
      <c r="C235">
        <v>970.6</v>
      </c>
      <c r="D235">
        <v>37</v>
      </c>
      <c r="E235" t="s">
        <v>54</v>
      </c>
      <c r="F235">
        <v>21.6</v>
      </c>
      <c r="G235">
        <v>40.9</v>
      </c>
      <c r="H235">
        <v>17</v>
      </c>
      <c r="I235">
        <v>2.2000000000000002</v>
      </c>
    </row>
    <row r="236" spans="1:9" x14ac:dyDescent="0.2">
      <c r="A236" s="13">
        <v>45516</v>
      </c>
      <c r="B236">
        <v>0</v>
      </c>
      <c r="C236">
        <v>973.4</v>
      </c>
      <c r="D236">
        <v>33.200000000000003</v>
      </c>
      <c r="E236">
        <v>27.2</v>
      </c>
      <c r="F236">
        <v>22.2</v>
      </c>
      <c r="G236">
        <v>55.2</v>
      </c>
      <c r="H236">
        <v>22</v>
      </c>
      <c r="I236">
        <v>3.1</v>
      </c>
    </row>
    <row r="237" spans="1:9" x14ac:dyDescent="0.2">
      <c r="A237" s="13">
        <v>45517</v>
      </c>
      <c r="B237">
        <v>0</v>
      </c>
      <c r="C237">
        <v>972.7</v>
      </c>
      <c r="D237">
        <v>35.700000000000003</v>
      </c>
      <c r="E237">
        <v>28.6</v>
      </c>
      <c r="F237">
        <v>21.6</v>
      </c>
      <c r="G237">
        <v>49.9</v>
      </c>
      <c r="H237">
        <v>22</v>
      </c>
      <c r="I237">
        <v>3.1</v>
      </c>
    </row>
    <row r="238" spans="1:9" x14ac:dyDescent="0.2">
      <c r="A238" s="13">
        <v>45518</v>
      </c>
      <c r="B238">
        <v>0</v>
      </c>
      <c r="C238">
        <v>975.1</v>
      </c>
      <c r="D238">
        <v>32.6</v>
      </c>
      <c r="E238">
        <v>26.9</v>
      </c>
      <c r="F238">
        <v>21.4</v>
      </c>
      <c r="G238">
        <v>51.6</v>
      </c>
      <c r="H238">
        <v>28</v>
      </c>
      <c r="I238">
        <v>4.3</v>
      </c>
    </row>
    <row r="239" spans="1:9" x14ac:dyDescent="0.2">
      <c r="A239" s="13">
        <v>45519</v>
      </c>
      <c r="B239">
        <v>0</v>
      </c>
      <c r="C239">
        <v>975.5</v>
      </c>
      <c r="D239">
        <v>32.799999999999997</v>
      </c>
      <c r="E239">
        <v>26.3</v>
      </c>
      <c r="F239">
        <v>21.4</v>
      </c>
      <c r="G239">
        <v>50.9</v>
      </c>
      <c r="H239">
        <v>26</v>
      </c>
      <c r="I239">
        <v>4.0999999999999996</v>
      </c>
    </row>
    <row r="240" spans="1:9" x14ac:dyDescent="0.2">
      <c r="A240" s="13">
        <v>45520</v>
      </c>
      <c r="B240">
        <v>0</v>
      </c>
      <c r="C240">
        <v>975.2</v>
      </c>
      <c r="D240">
        <v>30.3</v>
      </c>
      <c r="E240">
        <v>25.2</v>
      </c>
      <c r="F240">
        <v>21.2</v>
      </c>
      <c r="G240">
        <v>59.3</v>
      </c>
      <c r="H240">
        <v>38</v>
      </c>
      <c r="I240">
        <v>3.9</v>
      </c>
    </row>
    <row r="241" spans="1:9" x14ac:dyDescent="0.2">
      <c r="A241" s="13">
        <v>45521</v>
      </c>
      <c r="B241">
        <v>0</v>
      </c>
      <c r="C241">
        <v>974.5</v>
      </c>
      <c r="D241">
        <v>29.4</v>
      </c>
      <c r="E241">
        <v>24</v>
      </c>
      <c r="F241">
        <v>20.2</v>
      </c>
      <c r="G241">
        <v>69</v>
      </c>
      <c r="H241">
        <v>48</v>
      </c>
      <c r="I241">
        <v>3.8</v>
      </c>
    </row>
    <row r="242" spans="1:9" x14ac:dyDescent="0.2">
      <c r="A242" s="13">
        <v>45522</v>
      </c>
      <c r="B242">
        <v>0.2</v>
      </c>
      <c r="C242">
        <v>974.8</v>
      </c>
      <c r="D242">
        <v>29.5</v>
      </c>
      <c r="E242">
        <v>23.9</v>
      </c>
      <c r="F242">
        <v>19.8</v>
      </c>
      <c r="G242">
        <v>67.400000000000006</v>
      </c>
      <c r="H242">
        <v>40</v>
      </c>
      <c r="I242">
        <v>3.4</v>
      </c>
    </row>
    <row r="243" spans="1:9" x14ac:dyDescent="0.2">
      <c r="A243" s="13">
        <v>45523</v>
      </c>
      <c r="B243">
        <v>0</v>
      </c>
      <c r="C243">
        <v>974.9</v>
      </c>
      <c r="D243">
        <v>31.7</v>
      </c>
      <c r="E243">
        <v>24.8</v>
      </c>
      <c r="F243">
        <v>18.899999999999999</v>
      </c>
      <c r="G243">
        <v>58.6</v>
      </c>
      <c r="H243">
        <v>32</v>
      </c>
      <c r="I243">
        <v>3.9</v>
      </c>
    </row>
    <row r="244" spans="1:9" x14ac:dyDescent="0.2">
      <c r="A244" s="13">
        <v>45524</v>
      </c>
      <c r="B244">
        <v>0</v>
      </c>
      <c r="C244">
        <v>975.2</v>
      </c>
      <c r="D244">
        <v>32</v>
      </c>
      <c r="E244">
        <v>25.3</v>
      </c>
      <c r="F244">
        <v>19.899999999999999</v>
      </c>
      <c r="G244">
        <v>57.6</v>
      </c>
      <c r="H244">
        <v>32</v>
      </c>
      <c r="I244">
        <v>3.5</v>
      </c>
    </row>
    <row r="245" spans="1:9" x14ac:dyDescent="0.2">
      <c r="A245" s="13">
        <v>45525</v>
      </c>
      <c r="B245">
        <v>0</v>
      </c>
      <c r="C245" t="s">
        <v>54</v>
      </c>
      <c r="D245" t="s">
        <v>54</v>
      </c>
      <c r="E245" t="s">
        <v>54</v>
      </c>
      <c r="F245">
        <v>20</v>
      </c>
      <c r="G245" t="s">
        <v>54</v>
      </c>
      <c r="H245">
        <v>43</v>
      </c>
      <c r="I245" t="s">
        <v>54</v>
      </c>
    </row>
    <row r="246" spans="1:9" x14ac:dyDescent="0.2">
      <c r="A246" s="13">
        <v>45526</v>
      </c>
      <c r="B246" t="s">
        <v>54</v>
      </c>
      <c r="C246" t="s">
        <v>54</v>
      </c>
      <c r="D246" t="s">
        <v>54</v>
      </c>
      <c r="E246" t="s">
        <v>54</v>
      </c>
      <c r="F246" t="s">
        <v>54</v>
      </c>
      <c r="G246">
        <v>64.5</v>
      </c>
      <c r="H246">
        <v>39</v>
      </c>
      <c r="I246" t="s">
        <v>54</v>
      </c>
    </row>
    <row r="247" spans="1:9" x14ac:dyDescent="0.2">
      <c r="A247" s="13">
        <v>45527</v>
      </c>
      <c r="B247" t="s">
        <v>54</v>
      </c>
      <c r="C247" t="s">
        <v>54</v>
      </c>
      <c r="D247" t="s">
        <v>54</v>
      </c>
      <c r="E247" t="s">
        <v>54</v>
      </c>
      <c r="F247">
        <v>20.5</v>
      </c>
      <c r="G247">
        <v>74.099999999999994</v>
      </c>
      <c r="H247">
        <v>46</v>
      </c>
      <c r="I247" t="s">
        <v>54</v>
      </c>
    </row>
    <row r="248" spans="1:9" x14ac:dyDescent="0.2">
      <c r="A248" s="13">
        <v>45528</v>
      </c>
      <c r="B248" t="s">
        <v>54</v>
      </c>
      <c r="C248">
        <v>974.1</v>
      </c>
      <c r="D248">
        <v>33</v>
      </c>
      <c r="E248">
        <v>26.3</v>
      </c>
      <c r="F248" t="s">
        <v>54</v>
      </c>
      <c r="G248">
        <v>50.5</v>
      </c>
      <c r="H248">
        <v>26</v>
      </c>
      <c r="I248">
        <v>3.1</v>
      </c>
    </row>
    <row r="249" spans="1:9" x14ac:dyDescent="0.2">
      <c r="A249" s="13">
        <v>45529</v>
      </c>
      <c r="B249">
        <v>0</v>
      </c>
      <c r="C249">
        <v>974.1</v>
      </c>
      <c r="D249">
        <v>33.200000000000003</v>
      </c>
      <c r="E249">
        <v>26.4</v>
      </c>
      <c r="F249">
        <v>20.2</v>
      </c>
      <c r="G249">
        <v>50.1</v>
      </c>
      <c r="H249">
        <v>24</v>
      </c>
      <c r="I249">
        <v>3.2</v>
      </c>
    </row>
    <row r="250" spans="1:9" x14ac:dyDescent="0.2">
      <c r="A250" s="13">
        <v>45530</v>
      </c>
      <c r="B250">
        <v>0</v>
      </c>
      <c r="C250">
        <v>973.6</v>
      </c>
      <c r="D250">
        <v>33.200000000000003</v>
      </c>
      <c r="E250">
        <v>26.6</v>
      </c>
      <c r="F250">
        <v>20.100000000000001</v>
      </c>
      <c r="G250">
        <v>45.2</v>
      </c>
      <c r="H250">
        <v>21</v>
      </c>
      <c r="I250">
        <v>3.7</v>
      </c>
    </row>
    <row r="251" spans="1:9" x14ac:dyDescent="0.2">
      <c r="A251" s="13">
        <v>45531</v>
      </c>
      <c r="B251">
        <v>0</v>
      </c>
      <c r="C251">
        <v>974.6</v>
      </c>
      <c r="D251">
        <v>32.299999999999997</v>
      </c>
      <c r="E251">
        <v>26.3</v>
      </c>
      <c r="F251">
        <v>20.2</v>
      </c>
      <c r="G251">
        <v>49</v>
      </c>
      <c r="H251">
        <v>24</v>
      </c>
      <c r="I251">
        <v>4</v>
      </c>
    </row>
    <row r="252" spans="1:9" x14ac:dyDescent="0.2">
      <c r="A252" s="13">
        <v>45532</v>
      </c>
      <c r="B252">
        <v>0</v>
      </c>
      <c r="C252">
        <v>976.1</v>
      </c>
      <c r="D252">
        <v>31.5</v>
      </c>
      <c r="E252">
        <v>25.5</v>
      </c>
      <c r="F252">
        <v>21.9</v>
      </c>
      <c r="G252">
        <v>53.8</v>
      </c>
      <c r="H252">
        <v>28</v>
      </c>
      <c r="I252">
        <v>4.5</v>
      </c>
    </row>
    <row r="253" spans="1:9" x14ac:dyDescent="0.2">
      <c r="A253" s="13">
        <v>45533</v>
      </c>
      <c r="B253">
        <v>0</v>
      </c>
      <c r="C253">
        <v>975.9</v>
      </c>
      <c r="D253">
        <v>33.200000000000003</v>
      </c>
      <c r="E253">
        <v>26.2</v>
      </c>
      <c r="F253">
        <v>20</v>
      </c>
      <c r="G253">
        <v>49.9</v>
      </c>
      <c r="H253">
        <v>25</v>
      </c>
      <c r="I253">
        <v>4.5</v>
      </c>
    </row>
    <row r="254" spans="1:9" x14ac:dyDescent="0.2">
      <c r="A254" s="13">
        <v>45534</v>
      </c>
      <c r="B254">
        <v>0</v>
      </c>
      <c r="C254">
        <v>975.2</v>
      </c>
      <c r="D254">
        <v>32.6</v>
      </c>
      <c r="E254">
        <v>25.6</v>
      </c>
      <c r="F254">
        <v>19.899999999999999</v>
      </c>
      <c r="G254">
        <v>50.2</v>
      </c>
      <c r="H254">
        <v>27</v>
      </c>
      <c r="I254">
        <v>4.4000000000000004</v>
      </c>
    </row>
    <row r="255" spans="1:9" x14ac:dyDescent="0.2">
      <c r="A255" s="13">
        <v>45535</v>
      </c>
      <c r="B255">
        <v>0</v>
      </c>
      <c r="C255">
        <v>974</v>
      </c>
      <c r="D255">
        <v>32</v>
      </c>
      <c r="E255">
        <v>25.6</v>
      </c>
      <c r="F255">
        <v>20.3</v>
      </c>
      <c r="G255">
        <v>58.8</v>
      </c>
      <c r="H255">
        <v>33</v>
      </c>
      <c r="I255">
        <v>3.5</v>
      </c>
    </row>
    <row r="256" spans="1:9" x14ac:dyDescent="0.2">
      <c r="A256" s="13">
        <v>45536</v>
      </c>
      <c r="B256">
        <v>0</v>
      </c>
      <c r="C256">
        <v>974.2</v>
      </c>
      <c r="D256">
        <v>33.299999999999997</v>
      </c>
      <c r="E256">
        <v>26.2</v>
      </c>
      <c r="F256">
        <v>19.3</v>
      </c>
      <c r="G256">
        <v>46</v>
      </c>
      <c r="H256">
        <v>18</v>
      </c>
      <c r="I256">
        <v>4</v>
      </c>
    </row>
    <row r="257" spans="1:9" x14ac:dyDescent="0.2">
      <c r="A257" s="13">
        <v>45537</v>
      </c>
      <c r="B257">
        <v>0</v>
      </c>
      <c r="C257">
        <v>973.1</v>
      </c>
      <c r="D257">
        <v>32.6</v>
      </c>
      <c r="E257">
        <v>25.6</v>
      </c>
      <c r="F257">
        <v>18.8</v>
      </c>
      <c r="G257">
        <v>47.5</v>
      </c>
      <c r="H257">
        <v>24</v>
      </c>
      <c r="I257">
        <v>3.9</v>
      </c>
    </row>
    <row r="258" spans="1:9" x14ac:dyDescent="0.2">
      <c r="A258" s="13">
        <v>45538</v>
      </c>
      <c r="B258">
        <v>0</v>
      </c>
      <c r="C258">
        <v>972.1</v>
      </c>
      <c r="D258">
        <v>33.9</v>
      </c>
      <c r="E258">
        <v>27</v>
      </c>
      <c r="F258">
        <v>20.6</v>
      </c>
      <c r="G258">
        <v>45.5</v>
      </c>
      <c r="H258">
        <v>18</v>
      </c>
      <c r="I258">
        <v>3.1</v>
      </c>
    </row>
    <row r="259" spans="1:9" x14ac:dyDescent="0.2">
      <c r="A259" s="13">
        <v>45539</v>
      </c>
      <c r="B259">
        <v>0</v>
      </c>
      <c r="C259">
        <v>972.9</v>
      </c>
      <c r="D259">
        <v>33.5</v>
      </c>
      <c r="E259">
        <v>26.9</v>
      </c>
      <c r="F259">
        <v>20.5</v>
      </c>
      <c r="G259">
        <v>41.9</v>
      </c>
      <c r="H259">
        <v>21</v>
      </c>
      <c r="I259">
        <v>3.5</v>
      </c>
    </row>
    <row r="260" spans="1:9" x14ac:dyDescent="0.2">
      <c r="A260" s="13">
        <v>45540</v>
      </c>
      <c r="B260">
        <v>0</v>
      </c>
      <c r="C260">
        <v>973.1</v>
      </c>
      <c r="D260">
        <v>33.200000000000003</v>
      </c>
      <c r="E260">
        <v>26.7</v>
      </c>
      <c r="F260">
        <v>20.3</v>
      </c>
      <c r="G260">
        <v>48.4</v>
      </c>
      <c r="H260">
        <v>24</v>
      </c>
      <c r="I260">
        <v>3.3</v>
      </c>
    </row>
    <row r="261" spans="1:9" x14ac:dyDescent="0.2">
      <c r="A261" s="13">
        <v>45541</v>
      </c>
      <c r="B261">
        <v>0</v>
      </c>
      <c r="C261">
        <v>972.4</v>
      </c>
      <c r="D261">
        <v>33.700000000000003</v>
      </c>
      <c r="E261">
        <v>26.8</v>
      </c>
      <c r="F261">
        <v>20.399999999999999</v>
      </c>
      <c r="G261">
        <v>47.6</v>
      </c>
      <c r="H261">
        <v>23</v>
      </c>
      <c r="I261">
        <v>3.1</v>
      </c>
    </row>
    <row r="262" spans="1:9" x14ac:dyDescent="0.2">
      <c r="A262" s="13">
        <v>45542</v>
      </c>
      <c r="B262">
        <v>0</v>
      </c>
      <c r="C262">
        <v>973.2</v>
      </c>
      <c r="D262">
        <v>32.9</v>
      </c>
      <c r="E262">
        <v>26.7</v>
      </c>
      <c r="F262">
        <v>21.3</v>
      </c>
      <c r="G262">
        <v>49.7</v>
      </c>
      <c r="H262">
        <v>28</v>
      </c>
      <c r="I262">
        <v>4.3</v>
      </c>
    </row>
    <row r="263" spans="1:9" x14ac:dyDescent="0.2">
      <c r="A263" s="13">
        <v>45543</v>
      </c>
      <c r="B263">
        <v>0</v>
      </c>
      <c r="C263">
        <v>974.2</v>
      </c>
      <c r="D263">
        <v>33.700000000000003</v>
      </c>
      <c r="E263">
        <v>26.9</v>
      </c>
      <c r="F263">
        <v>21.8</v>
      </c>
      <c r="G263">
        <v>47.5</v>
      </c>
      <c r="H263">
        <v>25</v>
      </c>
      <c r="I263">
        <v>4.4000000000000004</v>
      </c>
    </row>
    <row r="264" spans="1:9" x14ac:dyDescent="0.2">
      <c r="A264" s="13">
        <v>45544</v>
      </c>
      <c r="B264">
        <v>0</v>
      </c>
      <c r="C264">
        <v>974</v>
      </c>
      <c r="D264">
        <v>33.700000000000003</v>
      </c>
      <c r="E264">
        <v>27</v>
      </c>
      <c r="F264">
        <v>21.7</v>
      </c>
      <c r="G264">
        <v>44.7</v>
      </c>
      <c r="H264">
        <v>19</v>
      </c>
      <c r="I264">
        <v>3.9</v>
      </c>
    </row>
    <row r="265" spans="1:9" x14ac:dyDescent="0.2">
      <c r="A265" s="13">
        <v>45545</v>
      </c>
      <c r="B265">
        <v>0</v>
      </c>
      <c r="C265">
        <v>973.3</v>
      </c>
      <c r="D265">
        <v>33.5</v>
      </c>
      <c r="E265">
        <v>26.7</v>
      </c>
      <c r="F265">
        <v>20.5</v>
      </c>
      <c r="G265">
        <v>47</v>
      </c>
      <c r="H265">
        <v>20</v>
      </c>
      <c r="I265">
        <v>4</v>
      </c>
    </row>
    <row r="266" spans="1:9" x14ac:dyDescent="0.2">
      <c r="A266" s="13">
        <v>45546</v>
      </c>
      <c r="B266">
        <v>0</v>
      </c>
      <c r="C266">
        <v>973.4</v>
      </c>
      <c r="D266">
        <v>33</v>
      </c>
      <c r="E266">
        <v>26.2</v>
      </c>
      <c r="F266">
        <v>19.600000000000001</v>
      </c>
      <c r="G266">
        <v>49.1</v>
      </c>
      <c r="H266">
        <v>25</v>
      </c>
      <c r="I266">
        <v>4.2</v>
      </c>
    </row>
    <row r="267" spans="1:9" x14ac:dyDescent="0.2">
      <c r="A267" s="13">
        <v>45547</v>
      </c>
      <c r="B267">
        <v>0</v>
      </c>
      <c r="C267">
        <v>973.8</v>
      </c>
      <c r="D267">
        <v>33.200000000000003</v>
      </c>
      <c r="E267">
        <v>26.3</v>
      </c>
      <c r="F267">
        <v>19.8</v>
      </c>
      <c r="G267">
        <v>50</v>
      </c>
      <c r="H267">
        <v>26</v>
      </c>
      <c r="I267">
        <v>4.4000000000000004</v>
      </c>
    </row>
    <row r="268" spans="1:9" x14ac:dyDescent="0.2">
      <c r="A268" s="13">
        <v>45548</v>
      </c>
      <c r="B268">
        <v>0</v>
      </c>
      <c r="C268">
        <v>973.6</v>
      </c>
      <c r="D268">
        <v>33.4</v>
      </c>
      <c r="E268">
        <v>26.2</v>
      </c>
      <c r="F268">
        <v>20.7</v>
      </c>
      <c r="G268">
        <v>53</v>
      </c>
      <c r="H268">
        <v>28</v>
      </c>
      <c r="I268">
        <v>3.4</v>
      </c>
    </row>
    <row r="269" spans="1:9" x14ac:dyDescent="0.2">
      <c r="A269" s="13">
        <v>45549</v>
      </c>
      <c r="B269">
        <v>0</v>
      </c>
      <c r="C269">
        <v>973.2</v>
      </c>
      <c r="D269">
        <v>33</v>
      </c>
      <c r="E269">
        <v>26.3</v>
      </c>
      <c r="F269">
        <v>20</v>
      </c>
      <c r="G269">
        <v>49.8</v>
      </c>
      <c r="H269">
        <v>25</v>
      </c>
      <c r="I269">
        <v>3.2</v>
      </c>
    </row>
    <row r="270" spans="1:9" x14ac:dyDescent="0.2">
      <c r="A270" s="13">
        <v>45550</v>
      </c>
      <c r="B270">
        <v>0</v>
      </c>
      <c r="C270">
        <v>973.6</v>
      </c>
      <c r="D270">
        <v>33.700000000000003</v>
      </c>
      <c r="E270">
        <v>27.1</v>
      </c>
      <c r="F270">
        <v>21</v>
      </c>
      <c r="G270">
        <v>49.5</v>
      </c>
      <c r="H270">
        <v>28</v>
      </c>
      <c r="I270">
        <v>3.7</v>
      </c>
    </row>
    <row r="271" spans="1:9" x14ac:dyDescent="0.2">
      <c r="A271" s="13">
        <v>45551</v>
      </c>
      <c r="B271">
        <v>0</v>
      </c>
      <c r="C271">
        <v>973.7</v>
      </c>
      <c r="D271">
        <v>34.1</v>
      </c>
      <c r="E271">
        <v>27.2</v>
      </c>
      <c r="F271">
        <v>20.6</v>
      </c>
      <c r="G271">
        <v>48.5</v>
      </c>
      <c r="H271">
        <v>24</v>
      </c>
      <c r="I271">
        <v>3.8</v>
      </c>
    </row>
    <row r="272" spans="1:9" x14ac:dyDescent="0.2">
      <c r="A272" s="13">
        <v>45552</v>
      </c>
      <c r="B272">
        <v>0</v>
      </c>
      <c r="C272">
        <v>972.7</v>
      </c>
      <c r="D272">
        <v>35.1</v>
      </c>
      <c r="E272">
        <v>27.6</v>
      </c>
      <c r="F272">
        <v>20.7</v>
      </c>
      <c r="G272">
        <v>46</v>
      </c>
      <c r="H272">
        <v>23</v>
      </c>
      <c r="I272">
        <v>3.7</v>
      </c>
    </row>
    <row r="273" spans="1:9" x14ac:dyDescent="0.2">
      <c r="A273" s="13">
        <v>45553</v>
      </c>
      <c r="B273">
        <v>0</v>
      </c>
      <c r="C273">
        <v>972.8</v>
      </c>
      <c r="D273">
        <v>33.1</v>
      </c>
      <c r="E273">
        <v>27.1</v>
      </c>
      <c r="F273">
        <v>20.8</v>
      </c>
      <c r="G273">
        <v>46.3</v>
      </c>
      <c r="H273">
        <v>28</v>
      </c>
      <c r="I273">
        <v>4.0999999999999996</v>
      </c>
    </row>
    <row r="274" spans="1:9" x14ac:dyDescent="0.2">
      <c r="A274" s="13">
        <v>45554</v>
      </c>
      <c r="B274">
        <v>0</v>
      </c>
      <c r="C274">
        <v>972.8</v>
      </c>
      <c r="D274">
        <v>32</v>
      </c>
      <c r="E274">
        <v>26.4</v>
      </c>
      <c r="F274">
        <v>20.3</v>
      </c>
      <c r="G274">
        <v>54.3</v>
      </c>
      <c r="H274">
        <v>33</v>
      </c>
      <c r="I274">
        <v>4.3</v>
      </c>
    </row>
    <row r="275" spans="1:9" x14ac:dyDescent="0.2">
      <c r="A275" s="13">
        <v>45555</v>
      </c>
      <c r="B275">
        <v>0</v>
      </c>
      <c r="C275">
        <v>971.5</v>
      </c>
      <c r="D275">
        <v>33.5</v>
      </c>
      <c r="E275">
        <v>26.9</v>
      </c>
      <c r="F275">
        <v>20.3</v>
      </c>
      <c r="G275">
        <v>50.3</v>
      </c>
      <c r="H275">
        <v>27</v>
      </c>
      <c r="I275">
        <v>3.9</v>
      </c>
    </row>
    <row r="276" spans="1:9" x14ac:dyDescent="0.2">
      <c r="A276" s="13">
        <v>45556</v>
      </c>
      <c r="B276">
        <v>0</v>
      </c>
      <c r="C276">
        <v>971.1</v>
      </c>
      <c r="D276">
        <v>33.6</v>
      </c>
      <c r="E276">
        <v>27</v>
      </c>
      <c r="F276">
        <v>20.399999999999999</v>
      </c>
      <c r="G276">
        <v>47.6</v>
      </c>
      <c r="H276">
        <v>26</v>
      </c>
      <c r="I276">
        <v>3.8</v>
      </c>
    </row>
    <row r="277" spans="1:9" x14ac:dyDescent="0.2">
      <c r="A277" s="13">
        <v>45557</v>
      </c>
      <c r="B277">
        <v>0</v>
      </c>
      <c r="C277">
        <v>971.1</v>
      </c>
      <c r="D277">
        <v>34.5</v>
      </c>
      <c r="E277">
        <v>27.6</v>
      </c>
      <c r="F277">
        <v>20.7</v>
      </c>
      <c r="G277">
        <v>45.6</v>
      </c>
      <c r="H277">
        <v>24</v>
      </c>
      <c r="I277">
        <v>4</v>
      </c>
    </row>
    <row r="278" spans="1:9" x14ac:dyDescent="0.2">
      <c r="A278" s="13">
        <v>45558</v>
      </c>
      <c r="B278">
        <v>0</v>
      </c>
      <c r="C278">
        <v>971</v>
      </c>
      <c r="D278">
        <v>34.700000000000003</v>
      </c>
      <c r="E278">
        <v>27.8</v>
      </c>
      <c r="F278">
        <v>20.9</v>
      </c>
      <c r="G278">
        <v>45.1</v>
      </c>
      <c r="H278">
        <v>26</v>
      </c>
      <c r="I278">
        <v>3.8</v>
      </c>
    </row>
    <row r="279" spans="1:9" x14ac:dyDescent="0.2">
      <c r="A279" s="13">
        <v>45559</v>
      </c>
      <c r="B279">
        <v>0</v>
      </c>
      <c r="C279">
        <v>971.2</v>
      </c>
      <c r="D279">
        <v>34.6</v>
      </c>
      <c r="E279">
        <v>28</v>
      </c>
      <c r="F279">
        <v>21.9</v>
      </c>
      <c r="G279">
        <v>48.8</v>
      </c>
      <c r="H279">
        <v>28</v>
      </c>
      <c r="I279">
        <v>3.6</v>
      </c>
    </row>
    <row r="280" spans="1:9" x14ac:dyDescent="0.2">
      <c r="A280" s="13">
        <v>45560</v>
      </c>
      <c r="B280">
        <v>0</v>
      </c>
      <c r="C280">
        <v>971.4</v>
      </c>
      <c r="D280">
        <v>33.4</v>
      </c>
      <c r="E280">
        <v>27.5</v>
      </c>
      <c r="F280">
        <v>21.7</v>
      </c>
      <c r="G280">
        <v>49.8</v>
      </c>
      <c r="H280">
        <v>29</v>
      </c>
      <c r="I280">
        <v>3.8</v>
      </c>
    </row>
    <row r="281" spans="1:9" x14ac:dyDescent="0.2">
      <c r="A281" s="13">
        <v>45561</v>
      </c>
      <c r="B281" t="s">
        <v>54</v>
      </c>
      <c r="C281" t="s">
        <v>54</v>
      </c>
      <c r="D281" t="s">
        <v>54</v>
      </c>
      <c r="E281" t="s">
        <v>54</v>
      </c>
      <c r="F281" t="s">
        <v>54</v>
      </c>
      <c r="G281" t="s">
        <v>54</v>
      </c>
      <c r="H281" t="s">
        <v>54</v>
      </c>
      <c r="I281" t="s">
        <v>54</v>
      </c>
    </row>
    <row r="282" spans="1:9" x14ac:dyDescent="0.2">
      <c r="A282" s="13">
        <v>45562</v>
      </c>
      <c r="B282" t="s">
        <v>54</v>
      </c>
      <c r="C282" t="s">
        <v>54</v>
      </c>
      <c r="D282" t="s">
        <v>54</v>
      </c>
      <c r="E282" t="s">
        <v>54</v>
      </c>
      <c r="F282" t="s">
        <v>54</v>
      </c>
      <c r="G282" t="s">
        <v>54</v>
      </c>
      <c r="H282" t="s">
        <v>54</v>
      </c>
      <c r="I282" t="s">
        <v>54</v>
      </c>
    </row>
    <row r="283" spans="1:9" x14ac:dyDescent="0.2">
      <c r="A283" s="13">
        <v>45563</v>
      </c>
      <c r="B283" t="s">
        <v>54</v>
      </c>
      <c r="C283" t="s">
        <v>54</v>
      </c>
      <c r="D283" t="s">
        <v>54</v>
      </c>
      <c r="E283" t="s">
        <v>54</v>
      </c>
      <c r="F283" t="s">
        <v>54</v>
      </c>
      <c r="G283" t="s">
        <v>54</v>
      </c>
      <c r="H283" t="s">
        <v>54</v>
      </c>
      <c r="I283" t="s">
        <v>54</v>
      </c>
    </row>
    <row r="284" spans="1:9" x14ac:dyDescent="0.2">
      <c r="A284" s="13">
        <v>45564</v>
      </c>
      <c r="B284" t="s">
        <v>54</v>
      </c>
      <c r="C284" t="s">
        <v>54</v>
      </c>
      <c r="D284" t="s">
        <v>54</v>
      </c>
      <c r="E284" t="s">
        <v>54</v>
      </c>
      <c r="F284" t="s">
        <v>54</v>
      </c>
      <c r="G284" t="s">
        <v>54</v>
      </c>
      <c r="H284" t="s">
        <v>54</v>
      </c>
      <c r="I284" t="s">
        <v>54</v>
      </c>
    </row>
    <row r="285" spans="1:9" x14ac:dyDescent="0.2">
      <c r="A285" s="13">
        <v>45565</v>
      </c>
      <c r="B285" t="s">
        <v>54</v>
      </c>
      <c r="C285" t="s">
        <v>54</v>
      </c>
      <c r="D285" t="s">
        <v>54</v>
      </c>
      <c r="E285" t="s">
        <v>54</v>
      </c>
      <c r="F285" t="s">
        <v>54</v>
      </c>
      <c r="G285" t="s">
        <v>54</v>
      </c>
      <c r="H285" t="s">
        <v>54</v>
      </c>
      <c r="I285" t="s">
        <v>54</v>
      </c>
    </row>
    <row r="286" spans="1:9" x14ac:dyDescent="0.2">
      <c r="A286" s="13">
        <v>45566</v>
      </c>
      <c r="B286" t="s">
        <v>54</v>
      </c>
      <c r="C286" t="s">
        <v>54</v>
      </c>
      <c r="D286" t="s">
        <v>54</v>
      </c>
      <c r="E286" t="s">
        <v>54</v>
      </c>
      <c r="F286" t="s">
        <v>54</v>
      </c>
      <c r="G286" t="s">
        <v>54</v>
      </c>
      <c r="H286" t="s">
        <v>54</v>
      </c>
      <c r="I286" t="s">
        <v>54</v>
      </c>
    </row>
    <row r="287" spans="1:9" x14ac:dyDescent="0.2">
      <c r="A287" s="13">
        <v>45567</v>
      </c>
      <c r="B287" t="s">
        <v>54</v>
      </c>
      <c r="C287" t="s">
        <v>54</v>
      </c>
      <c r="D287" t="s">
        <v>54</v>
      </c>
      <c r="E287" t="s">
        <v>54</v>
      </c>
      <c r="F287" t="s">
        <v>54</v>
      </c>
      <c r="G287" t="s">
        <v>54</v>
      </c>
      <c r="H287" t="s">
        <v>54</v>
      </c>
      <c r="I287" t="s">
        <v>54</v>
      </c>
    </row>
    <row r="288" spans="1:9" x14ac:dyDescent="0.2">
      <c r="A288" s="13">
        <v>45568</v>
      </c>
      <c r="B288" t="s">
        <v>54</v>
      </c>
      <c r="C288" t="s">
        <v>54</v>
      </c>
      <c r="D288" t="s">
        <v>54</v>
      </c>
      <c r="E288" t="s">
        <v>54</v>
      </c>
      <c r="F288" t="s">
        <v>54</v>
      </c>
      <c r="G288" t="s">
        <v>54</v>
      </c>
      <c r="H288" t="s">
        <v>54</v>
      </c>
      <c r="I288" t="s">
        <v>54</v>
      </c>
    </row>
    <row r="289" spans="1:9" x14ac:dyDescent="0.2">
      <c r="A289" s="13">
        <v>45569</v>
      </c>
      <c r="B289" t="s">
        <v>54</v>
      </c>
      <c r="C289" t="s">
        <v>54</v>
      </c>
      <c r="D289" t="s">
        <v>54</v>
      </c>
      <c r="E289" t="s">
        <v>54</v>
      </c>
      <c r="F289" t="s">
        <v>54</v>
      </c>
      <c r="G289" t="s">
        <v>54</v>
      </c>
      <c r="H289" t="s">
        <v>54</v>
      </c>
      <c r="I289" t="s">
        <v>54</v>
      </c>
    </row>
    <row r="290" spans="1:9" x14ac:dyDescent="0.2">
      <c r="A290" s="13">
        <v>45570</v>
      </c>
      <c r="B290" t="s">
        <v>54</v>
      </c>
      <c r="C290" t="s">
        <v>54</v>
      </c>
      <c r="D290" t="s">
        <v>54</v>
      </c>
      <c r="E290" t="s">
        <v>54</v>
      </c>
      <c r="F290" t="s">
        <v>54</v>
      </c>
      <c r="G290" t="s">
        <v>54</v>
      </c>
      <c r="H290" t="s">
        <v>54</v>
      </c>
      <c r="I290" t="s">
        <v>54</v>
      </c>
    </row>
    <row r="291" spans="1:9" x14ac:dyDescent="0.2">
      <c r="A291" s="13">
        <v>45571</v>
      </c>
      <c r="B291" t="s">
        <v>54</v>
      </c>
      <c r="C291" t="s">
        <v>54</v>
      </c>
      <c r="D291" t="s">
        <v>54</v>
      </c>
      <c r="E291" t="s">
        <v>54</v>
      </c>
      <c r="F291" t="s">
        <v>54</v>
      </c>
      <c r="G291" t="s">
        <v>54</v>
      </c>
      <c r="H291" t="s">
        <v>54</v>
      </c>
      <c r="I291" t="s">
        <v>54</v>
      </c>
    </row>
    <row r="292" spans="1:9" x14ac:dyDescent="0.2">
      <c r="A292" s="13">
        <v>45572</v>
      </c>
      <c r="B292" t="s">
        <v>54</v>
      </c>
      <c r="C292" t="s">
        <v>54</v>
      </c>
      <c r="D292" t="s">
        <v>54</v>
      </c>
      <c r="E292" t="s">
        <v>54</v>
      </c>
      <c r="F292" t="s">
        <v>54</v>
      </c>
      <c r="G292" t="s">
        <v>54</v>
      </c>
      <c r="H292" t="s">
        <v>54</v>
      </c>
      <c r="I292" t="s">
        <v>54</v>
      </c>
    </row>
    <row r="293" spans="1:9" x14ac:dyDescent="0.2">
      <c r="A293" s="13">
        <v>45573</v>
      </c>
      <c r="B293" t="s">
        <v>54</v>
      </c>
      <c r="C293" t="s">
        <v>54</v>
      </c>
      <c r="D293" t="s">
        <v>54</v>
      </c>
      <c r="E293" t="s">
        <v>54</v>
      </c>
      <c r="F293" t="s">
        <v>54</v>
      </c>
      <c r="G293" t="s">
        <v>54</v>
      </c>
      <c r="H293" t="s">
        <v>54</v>
      </c>
      <c r="I293" t="s">
        <v>54</v>
      </c>
    </row>
    <row r="294" spans="1:9" x14ac:dyDescent="0.2">
      <c r="A294" s="13">
        <v>45574</v>
      </c>
      <c r="B294" t="s">
        <v>54</v>
      </c>
      <c r="C294" t="s">
        <v>54</v>
      </c>
      <c r="D294" t="s">
        <v>54</v>
      </c>
      <c r="E294" t="s">
        <v>54</v>
      </c>
      <c r="F294" t="s">
        <v>54</v>
      </c>
      <c r="G294" t="s">
        <v>54</v>
      </c>
      <c r="H294" t="s">
        <v>54</v>
      </c>
      <c r="I294" t="s">
        <v>54</v>
      </c>
    </row>
    <row r="295" spans="1:9" x14ac:dyDescent="0.2">
      <c r="A295" s="13">
        <v>45575</v>
      </c>
      <c r="B295" t="s">
        <v>54</v>
      </c>
      <c r="C295" t="s">
        <v>54</v>
      </c>
      <c r="D295" t="s">
        <v>54</v>
      </c>
      <c r="E295" t="s">
        <v>54</v>
      </c>
      <c r="F295" t="s">
        <v>54</v>
      </c>
      <c r="G295" t="s">
        <v>54</v>
      </c>
      <c r="H295" t="s">
        <v>54</v>
      </c>
      <c r="I295" t="s">
        <v>54</v>
      </c>
    </row>
    <row r="296" spans="1:9" x14ac:dyDescent="0.2">
      <c r="A296" s="13">
        <v>45576</v>
      </c>
      <c r="B296" t="s">
        <v>54</v>
      </c>
      <c r="C296" t="s">
        <v>54</v>
      </c>
      <c r="D296" t="s">
        <v>54</v>
      </c>
      <c r="E296" t="s">
        <v>54</v>
      </c>
      <c r="F296" t="s">
        <v>54</v>
      </c>
      <c r="G296" t="s">
        <v>54</v>
      </c>
      <c r="H296" t="s">
        <v>54</v>
      </c>
      <c r="I296" t="s">
        <v>54</v>
      </c>
    </row>
    <row r="297" spans="1:9" x14ac:dyDescent="0.2">
      <c r="A297" s="13">
        <v>45577</v>
      </c>
      <c r="B297" t="s">
        <v>54</v>
      </c>
      <c r="C297" t="s">
        <v>54</v>
      </c>
      <c r="D297" t="s">
        <v>54</v>
      </c>
      <c r="E297" t="s">
        <v>54</v>
      </c>
      <c r="F297" t="s">
        <v>54</v>
      </c>
      <c r="G297" t="s">
        <v>54</v>
      </c>
      <c r="H297" t="s">
        <v>54</v>
      </c>
      <c r="I297" t="s">
        <v>54</v>
      </c>
    </row>
    <row r="298" spans="1:9" x14ac:dyDescent="0.2">
      <c r="A298" s="13">
        <v>45578</v>
      </c>
      <c r="B298" t="s">
        <v>54</v>
      </c>
      <c r="C298" t="s">
        <v>54</v>
      </c>
      <c r="D298" t="s">
        <v>54</v>
      </c>
      <c r="E298" t="s">
        <v>54</v>
      </c>
      <c r="F298" t="s">
        <v>54</v>
      </c>
      <c r="G298" t="s">
        <v>54</v>
      </c>
      <c r="H298" t="s">
        <v>54</v>
      </c>
      <c r="I298" t="s">
        <v>54</v>
      </c>
    </row>
    <row r="299" spans="1:9" x14ac:dyDescent="0.2">
      <c r="A299" s="13">
        <v>45579</v>
      </c>
      <c r="B299" t="s">
        <v>54</v>
      </c>
      <c r="C299" t="s">
        <v>54</v>
      </c>
      <c r="D299" t="s">
        <v>54</v>
      </c>
      <c r="E299" t="s">
        <v>54</v>
      </c>
      <c r="F299" t="s">
        <v>54</v>
      </c>
      <c r="G299" t="s">
        <v>54</v>
      </c>
      <c r="H299" t="s">
        <v>54</v>
      </c>
      <c r="I299" t="s">
        <v>54</v>
      </c>
    </row>
    <row r="300" spans="1:9" x14ac:dyDescent="0.2">
      <c r="A300" s="13">
        <v>45580</v>
      </c>
      <c r="B300" t="s">
        <v>54</v>
      </c>
      <c r="C300" t="s">
        <v>54</v>
      </c>
      <c r="D300" t="s">
        <v>54</v>
      </c>
      <c r="E300" t="s">
        <v>54</v>
      </c>
      <c r="F300" t="s">
        <v>54</v>
      </c>
      <c r="G300" t="s">
        <v>54</v>
      </c>
      <c r="H300" t="s">
        <v>54</v>
      </c>
      <c r="I300" t="s">
        <v>54</v>
      </c>
    </row>
    <row r="301" spans="1:9" x14ac:dyDescent="0.2">
      <c r="A301" s="13">
        <v>45581</v>
      </c>
      <c r="B301" t="s">
        <v>54</v>
      </c>
      <c r="C301" t="s">
        <v>54</v>
      </c>
      <c r="D301" t="s">
        <v>54</v>
      </c>
      <c r="E301" t="s">
        <v>54</v>
      </c>
      <c r="F301" t="s">
        <v>54</v>
      </c>
      <c r="G301" t="s">
        <v>54</v>
      </c>
      <c r="H301" t="s">
        <v>54</v>
      </c>
      <c r="I301" t="s">
        <v>54</v>
      </c>
    </row>
    <row r="302" spans="1:9" x14ac:dyDescent="0.2">
      <c r="A302" s="13">
        <v>45582</v>
      </c>
      <c r="B302" t="s">
        <v>54</v>
      </c>
      <c r="C302" t="s">
        <v>54</v>
      </c>
      <c r="D302" t="s">
        <v>54</v>
      </c>
      <c r="E302" t="s">
        <v>54</v>
      </c>
      <c r="F302" t="s">
        <v>54</v>
      </c>
      <c r="G302" t="s">
        <v>54</v>
      </c>
      <c r="H302" t="s">
        <v>54</v>
      </c>
      <c r="I302" t="s">
        <v>54</v>
      </c>
    </row>
    <row r="303" spans="1:9" x14ac:dyDescent="0.2">
      <c r="A303" s="13">
        <v>45583</v>
      </c>
      <c r="B303" t="s">
        <v>54</v>
      </c>
      <c r="C303" t="s">
        <v>54</v>
      </c>
      <c r="D303" t="s">
        <v>54</v>
      </c>
      <c r="E303" t="s">
        <v>54</v>
      </c>
      <c r="F303" t="s">
        <v>54</v>
      </c>
      <c r="G303" t="s">
        <v>54</v>
      </c>
      <c r="H303" t="s">
        <v>54</v>
      </c>
      <c r="I303" t="s">
        <v>54</v>
      </c>
    </row>
    <row r="304" spans="1:9" x14ac:dyDescent="0.2">
      <c r="A304" s="13">
        <v>45584</v>
      </c>
      <c r="B304" t="s">
        <v>54</v>
      </c>
      <c r="C304" t="s">
        <v>54</v>
      </c>
      <c r="D304" t="s">
        <v>54</v>
      </c>
      <c r="E304" t="s">
        <v>54</v>
      </c>
      <c r="F304" t="s">
        <v>54</v>
      </c>
      <c r="G304" t="s">
        <v>54</v>
      </c>
      <c r="H304" t="s">
        <v>54</v>
      </c>
      <c r="I304" t="s">
        <v>54</v>
      </c>
    </row>
    <row r="305" spans="1:9" x14ac:dyDescent="0.2">
      <c r="A305" s="13">
        <v>45585</v>
      </c>
      <c r="B305" t="s">
        <v>54</v>
      </c>
      <c r="C305" t="s">
        <v>54</v>
      </c>
      <c r="D305" t="s">
        <v>54</v>
      </c>
      <c r="E305" t="s">
        <v>54</v>
      </c>
      <c r="F305" t="s">
        <v>54</v>
      </c>
      <c r="G305" t="s">
        <v>54</v>
      </c>
      <c r="H305" t="s">
        <v>54</v>
      </c>
      <c r="I305" t="s">
        <v>54</v>
      </c>
    </row>
    <row r="306" spans="1:9" x14ac:dyDescent="0.2">
      <c r="A306" s="13">
        <v>45586</v>
      </c>
      <c r="B306" t="s">
        <v>54</v>
      </c>
      <c r="C306" t="s">
        <v>54</v>
      </c>
      <c r="D306" t="s">
        <v>54</v>
      </c>
      <c r="E306" t="s">
        <v>54</v>
      </c>
      <c r="F306" t="s">
        <v>54</v>
      </c>
      <c r="G306" t="s">
        <v>54</v>
      </c>
      <c r="H306" t="s">
        <v>54</v>
      </c>
      <c r="I306" t="s">
        <v>54</v>
      </c>
    </row>
    <row r="307" spans="1:9" x14ac:dyDescent="0.2">
      <c r="A307" s="13">
        <v>45587</v>
      </c>
      <c r="B307" t="s">
        <v>54</v>
      </c>
      <c r="C307" t="s">
        <v>54</v>
      </c>
      <c r="D307" t="s">
        <v>54</v>
      </c>
      <c r="E307" t="s">
        <v>54</v>
      </c>
      <c r="F307" t="s">
        <v>54</v>
      </c>
      <c r="G307" t="s">
        <v>54</v>
      </c>
      <c r="H307" t="s">
        <v>54</v>
      </c>
      <c r="I307" t="s">
        <v>54</v>
      </c>
    </row>
    <row r="308" spans="1:9" x14ac:dyDescent="0.2">
      <c r="A308" s="13">
        <v>45588</v>
      </c>
      <c r="B308" t="s">
        <v>54</v>
      </c>
      <c r="C308" t="s">
        <v>54</v>
      </c>
      <c r="D308" t="s">
        <v>54</v>
      </c>
      <c r="E308" t="s">
        <v>54</v>
      </c>
      <c r="F308" t="s">
        <v>54</v>
      </c>
      <c r="G308" t="s">
        <v>54</v>
      </c>
      <c r="H308" t="s">
        <v>54</v>
      </c>
      <c r="I308" t="s">
        <v>54</v>
      </c>
    </row>
    <row r="309" spans="1:9" x14ac:dyDescent="0.2">
      <c r="A309" s="13">
        <v>45589</v>
      </c>
      <c r="B309" t="s">
        <v>54</v>
      </c>
      <c r="C309" t="s">
        <v>54</v>
      </c>
      <c r="D309" t="s">
        <v>54</v>
      </c>
      <c r="E309" t="s">
        <v>54</v>
      </c>
      <c r="F309" t="s">
        <v>54</v>
      </c>
      <c r="G309" t="s">
        <v>54</v>
      </c>
      <c r="H309" t="s">
        <v>54</v>
      </c>
      <c r="I309" t="s">
        <v>54</v>
      </c>
    </row>
    <row r="310" spans="1:9" x14ac:dyDescent="0.2">
      <c r="A310" s="13">
        <v>45590</v>
      </c>
      <c r="B310" t="s">
        <v>54</v>
      </c>
      <c r="C310" t="s">
        <v>54</v>
      </c>
      <c r="D310" t="s">
        <v>54</v>
      </c>
      <c r="E310" t="s">
        <v>54</v>
      </c>
      <c r="F310" t="s">
        <v>54</v>
      </c>
      <c r="G310" t="s">
        <v>54</v>
      </c>
      <c r="H310" t="s">
        <v>54</v>
      </c>
      <c r="I310" t="s">
        <v>54</v>
      </c>
    </row>
    <row r="311" spans="1:9" x14ac:dyDescent="0.2">
      <c r="A311" s="13">
        <v>45591</v>
      </c>
      <c r="B311" t="s">
        <v>54</v>
      </c>
      <c r="C311" t="s">
        <v>54</v>
      </c>
      <c r="D311" t="s">
        <v>54</v>
      </c>
      <c r="E311" t="s">
        <v>54</v>
      </c>
      <c r="F311" t="s">
        <v>54</v>
      </c>
      <c r="G311" t="s">
        <v>54</v>
      </c>
      <c r="H311" t="s">
        <v>54</v>
      </c>
      <c r="I311" t="s">
        <v>54</v>
      </c>
    </row>
    <row r="312" spans="1:9" x14ac:dyDescent="0.2">
      <c r="A312" s="13">
        <v>45592</v>
      </c>
      <c r="B312" t="s">
        <v>54</v>
      </c>
      <c r="C312" t="s">
        <v>54</v>
      </c>
      <c r="D312" t="s">
        <v>54</v>
      </c>
      <c r="E312" t="s">
        <v>54</v>
      </c>
      <c r="F312" t="s">
        <v>54</v>
      </c>
      <c r="G312" t="s">
        <v>54</v>
      </c>
      <c r="H312" t="s">
        <v>54</v>
      </c>
      <c r="I312" t="s">
        <v>54</v>
      </c>
    </row>
    <row r="313" spans="1:9" x14ac:dyDescent="0.2">
      <c r="A313" s="13">
        <v>45593</v>
      </c>
      <c r="B313" t="s">
        <v>54</v>
      </c>
      <c r="C313" t="s">
        <v>54</v>
      </c>
      <c r="D313" t="s">
        <v>54</v>
      </c>
      <c r="E313" t="s">
        <v>54</v>
      </c>
      <c r="F313" t="s">
        <v>54</v>
      </c>
      <c r="G313" t="s">
        <v>54</v>
      </c>
      <c r="H313" t="s">
        <v>54</v>
      </c>
      <c r="I313" t="s">
        <v>54</v>
      </c>
    </row>
    <row r="314" spans="1:9" x14ac:dyDescent="0.2">
      <c r="A314" s="13">
        <v>45594</v>
      </c>
      <c r="B314" t="s">
        <v>54</v>
      </c>
      <c r="C314" t="s">
        <v>54</v>
      </c>
      <c r="D314" t="s">
        <v>54</v>
      </c>
      <c r="E314" t="s">
        <v>54</v>
      </c>
      <c r="F314" t="s">
        <v>54</v>
      </c>
      <c r="G314" t="s">
        <v>54</v>
      </c>
      <c r="H314" t="s">
        <v>54</v>
      </c>
      <c r="I314" t="s">
        <v>54</v>
      </c>
    </row>
    <row r="315" spans="1:9" x14ac:dyDescent="0.2">
      <c r="A315" s="13">
        <v>45595</v>
      </c>
      <c r="B315" t="s">
        <v>54</v>
      </c>
      <c r="C315" t="s">
        <v>54</v>
      </c>
      <c r="D315" t="s">
        <v>54</v>
      </c>
      <c r="E315" t="s">
        <v>54</v>
      </c>
      <c r="F315" t="s">
        <v>54</v>
      </c>
      <c r="G315" t="s">
        <v>54</v>
      </c>
      <c r="H315" t="s">
        <v>54</v>
      </c>
      <c r="I315" t="s">
        <v>54</v>
      </c>
    </row>
    <row r="316" spans="1:9" x14ac:dyDescent="0.2">
      <c r="A316" s="13">
        <v>45596</v>
      </c>
      <c r="B316" t="s">
        <v>54</v>
      </c>
      <c r="C316" t="s">
        <v>54</v>
      </c>
      <c r="D316" t="s">
        <v>54</v>
      </c>
      <c r="E316" t="s">
        <v>54</v>
      </c>
      <c r="F316" t="s">
        <v>54</v>
      </c>
      <c r="G316" t="s">
        <v>54</v>
      </c>
      <c r="H316" t="s">
        <v>54</v>
      </c>
      <c r="I316" t="s">
        <v>54</v>
      </c>
    </row>
    <row r="317" spans="1:9" x14ac:dyDescent="0.2">
      <c r="A317" s="13">
        <v>45597</v>
      </c>
      <c r="B317" t="s">
        <v>54</v>
      </c>
      <c r="C317" t="s">
        <v>54</v>
      </c>
      <c r="D317" t="s">
        <v>54</v>
      </c>
      <c r="E317" t="s">
        <v>54</v>
      </c>
      <c r="F317" t="s">
        <v>54</v>
      </c>
      <c r="G317" t="s">
        <v>54</v>
      </c>
      <c r="H317" t="s">
        <v>54</v>
      </c>
      <c r="I317" t="s">
        <v>54</v>
      </c>
    </row>
    <row r="318" spans="1:9" x14ac:dyDescent="0.2">
      <c r="A318" s="13">
        <v>45598</v>
      </c>
      <c r="B318" t="s">
        <v>54</v>
      </c>
      <c r="C318" t="s">
        <v>54</v>
      </c>
      <c r="D318" t="s">
        <v>54</v>
      </c>
      <c r="E318" t="s">
        <v>54</v>
      </c>
      <c r="F318" t="s">
        <v>54</v>
      </c>
      <c r="G318" t="s">
        <v>54</v>
      </c>
      <c r="H318" t="s">
        <v>54</v>
      </c>
      <c r="I318" t="s">
        <v>54</v>
      </c>
    </row>
    <row r="319" spans="1:9" x14ac:dyDescent="0.2">
      <c r="A319" s="13">
        <v>45599</v>
      </c>
      <c r="B319" t="s">
        <v>54</v>
      </c>
      <c r="C319" t="s">
        <v>54</v>
      </c>
      <c r="D319" t="s">
        <v>54</v>
      </c>
      <c r="E319" t="s">
        <v>54</v>
      </c>
      <c r="F319" t="s">
        <v>54</v>
      </c>
      <c r="G319" t="s">
        <v>54</v>
      </c>
      <c r="H319" t="s">
        <v>54</v>
      </c>
      <c r="I319" t="s">
        <v>54</v>
      </c>
    </row>
    <row r="320" spans="1:9" x14ac:dyDescent="0.2">
      <c r="A320" s="13">
        <v>45600</v>
      </c>
      <c r="B320" t="s">
        <v>54</v>
      </c>
      <c r="C320" t="s">
        <v>54</v>
      </c>
      <c r="D320" t="s">
        <v>54</v>
      </c>
      <c r="E320" t="s">
        <v>54</v>
      </c>
      <c r="F320" t="s">
        <v>54</v>
      </c>
      <c r="G320" t="s">
        <v>54</v>
      </c>
      <c r="H320" t="s">
        <v>54</v>
      </c>
      <c r="I320" t="s">
        <v>54</v>
      </c>
    </row>
    <row r="321" spans="1:9" x14ac:dyDescent="0.2">
      <c r="A321" s="13">
        <v>45601</v>
      </c>
      <c r="B321" t="s">
        <v>54</v>
      </c>
      <c r="C321" t="s">
        <v>54</v>
      </c>
      <c r="D321" t="s">
        <v>54</v>
      </c>
      <c r="E321" t="s">
        <v>54</v>
      </c>
      <c r="F321" t="s">
        <v>54</v>
      </c>
      <c r="G321" t="s">
        <v>54</v>
      </c>
      <c r="H321" t="s">
        <v>54</v>
      </c>
      <c r="I321" t="s">
        <v>54</v>
      </c>
    </row>
    <row r="322" spans="1:9" x14ac:dyDescent="0.2">
      <c r="A322" s="13">
        <v>45602</v>
      </c>
      <c r="B322" t="s">
        <v>54</v>
      </c>
      <c r="C322" t="s">
        <v>54</v>
      </c>
      <c r="D322" t="s">
        <v>54</v>
      </c>
      <c r="E322" t="s">
        <v>54</v>
      </c>
      <c r="F322" t="s">
        <v>54</v>
      </c>
      <c r="G322" t="s">
        <v>54</v>
      </c>
      <c r="H322" t="s">
        <v>54</v>
      </c>
      <c r="I322" t="s">
        <v>54</v>
      </c>
    </row>
    <row r="323" spans="1:9" x14ac:dyDescent="0.2">
      <c r="A323" s="13">
        <v>45603</v>
      </c>
      <c r="B323" t="s">
        <v>54</v>
      </c>
      <c r="C323" t="s">
        <v>54</v>
      </c>
      <c r="D323" t="s">
        <v>54</v>
      </c>
      <c r="E323" t="s">
        <v>54</v>
      </c>
      <c r="F323" t="s">
        <v>54</v>
      </c>
      <c r="G323" t="s">
        <v>54</v>
      </c>
      <c r="H323" t="s">
        <v>54</v>
      </c>
      <c r="I323" t="s">
        <v>54</v>
      </c>
    </row>
    <row r="324" spans="1:9" x14ac:dyDescent="0.2">
      <c r="A324" s="13">
        <v>45604</v>
      </c>
      <c r="B324" t="s">
        <v>54</v>
      </c>
      <c r="C324" t="s">
        <v>54</v>
      </c>
      <c r="D324" t="s">
        <v>54</v>
      </c>
      <c r="E324" t="s">
        <v>54</v>
      </c>
      <c r="F324" t="s">
        <v>54</v>
      </c>
      <c r="G324" t="s">
        <v>54</v>
      </c>
      <c r="H324" t="s">
        <v>54</v>
      </c>
      <c r="I324" t="s">
        <v>54</v>
      </c>
    </row>
    <row r="325" spans="1:9" x14ac:dyDescent="0.2">
      <c r="A325" s="13">
        <v>45605</v>
      </c>
      <c r="B325" t="s">
        <v>54</v>
      </c>
      <c r="C325" t="s">
        <v>54</v>
      </c>
      <c r="D325" t="s">
        <v>54</v>
      </c>
      <c r="E325" t="s">
        <v>54</v>
      </c>
      <c r="F325" t="s">
        <v>54</v>
      </c>
      <c r="G325" t="s">
        <v>54</v>
      </c>
      <c r="H325" t="s">
        <v>54</v>
      </c>
      <c r="I325" t="s">
        <v>54</v>
      </c>
    </row>
    <row r="326" spans="1:9" x14ac:dyDescent="0.2">
      <c r="A326" s="13">
        <v>45606</v>
      </c>
      <c r="B326" t="s">
        <v>54</v>
      </c>
      <c r="C326" t="s">
        <v>54</v>
      </c>
      <c r="D326" t="s">
        <v>54</v>
      </c>
      <c r="E326" t="s">
        <v>54</v>
      </c>
      <c r="F326" t="s">
        <v>54</v>
      </c>
      <c r="G326" t="s">
        <v>54</v>
      </c>
      <c r="H326" t="s">
        <v>54</v>
      </c>
      <c r="I326" t="s">
        <v>54</v>
      </c>
    </row>
    <row r="327" spans="1:9" x14ac:dyDescent="0.2">
      <c r="A327" s="13">
        <v>45607</v>
      </c>
      <c r="B327" t="s">
        <v>54</v>
      </c>
      <c r="C327" t="s">
        <v>54</v>
      </c>
      <c r="D327" t="s">
        <v>54</v>
      </c>
      <c r="E327" t="s">
        <v>54</v>
      </c>
      <c r="F327" t="s">
        <v>54</v>
      </c>
      <c r="G327" t="s">
        <v>54</v>
      </c>
      <c r="H327" t="s">
        <v>54</v>
      </c>
      <c r="I327" t="s">
        <v>54</v>
      </c>
    </row>
    <row r="328" spans="1:9" x14ac:dyDescent="0.2">
      <c r="A328" s="13">
        <v>45608</v>
      </c>
      <c r="B328" t="s">
        <v>54</v>
      </c>
      <c r="C328" t="s">
        <v>54</v>
      </c>
      <c r="D328" t="s">
        <v>54</v>
      </c>
      <c r="E328" t="s">
        <v>54</v>
      </c>
      <c r="F328" t="s">
        <v>54</v>
      </c>
      <c r="G328" t="s">
        <v>54</v>
      </c>
      <c r="H328" t="s">
        <v>54</v>
      </c>
      <c r="I328" t="s">
        <v>54</v>
      </c>
    </row>
    <row r="329" spans="1:9" x14ac:dyDescent="0.2">
      <c r="A329" s="13">
        <v>45609</v>
      </c>
      <c r="B329" t="s">
        <v>54</v>
      </c>
      <c r="C329" t="s">
        <v>54</v>
      </c>
      <c r="D329" t="s">
        <v>54</v>
      </c>
      <c r="E329" t="s">
        <v>54</v>
      </c>
      <c r="F329" t="s">
        <v>54</v>
      </c>
      <c r="G329" t="s">
        <v>54</v>
      </c>
      <c r="H329" t="s">
        <v>54</v>
      </c>
      <c r="I329" t="s">
        <v>54</v>
      </c>
    </row>
    <row r="330" spans="1:9" x14ac:dyDescent="0.2">
      <c r="A330" s="13">
        <v>45610</v>
      </c>
      <c r="B330" t="s">
        <v>54</v>
      </c>
      <c r="C330" t="s">
        <v>54</v>
      </c>
      <c r="D330" t="s">
        <v>54</v>
      </c>
      <c r="E330" t="s">
        <v>54</v>
      </c>
      <c r="F330" t="s">
        <v>54</v>
      </c>
      <c r="G330" t="s">
        <v>54</v>
      </c>
      <c r="H330" t="s">
        <v>54</v>
      </c>
      <c r="I330" t="s">
        <v>54</v>
      </c>
    </row>
    <row r="331" spans="1:9" x14ac:dyDescent="0.2">
      <c r="A331" s="13">
        <v>45611</v>
      </c>
      <c r="B331" t="s">
        <v>54</v>
      </c>
      <c r="C331" t="s">
        <v>54</v>
      </c>
      <c r="D331" t="s">
        <v>54</v>
      </c>
      <c r="E331" t="s">
        <v>54</v>
      </c>
      <c r="F331" t="s">
        <v>54</v>
      </c>
      <c r="G331" t="s">
        <v>54</v>
      </c>
      <c r="H331" t="s">
        <v>54</v>
      </c>
      <c r="I331" t="s">
        <v>54</v>
      </c>
    </row>
    <row r="332" spans="1:9" x14ac:dyDescent="0.2">
      <c r="A332" s="13">
        <v>45612</v>
      </c>
      <c r="B332" t="s">
        <v>54</v>
      </c>
      <c r="C332" t="s">
        <v>54</v>
      </c>
      <c r="D332" t="s">
        <v>54</v>
      </c>
      <c r="E332" t="s">
        <v>54</v>
      </c>
      <c r="F332" t="s">
        <v>54</v>
      </c>
      <c r="G332" t="s">
        <v>54</v>
      </c>
      <c r="H332" t="s">
        <v>54</v>
      </c>
      <c r="I332" t="s">
        <v>54</v>
      </c>
    </row>
    <row r="333" spans="1:9" x14ac:dyDescent="0.2">
      <c r="A333" s="13">
        <v>45613</v>
      </c>
      <c r="B333" t="s">
        <v>54</v>
      </c>
      <c r="C333" t="s">
        <v>54</v>
      </c>
      <c r="D333" t="s">
        <v>54</v>
      </c>
      <c r="E333" t="s">
        <v>54</v>
      </c>
      <c r="F333" t="s">
        <v>54</v>
      </c>
      <c r="G333" t="s">
        <v>54</v>
      </c>
      <c r="H333" t="s">
        <v>54</v>
      </c>
      <c r="I333" t="s">
        <v>54</v>
      </c>
    </row>
    <row r="334" spans="1:9" x14ac:dyDescent="0.2">
      <c r="A334" s="13">
        <v>45614</v>
      </c>
      <c r="B334" t="s">
        <v>54</v>
      </c>
      <c r="C334" t="s">
        <v>54</v>
      </c>
      <c r="D334" t="s">
        <v>54</v>
      </c>
      <c r="E334" t="s">
        <v>54</v>
      </c>
      <c r="F334" t="s">
        <v>54</v>
      </c>
      <c r="G334" t="s">
        <v>54</v>
      </c>
      <c r="H334" t="s">
        <v>54</v>
      </c>
      <c r="I334" t="s">
        <v>54</v>
      </c>
    </row>
    <row r="335" spans="1:9" x14ac:dyDescent="0.2">
      <c r="A335" s="13">
        <v>45615</v>
      </c>
      <c r="B335" t="s">
        <v>54</v>
      </c>
      <c r="C335" t="s">
        <v>54</v>
      </c>
      <c r="D335" t="s">
        <v>54</v>
      </c>
      <c r="E335" t="s">
        <v>54</v>
      </c>
      <c r="F335" t="s">
        <v>54</v>
      </c>
      <c r="G335" t="s">
        <v>54</v>
      </c>
      <c r="H335" t="s">
        <v>54</v>
      </c>
      <c r="I335" t="s">
        <v>54</v>
      </c>
    </row>
    <row r="336" spans="1:9" x14ac:dyDescent="0.2">
      <c r="A336" s="13">
        <v>45616</v>
      </c>
      <c r="B336" t="s">
        <v>54</v>
      </c>
      <c r="C336" t="s">
        <v>54</v>
      </c>
      <c r="D336" t="s">
        <v>54</v>
      </c>
      <c r="E336" t="s">
        <v>54</v>
      </c>
      <c r="F336" t="s">
        <v>54</v>
      </c>
      <c r="G336" t="s">
        <v>54</v>
      </c>
      <c r="H336" t="s">
        <v>54</v>
      </c>
      <c r="I336" t="s">
        <v>54</v>
      </c>
    </row>
    <row r="337" spans="1:9" x14ac:dyDescent="0.2">
      <c r="A337" s="13">
        <v>45617</v>
      </c>
      <c r="B337" t="s">
        <v>54</v>
      </c>
      <c r="C337" t="s">
        <v>54</v>
      </c>
      <c r="D337" t="s">
        <v>54</v>
      </c>
      <c r="E337" t="s">
        <v>54</v>
      </c>
      <c r="F337" t="s">
        <v>54</v>
      </c>
      <c r="G337" t="s">
        <v>54</v>
      </c>
      <c r="H337" t="s">
        <v>54</v>
      </c>
      <c r="I337" t="s">
        <v>54</v>
      </c>
    </row>
    <row r="338" spans="1:9" x14ac:dyDescent="0.2">
      <c r="A338" s="13">
        <v>45618</v>
      </c>
      <c r="B338" t="s">
        <v>54</v>
      </c>
      <c r="C338" t="s">
        <v>54</v>
      </c>
      <c r="D338" t="s">
        <v>54</v>
      </c>
      <c r="E338" t="s">
        <v>54</v>
      </c>
      <c r="F338" t="s">
        <v>54</v>
      </c>
      <c r="G338" t="s">
        <v>54</v>
      </c>
      <c r="H338" t="s">
        <v>54</v>
      </c>
      <c r="I338" t="s">
        <v>54</v>
      </c>
    </row>
    <row r="339" spans="1:9" x14ac:dyDescent="0.2">
      <c r="A339" s="13">
        <v>45619</v>
      </c>
      <c r="B339" t="s">
        <v>54</v>
      </c>
      <c r="C339" t="s">
        <v>54</v>
      </c>
      <c r="D339" t="s">
        <v>54</v>
      </c>
      <c r="E339" t="s">
        <v>54</v>
      </c>
      <c r="F339" t="s">
        <v>54</v>
      </c>
      <c r="G339" t="s">
        <v>54</v>
      </c>
      <c r="H339" t="s">
        <v>54</v>
      </c>
      <c r="I339" t="s">
        <v>54</v>
      </c>
    </row>
    <row r="340" spans="1:9" x14ac:dyDescent="0.2">
      <c r="A340" s="13">
        <v>45620</v>
      </c>
      <c r="B340" t="s">
        <v>54</v>
      </c>
      <c r="C340" t="s">
        <v>54</v>
      </c>
      <c r="D340" t="s">
        <v>54</v>
      </c>
      <c r="E340" t="s">
        <v>54</v>
      </c>
      <c r="F340" t="s">
        <v>54</v>
      </c>
      <c r="G340" t="s">
        <v>54</v>
      </c>
      <c r="H340" t="s">
        <v>54</v>
      </c>
      <c r="I340" t="s">
        <v>54</v>
      </c>
    </row>
    <row r="341" spans="1:9" x14ac:dyDescent="0.2">
      <c r="A341" s="13">
        <v>45621</v>
      </c>
      <c r="B341" t="s">
        <v>54</v>
      </c>
      <c r="C341" t="s">
        <v>54</v>
      </c>
      <c r="D341" t="s">
        <v>54</v>
      </c>
      <c r="E341" t="s">
        <v>54</v>
      </c>
      <c r="F341" t="s">
        <v>54</v>
      </c>
      <c r="G341" t="s">
        <v>54</v>
      </c>
      <c r="H341" t="s">
        <v>54</v>
      </c>
      <c r="I341" t="s">
        <v>54</v>
      </c>
    </row>
    <row r="342" spans="1:9" x14ac:dyDescent="0.2">
      <c r="A342" s="13">
        <v>45622</v>
      </c>
      <c r="B342" t="s">
        <v>54</v>
      </c>
      <c r="C342" t="s">
        <v>54</v>
      </c>
      <c r="D342" t="s">
        <v>54</v>
      </c>
      <c r="E342" t="s">
        <v>54</v>
      </c>
      <c r="F342" t="s">
        <v>54</v>
      </c>
      <c r="G342" t="s">
        <v>54</v>
      </c>
      <c r="H342" t="s">
        <v>54</v>
      </c>
      <c r="I342" t="s">
        <v>54</v>
      </c>
    </row>
    <row r="343" spans="1:9" x14ac:dyDescent="0.2">
      <c r="A343" s="13">
        <v>45623</v>
      </c>
      <c r="B343" t="s">
        <v>54</v>
      </c>
      <c r="C343" t="s">
        <v>54</v>
      </c>
      <c r="D343" t="s">
        <v>54</v>
      </c>
      <c r="E343" t="s">
        <v>54</v>
      </c>
      <c r="F343" t="s">
        <v>54</v>
      </c>
      <c r="G343" t="s">
        <v>54</v>
      </c>
      <c r="H343" t="s">
        <v>54</v>
      </c>
      <c r="I343" t="s">
        <v>54</v>
      </c>
    </row>
    <row r="344" spans="1:9" x14ac:dyDescent="0.2">
      <c r="A344" s="13">
        <v>45624</v>
      </c>
      <c r="B344" t="s">
        <v>54</v>
      </c>
      <c r="C344" t="s">
        <v>54</v>
      </c>
      <c r="D344" t="s">
        <v>54</v>
      </c>
      <c r="E344" t="s">
        <v>54</v>
      </c>
      <c r="F344" t="s">
        <v>54</v>
      </c>
      <c r="G344" t="s">
        <v>54</v>
      </c>
      <c r="H344" t="s">
        <v>54</v>
      </c>
      <c r="I344" t="s">
        <v>54</v>
      </c>
    </row>
    <row r="345" spans="1:9" x14ac:dyDescent="0.2">
      <c r="A345" s="13">
        <v>45625</v>
      </c>
      <c r="B345" t="s">
        <v>54</v>
      </c>
      <c r="C345" t="s">
        <v>54</v>
      </c>
      <c r="D345" t="s">
        <v>54</v>
      </c>
      <c r="E345" t="s">
        <v>54</v>
      </c>
      <c r="F345" t="s">
        <v>54</v>
      </c>
      <c r="G345" t="s">
        <v>54</v>
      </c>
      <c r="H345" t="s">
        <v>54</v>
      </c>
      <c r="I345" t="s">
        <v>54</v>
      </c>
    </row>
    <row r="346" spans="1:9" x14ac:dyDescent="0.2">
      <c r="A346" s="13">
        <v>45626</v>
      </c>
      <c r="B346" t="s">
        <v>54</v>
      </c>
      <c r="C346" t="s">
        <v>54</v>
      </c>
      <c r="D346" t="s">
        <v>54</v>
      </c>
      <c r="E346" t="s">
        <v>54</v>
      </c>
      <c r="F346" t="s">
        <v>54</v>
      </c>
      <c r="G346" t="s">
        <v>54</v>
      </c>
      <c r="H346" t="s">
        <v>54</v>
      </c>
      <c r="I346" t="s">
        <v>54</v>
      </c>
    </row>
    <row r="347" spans="1:9" x14ac:dyDescent="0.2">
      <c r="A347" s="13">
        <v>45627</v>
      </c>
      <c r="B347" t="s">
        <v>54</v>
      </c>
      <c r="C347" t="s">
        <v>54</v>
      </c>
      <c r="D347" t="s">
        <v>54</v>
      </c>
      <c r="E347" t="s">
        <v>54</v>
      </c>
      <c r="F347" t="s">
        <v>54</v>
      </c>
      <c r="G347" t="s">
        <v>54</v>
      </c>
      <c r="H347" t="s">
        <v>54</v>
      </c>
      <c r="I347" t="s">
        <v>54</v>
      </c>
    </row>
    <row r="348" spans="1:9" x14ac:dyDescent="0.2">
      <c r="A348" s="13">
        <v>45628</v>
      </c>
      <c r="B348" t="s">
        <v>54</v>
      </c>
      <c r="C348" t="s">
        <v>54</v>
      </c>
      <c r="D348" t="s">
        <v>54</v>
      </c>
      <c r="E348" t="s">
        <v>54</v>
      </c>
      <c r="F348" t="s">
        <v>54</v>
      </c>
      <c r="G348" t="s">
        <v>54</v>
      </c>
      <c r="H348" t="s">
        <v>54</v>
      </c>
      <c r="I348" t="s">
        <v>54</v>
      </c>
    </row>
    <row r="349" spans="1:9" x14ac:dyDescent="0.2">
      <c r="A349" s="13">
        <v>45629</v>
      </c>
      <c r="B349" t="s">
        <v>54</v>
      </c>
      <c r="C349" t="s">
        <v>54</v>
      </c>
      <c r="D349" t="s">
        <v>54</v>
      </c>
      <c r="E349" t="s">
        <v>54</v>
      </c>
      <c r="F349" t="s">
        <v>54</v>
      </c>
      <c r="G349" t="s">
        <v>54</v>
      </c>
      <c r="H349" t="s">
        <v>54</v>
      </c>
      <c r="I349" t="s">
        <v>54</v>
      </c>
    </row>
    <row r="350" spans="1:9" x14ac:dyDescent="0.2">
      <c r="A350" s="13">
        <v>45630</v>
      </c>
      <c r="B350" t="s">
        <v>54</v>
      </c>
      <c r="C350" t="s">
        <v>54</v>
      </c>
      <c r="D350" t="s">
        <v>54</v>
      </c>
      <c r="E350" t="s">
        <v>54</v>
      </c>
      <c r="F350" t="s">
        <v>54</v>
      </c>
      <c r="G350" t="s">
        <v>54</v>
      </c>
      <c r="H350" t="s">
        <v>54</v>
      </c>
      <c r="I350" t="s">
        <v>54</v>
      </c>
    </row>
    <row r="351" spans="1:9" x14ac:dyDescent="0.2">
      <c r="A351" s="13">
        <v>45631</v>
      </c>
      <c r="B351" t="s">
        <v>54</v>
      </c>
      <c r="C351" t="s">
        <v>54</v>
      </c>
      <c r="D351" t="s">
        <v>54</v>
      </c>
      <c r="E351" t="s">
        <v>54</v>
      </c>
      <c r="F351" t="s">
        <v>54</v>
      </c>
      <c r="G351" t="s">
        <v>54</v>
      </c>
      <c r="H351" t="s">
        <v>54</v>
      </c>
      <c r="I351" t="s">
        <v>54</v>
      </c>
    </row>
    <row r="352" spans="1:9" x14ac:dyDescent="0.2">
      <c r="A352" s="13">
        <v>45632</v>
      </c>
      <c r="B352" t="s">
        <v>54</v>
      </c>
      <c r="C352" t="s">
        <v>54</v>
      </c>
      <c r="D352" t="s">
        <v>54</v>
      </c>
      <c r="E352" t="s">
        <v>54</v>
      </c>
      <c r="F352" t="s">
        <v>54</v>
      </c>
      <c r="G352" t="s">
        <v>54</v>
      </c>
      <c r="H352" t="s">
        <v>54</v>
      </c>
      <c r="I352" t="s">
        <v>54</v>
      </c>
    </row>
    <row r="353" spans="1:9" x14ac:dyDescent="0.2">
      <c r="A353" s="13">
        <v>45633</v>
      </c>
      <c r="B353" t="s">
        <v>54</v>
      </c>
      <c r="C353" t="s">
        <v>54</v>
      </c>
      <c r="D353" t="s">
        <v>54</v>
      </c>
      <c r="E353" t="s">
        <v>54</v>
      </c>
      <c r="F353" t="s">
        <v>54</v>
      </c>
      <c r="G353" t="s">
        <v>54</v>
      </c>
      <c r="H353" t="s">
        <v>54</v>
      </c>
      <c r="I353" t="s">
        <v>54</v>
      </c>
    </row>
    <row r="354" spans="1:9" x14ac:dyDescent="0.2">
      <c r="A354" s="13">
        <v>45634</v>
      </c>
      <c r="B354" t="s">
        <v>54</v>
      </c>
      <c r="C354" t="s">
        <v>54</v>
      </c>
      <c r="D354" t="s">
        <v>54</v>
      </c>
      <c r="E354" t="s">
        <v>54</v>
      </c>
      <c r="F354" t="s">
        <v>54</v>
      </c>
      <c r="G354" t="s">
        <v>54</v>
      </c>
      <c r="H354" t="s">
        <v>54</v>
      </c>
      <c r="I354" t="s">
        <v>54</v>
      </c>
    </row>
    <row r="355" spans="1:9" x14ac:dyDescent="0.2">
      <c r="A355" s="13">
        <v>45635</v>
      </c>
      <c r="B355" t="s">
        <v>54</v>
      </c>
      <c r="C355" t="s">
        <v>54</v>
      </c>
      <c r="D355" t="s">
        <v>54</v>
      </c>
      <c r="E355" t="s">
        <v>54</v>
      </c>
      <c r="F355" t="s">
        <v>54</v>
      </c>
      <c r="G355" t="s">
        <v>54</v>
      </c>
      <c r="H355" t="s">
        <v>54</v>
      </c>
      <c r="I355" t="s">
        <v>54</v>
      </c>
    </row>
    <row r="356" spans="1:9" x14ac:dyDescent="0.2">
      <c r="A356" s="13">
        <v>45636</v>
      </c>
      <c r="B356" t="s">
        <v>54</v>
      </c>
      <c r="C356" t="s">
        <v>54</v>
      </c>
      <c r="D356" t="s">
        <v>54</v>
      </c>
      <c r="E356" t="s">
        <v>54</v>
      </c>
      <c r="F356" t="s">
        <v>54</v>
      </c>
      <c r="G356" t="s">
        <v>54</v>
      </c>
      <c r="H356" t="s">
        <v>54</v>
      </c>
      <c r="I356" t="s">
        <v>54</v>
      </c>
    </row>
    <row r="357" spans="1:9" x14ac:dyDescent="0.2">
      <c r="A357" s="13">
        <v>45637</v>
      </c>
      <c r="B357" t="s">
        <v>54</v>
      </c>
      <c r="C357" t="s">
        <v>54</v>
      </c>
      <c r="D357" t="s">
        <v>54</v>
      </c>
      <c r="E357" t="s">
        <v>54</v>
      </c>
      <c r="F357" t="s">
        <v>54</v>
      </c>
      <c r="G357" t="s">
        <v>54</v>
      </c>
      <c r="H357" t="s">
        <v>54</v>
      </c>
      <c r="I357" t="s">
        <v>54</v>
      </c>
    </row>
    <row r="358" spans="1:9" x14ac:dyDescent="0.2">
      <c r="A358" s="13">
        <v>45638</v>
      </c>
      <c r="B358" t="s">
        <v>54</v>
      </c>
      <c r="C358" t="s">
        <v>54</v>
      </c>
      <c r="D358" t="s">
        <v>54</v>
      </c>
      <c r="E358" t="s">
        <v>54</v>
      </c>
      <c r="F358" t="s">
        <v>54</v>
      </c>
      <c r="G358" t="s">
        <v>54</v>
      </c>
      <c r="H358" t="s">
        <v>54</v>
      </c>
      <c r="I358" t="s">
        <v>54</v>
      </c>
    </row>
    <row r="359" spans="1:9" x14ac:dyDescent="0.2">
      <c r="A359" s="13">
        <v>45639</v>
      </c>
      <c r="B359" t="s">
        <v>54</v>
      </c>
      <c r="C359" t="s">
        <v>54</v>
      </c>
      <c r="D359" t="s">
        <v>54</v>
      </c>
      <c r="E359" t="s">
        <v>54</v>
      </c>
      <c r="F359" t="s">
        <v>54</v>
      </c>
      <c r="G359" t="s">
        <v>54</v>
      </c>
      <c r="H359" t="s">
        <v>54</v>
      </c>
      <c r="I359" t="s">
        <v>54</v>
      </c>
    </row>
    <row r="360" spans="1:9" x14ac:dyDescent="0.2">
      <c r="A360" s="13">
        <v>45640</v>
      </c>
      <c r="B360" t="s">
        <v>54</v>
      </c>
      <c r="C360" t="s">
        <v>54</v>
      </c>
      <c r="D360" t="s">
        <v>54</v>
      </c>
      <c r="E360" t="s">
        <v>54</v>
      </c>
      <c r="F360" t="s">
        <v>54</v>
      </c>
      <c r="G360" t="s">
        <v>54</v>
      </c>
      <c r="H360" t="s">
        <v>54</v>
      </c>
      <c r="I360" t="s">
        <v>54</v>
      </c>
    </row>
    <row r="361" spans="1:9" x14ac:dyDescent="0.2">
      <c r="A361" s="13">
        <v>45641</v>
      </c>
      <c r="B361" t="s">
        <v>54</v>
      </c>
      <c r="C361" t="s">
        <v>54</v>
      </c>
      <c r="D361" t="s">
        <v>54</v>
      </c>
      <c r="E361" t="s">
        <v>54</v>
      </c>
      <c r="F361" t="s">
        <v>54</v>
      </c>
      <c r="G361" t="s">
        <v>54</v>
      </c>
      <c r="H361" t="s">
        <v>54</v>
      </c>
      <c r="I361" t="s">
        <v>54</v>
      </c>
    </row>
    <row r="362" spans="1:9" x14ac:dyDescent="0.2">
      <c r="A362" s="13">
        <v>45642</v>
      </c>
      <c r="B362" t="s">
        <v>54</v>
      </c>
      <c r="C362" t="s">
        <v>54</v>
      </c>
      <c r="D362" t="s">
        <v>54</v>
      </c>
      <c r="E362" t="s">
        <v>54</v>
      </c>
      <c r="F362" t="s">
        <v>54</v>
      </c>
      <c r="G362" t="s">
        <v>54</v>
      </c>
      <c r="H362" t="s">
        <v>54</v>
      </c>
      <c r="I362" t="s">
        <v>54</v>
      </c>
    </row>
    <row r="363" spans="1:9" x14ac:dyDescent="0.2">
      <c r="A363" s="13">
        <v>45643</v>
      </c>
      <c r="B363" t="s">
        <v>54</v>
      </c>
      <c r="C363" t="s">
        <v>54</v>
      </c>
      <c r="D363" t="s">
        <v>54</v>
      </c>
      <c r="E363" t="s">
        <v>54</v>
      </c>
      <c r="F363" t="s">
        <v>54</v>
      </c>
      <c r="G363" t="s">
        <v>54</v>
      </c>
      <c r="H363" t="s">
        <v>54</v>
      </c>
      <c r="I363" t="s">
        <v>54</v>
      </c>
    </row>
    <row r="364" spans="1:9" x14ac:dyDescent="0.2">
      <c r="A364" s="13">
        <v>45644</v>
      </c>
      <c r="B364" t="s">
        <v>54</v>
      </c>
      <c r="C364" t="s">
        <v>54</v>
      </c>
      <c r="D364" t="s">
        <v>54</v>
      </c>
      <c r="E364" t="s">
        <v>54</v>
      </c>
      <c r="F364" t="s">
        <v>54</v>
      </c>
      <c r="G364" t="s">
        <v>54</v>
      </c>
      <c r="H364" t="s">
        <v>54</v>
      </c>
      <c r="I364" t="s">
        <v>54</v>
      </c>
    </row>
    <row r="365" spans="1:9" x14ac:dyDescent="0.2">
      <c r="A365" s="13">
        <v>45645</v>
      </c>
      <c r="B365" t="s">
        <v>54</v>
      </c>
      <c r="C365" t="s">
        <v>54</v>
      </c>
      <c r="D365" t="s">
        <v>54</v>
      </c>
      <c r="E365" t="s">
        <v>54</v>
      </c>
      <c r="F365" t="s">
        <v>54</v>
      </c>
      <c r="G365" t="s">
        <v>54</v>
      </c>
      <c r="H365" t="s">
        <v>54</v>
      </c>
      <c r="I365" t="s">
        <v>54</v>
      </c>
    </row>
    <row r="366" spans="1:9" x14ac:dyDescent="0.2">
      <c r="A366" s="13">
        <v>45646</v>
      </c>
      <c r="B366" t="s">
        <v>54</v>
      </c>
      <c r="C366" t="s">
        <v>54</v>
      </c>
      <c r="D366" t="s">
        <v>54</v>
      </c>
      <c r="E366" t="s">
        <v>54</v>
      </c>
      <c r="F366" t="s">
        <v>54</v>
      </c>
      <c r="G366" t="s">
        <v>54</v>
      </c>
      <c r="H366" t="s">
        <v>54</v>
      </c>
      <c r="I366" t="s">
        <v>54</v>
      </c>
    </row>
    <row r="367" spans="1:9" x14ac:dyDescent="0.2">
      <c r="A367" s="13">
        <v>45647</v>
      </c>
      <c r="B367" t="s">
        <v>54</v>
      </c>
      <c r="C367" t="s">
        <v>54</v>
      </c>
      <c r="D367" t="s">
        <v>54</v>
      </c>
      <c r="E367" t="s">
        <v>54</v>
      </c>
      <c r="F367" t="s">
        <v>54</v>
      </c>
      <c r="G367" t="s">
        <v>54</v>
      </c>
      <c r="H367" t="s">
        <v>54</v>
      </c>
      <c r="I367" t="s">
        <v>54</v>
      </c>
    </row>
    <row r="368" spans="1:9" x14ac:dyDescent="0.2">
      <c r="A368" s="13">
        <v>45648</v>
      </c>
      <c r="B368" t="s">
        <v>54</v>
      </c>
      <c r="C368" t="s">
        <v>54</v>
      </c>
      <c r="D368" t="s">
        <v>54</v>
      </c>
      <c r="E368" t="s">
        <v>54</v>
      </c>
      <c r="F368" t="s">
        <v>54</v>
      </c>
      <c r="G368" t="s">
        <v>54</v>
      </c>
      <c r="H368" t="s">
        <v>54</v>
      </c>
      <c r="I368" t="s">
        <v>54</v>
      </c>
    </row>
    <row r="369" spans="1:9" x14ac:dyDescent="0.2">
      <c r="A369" s="13">
        <v>45649</v>
      </c>
      <c r="B369" t="s">
        <v>54</v>
      </c>
      <c r="C369" t="s">
        <v>54</v>
      </c>
      <c r="D369" t="s">
        <v>54</v>
      </c>
      <c r="E369" t="s">
        <v>54</v>
      </c>
      <c r="F369" t="s">
        <v>54</v>
      </c>
      <c r="G369" t="s">
        <v>54</v>
      </c>
      <c r="H369" t="s">
        <v>54</v>
      </c>
      <c r="I369" t="s">
        <v>54</v>
      </c>
    </row>
    <row r="370" spans="1:9" x14ac:dyDescent="0.2">
      <c r="A370" s="13">
        <v>45650</v>
      </c>
      <c r="B370" t="s">
        <v>54</v>
      </c>
      <c r="C370" t="s">
        <v>54</v>
      </c>
      <c r="D370" t="s">
        <v>54</v>
      </c>
      <c r="E370" t="s">
        <v>54</v>
      </c>
      <c r="F370" t="s">
        <v>54</v>
      </c>
      <c r="G370" t="s">
        <v>54</v>
      </c>
      <c r="H370" t="s">
        <v>54</v>
      </c>
      <c r="I370" t="s">
        <v>54</v>
      </c>
    </row>
    <row r="371" spans="1:9" x14ac:dyDescent="0.2">
      <c r="A371" s="13">
        <v>45651</v>
      </c>
      <c r="B371" t="s">
        <v>54</v>
      </c>
      <c r="C371" t="s">
        <v>54</v>
      </c>
      <c r="D371" t="s">
        <v>54</v>
      </c>
      <c r="E371" t="s">
        <v>54</v>
      </c>
      <c r="F371" t="s">
        <v>54</v>
      </c>
      <c r="G371" t="s">
        <v>54</v>
      </c>
      <c r="H371" t="s">
        <v>54</v>
      </c>
      <c r="I371" t="s">
        <v>54</v>
      </c>
    </row>
    <row r="372" spans="1:9" x14ac:dyDescent="0.2">
      <c r="A372" s="13">
        <v>45652</v>
      </c>
      <c r="B372" t="s">
        <v>54</v>
      </c>
      <c r="C372" t="s">
        <v>54</v>
      </c>
      <c r="D372" t="s">
        <v>54</v>
      </c>
      <c r="E372" t="s">
        <v>54</v>
      </c>
      <c r="F372" t="s">
        <v>54</v>
      </c>
      <c r="G372" t="s">
        <v>54</v>
      </c>
      <c r="H372" t="s">
        <v>54</v>
      </c>
      <c r="I372" t="s">
        <v>54</v>
      </c>
    </row>
    <row r="373" spans="1:9" x14ac:dyDescent="0.2">
      <c r="A373" s="13">
        <v>45653</v>
      </c>
      <c r="B373" t="s">
        <v>54</v>
      </c>
      <c r="C373" t="s">
        <v>54</v>
      </c>
      <c r="D373" t="s">
        <v>54</v>
      </c>
      <c r="E373" t="s">
        <v>54</v>
      </c>
      <c r="F373" t="s">
        <v>54</v>
      </c>
      <c r="G373" t="s">
        <v>54</v>
      </c>
      <c r="H373" t="s">
        <v>54</v>
      </c>
      <c r="I373" t="s">
        <v>54</v>
      </c>
    </row>
    <row r="374" spans="1:9" x14ac:dyDescent="0.2">
      <c r="A374" s="13">
        <v>45654</v>
      </c>
      <c r="B374" t="s">
        <v>54</v>
      </c>
      <c r="C374" t="s">
        <v>54</v>
      </c>
      <c r="D374" t="s">
        <v>54</v>
      </c>
      <c r="E374" t="s">
        <v>54</v>
      </c>
      <c r="F374" t="s">
        <v>54</v>
      </c>
      <c r="G374" t="s">
        <v>54</v>
      </c>
      <c r="H374" t="s">
        <v>54</v>
      </c>
      <c r="I374" t="s">
        <v>54</v>
      </c>
    </row>
    <row r="375" spans="1:9" x14ac:dyDescent="0.2">
      <c r="A375" s="13">
        <v>45655</v>
      </c>
      <c r="B375" t="s">
        <v>54</v>
      </c>
      <c r="C375" t="s">
        <v>54</v>
      </c>
      <c r="D375" t="s">
        <v>54</v>
      </c>
      <c r="E375" t="s">
        <v>54</v>
      </c>
      <c r="F375" t="s">
        <v>54</v>
      </c>
      <c r="G375" t="s">
        <v>54</v>
      </c>
      <c r="H375" t="s">
        <v>54</v>
      </c>
      <c r="I375" t="s">
        <v>54</v>
      </c>
    </row>
    <row r="376" spans="1:9" x14ac:dyDescent="0.2">
      <c r="A376" s="13">
        <v>45656</v>
      </c>
      <c r="B376" t="s">
        <v>54</v>
      </c>
      <c r="C376" t="s">
        <v>54</v>
      </c>
      <c r="D376" t="s">
        <v>54</v>
      </c>
      <c r="E376" t="s">
        <v>54</v>
      </c>
      <c r="F376" t="s">
        <v>54</v>
      </c>
      <c r="G376" t="s">
        <v>54</v>
      </c>
      <c r="H376" t="s">
        <v>54</v>
      </c>
      <c r="I376" t="s">
        <v>54</v>
      </c>
    </row>
    <row r="377" spans="1:9" x14ac:dyDescent="0.2">
      <c r="A377" s="13">
        <v>45657</v>
      </c>
      <c r="B377" t="s">
        <v>54</v>
      </c>
      <c r="C377" t="s">
        <v>54</v>
      </c>
      <c r="D377" t="s">
        <v>54</v>
      </c>
      <c r="E377" t="s">
        <v>54</v>
      </c>
      <c r="F377" t="s">
        <v>54</v>
      </c>
      <c r="G377" t="s">
        <v>54</v>
      </c>
      <c r="H377" t="s">
        <v>54</v>
      </c>
      <c r="I377" t="s">
        <v>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Piracicaba</vt:lpstr>
      <vt:lpstr>Manaus</vt:lpstr>
      <vt:lpstr>Petrolina</vt:lpstr>
    </vt:vector>
  </TitlesOfParts>
  <Company>ESALQ-USP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Bruno Martins</cp:lastModifiedBy>
  <dcterms:created xsi:type="dcterms:W3CDTF">2008-01-02T12:16:20Z</dcterms:created>
  <dcterms:modified xsi:type="dcterms:W3CDTF">2025-11-19T12:27:51Z</dcterms:modified>
</cp:coreProperties>
</file>